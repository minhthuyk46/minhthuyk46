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comments/comment18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01_KE_HOACH" sheetId="2" state="visible" r:id="rId2"/>
    <sheet xmlns:r="http://schemas.openxmlformats.org/officeDocument/2006/relationships" name="02_THONG_KE" sheetId="3" state="visible" r:id="rId3"/>
    <sheet xmlns:r="http://schemas.openxmlformats.org/officeDocument/2006/relationships" name="10_NGUON_TU_VUNG" sheetId="4" state="visible" r:id="rId4"/>
    <sheet xmlns:r="http://schemas.openxmlformats.org/officeDocument/2006/relationships" name="11_NGUON_KANJI" sheetId="5" state="visible" r:id="rId5"/>
    <sheet xmlns:r="http://schemas.openxmlformats.org/officeDocument/2006/relationships" name="12_NGUON_NGU_PHAP" sheetId="6" state="visible" r:id="rId6"/>
    <sheet xmlns:r="http://schemas.openxmlformats.org/officeDocument/2006/relationships" name="13_NGUON_TINH_HUONG" sheetId="7" state="visible" r:id="rId7"/>
    <sheet xmlns:r="http://schemas.openxmlformats.org/officeDocument/2006/relationships" name="IN_01_語の意味" sheetId="8" state="visible" r:id="rId8"/>
    <sheet xmlns:r="http://schemas.openxmlformats.org/officeDocument/2006/relationships" name="IN_02_語の使い方" sheetId="9" state="visible" r:id="rId9"/>
    <sheet xmlns:r="http://schemas.openxmlformats.org/officeDocument/2006/relationships" name="IN_03_漢字の読み" sheetId="10" state="visible" r:id="rId10"/>
    <sheet xmlns:r="http://schemas.openxmlformats.org/officeDocument/2006/relationships" name="IN_04_漢字の表記" sheetId="11" state="visible" r:id="rId11"/>
    <sheet xmlns:r="http://schemas.openxmlformats.org/officeDocument/2006/relationships" name="IN_05_表現" sheetId="12" state="visible" r:id="rId12"/>
    <sheet xmlns:r="http://schemas.openxmlformats.org/officeDocument/2006/relationships" name="IN_06_文法" sheetId="13" state="visible" r:id="rId13"/>
    <sheet xmlns:r="http://schemas.openxmlformats.org/officeDocument/2006/relationships" name="IN_07_会話の聴解" sheetId="14" state="visible" r:id="rId14"/>
    <sheet xmlns:r="http://schemas.openxmlformats.org/officeDocument/2006/relationships" name="IN_08_アナウンス" sheetId="15" state="visible" r:id="rId15"/>
    <sheet xmlns:r="http://schemas.openxmlformats.org/officeDocument/2006/relationships" name="IN_09_指示の聴解" sheetId="16" state="visible" r:id="rId16"/>
    <sheet xmlns:r="http://schemas.openxmlformats.org/officeDocument/2006/relationships" name="IN_10_掲示の読解" sheetId="17" state="visible" r:id="rId17"/>
    <sheet xmlns:r="http://schemas.openxmlformats.org/officeDocument/2006/relationships" name="IN_11_文章の読解" sheetId="18" state="visible" r:id="rId18"/>
    <sheet xmlns:r="http://schemas.openxmlformats.org/officeDocument/2006/relationships" name="20_PROMPT" sheetId="19" state="visible" r:id="rId19"/>
    <sheet xmlns:r="http://schemas.openxmlformats.org/officeDocument/2006/relationships" name="30_NGAN_HANG" sheetId="20" state="visible" r:id="rId20"/>
    <sheet xmlns:r="http://schemas.openxmlformats.org/officeDocument/2006/relationships" name="40_RAP_DE" sheetId="21" state="visible" r:id="rId21"/>
    <sheet xmlns:r="http://schemas.openxmlformats.org/officeDocument/2006/relationships" name="99_DANH_MUC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5F"/>
      <sz val="13"/>
    </font>
    <font>
      <b val="1"/>
      <color rgb="001F3A5F"/>
      <sz val="11"/>
    </font>
    <font>
      <b val="1"/>
      <color rgb="00FFFFFF"/>
    </font>
    <font>
      <i val="1"/>
      <color rgb="00595959"/>
    </font>
    <font>
      <b val="1"/>
      <color rgb="00000000"/>
    </font>
    <font>
      <b val="1"/>
      <color rgb="001F3A5F"/>
      <sz val="12"/>
    </font>
  </fonts>
  <fills count="7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DE9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6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JFT</author>
  </authors>
  <commentList>
    <comment ref="A2" authorId="0" shapeId="0">
      <text>
        <t>VD: TT-2026-01</t>
      </text>
    </comment>
    <comment ref="H2" authorId="0" shapeId="0">
      <text>
        <t>Số câu 語の意味 trong đề</t>
      </text>
    </comment>
    <comment ref="I2" authorId="0" shapeId="0">
      <text>
        <t>Số câu 語の使い方 trong đề</t>
      </text>
    </comment>
    <comment ref="J2" authorId="0" shapeId="0">
      <text>
        <t>Số câu 漢字の読み trong đề</t>
      </text>
    </comment>
    <comment ref="K2" authorId="0" shapeId="0">
      <text>
        <t>Số câu 漢字の表記 trong đề</t>
      </text>
    </comment>
    <comment ref="L2" authorId="0" shapeId="0">
      <text>
        <t>Số câu 表現 trong đề</t>
      </text>
    </comment>
    <comment ref="M2" authorId="0" shapeId="0">
      <text>
        <t>Số câu 文法 trong đề</t>
      </text>
    </comment>
    <comment ref="N2" authorId="0" shapeId="0">
      <text>
        <t>Số câu 会話の聴解 trong đề</t>
      </text>
    </comment>
    <comment ref="O2" authorId="0" shapeId="0">
      <text>
        <t>Số câu アナウンス trong đề</t>
      </text>
    </comment>
    <comment ref="P2" authorId="0" shapeId="0">
      <text>
        <t>Số câu 指示の聴解 trong đề</t>
      </text>
    </comment>
    <comment ref="Q2" authorId="0" shapeId="0">
      <text>
        <t>Số câu 掲示の読解 trong đề</t>
      </text>
    </comment>
    <comment ref="R2" authorId="0" shapeId="0">
      <text>
        <t>Số câu 文章の読解 trong đề</t>
      </text>
    </comment>
    <comment ref="S2" authorId="0" shapeId="0">
      <text>
        <t>Tự tính</t>
      </text>
    </comment>
  </commentList>
</comments>
</file>

<file path=xl/comments/comment2.xml><?xml version="1.0" encoding="utf-8"?>
<comments xmlns="http://schemas.openxmlformats.org/spreadsheetml/2006/main">
  <authors>
    <author>JFT</author>
  </authors>
  <commentList>
    <comment ref="B1" authorId="0" shapeId="0">
      <text>
        <t>Số bài (第○課)</t>
      </text>
    </comment>
    <comment ref="D1" authorId="0" shapeId="0">
      <text>
        <t>Kanji/kana đúng như giáo trình</t>
      </text>
    </comment>
    <comment ref="G1" authorId="0" shapeId="0">
      <text>
        <t>Danh/Động/Tính い/Tính な/Phó…</t>
      </text>
    </comment>
    <comment ref="H1" authorId="0" shapeId="0">
      <text>
        <t>Đồ ăn, giao thông, công việc…</t>
      </text>
    </comment>
    <comment ref="I1" authorId="0" shapeId="0">
      <text>
        <t>Y/N — dùng cho 語の意味 dạng hình</t>
      </text>
    </comment>
    <comment ref="J1" authorId="0" shapeId="0">
      <text>
        <t>Từ gần nghĩa/gần âm, ngăn cách ;</t>
      </text>
    </comment>
    <comment ref="K1" authorId="0" shapeId="0">
      <text>
        <t>Tự động</t>
      </text>
    </comment>
  </commentList>
</comments>
</file>

<file path=xl/comments/comment3.xml><?xml version="1.0" encoding="utf-8"?>
<comments xmlns="http://schemas.openxmlformats.org/spreadsheetml/2006/main">
  <authors>
    <author>JFT</author>
  </authors>
  <commentList>
    <comment ref="B1" authorId="0" shapeId="0">
      <text>
        <t>Số bài (第○課)</t>
      </text>
    </comment>
    <comment ref="E1" authorId="0" shapeId="0">
      <text>
        <t>ngăn cách ;</t>
      </text>
    </comment>
    <comment ref="F1" authorId="0" shapeId="0">
      <text>
        <t>ngăn cách ; theo thứ tự cột trước</t>
      </text>
    </comment>
    <comment ref="I1" authorId="0" shapeId="0">
      <text>
        <t>VD: 休↔体, 未↔末</t>
      </text>
    </comment>
    <comment ref="J1" authorId="0" shapeId="0">
      <text>
        <t>Tự động</t>
      </text>
    </comment>
  </commentList>
</comments>
</file>

<file path=xl/comments/comment4.xml><?xml version="1.0" encoding="utf-8"?>
<comments xmlns="http://schemas.openxmlformats.org/spreadsheetml/2006/main">
  <authors>
    <author>JFT</author>
  </authors>
  <commentList>
    <comment ref="B1" authorId="0" shapeId="0">
      <text>
        <t>Số bài (第○課)</t>
      </text>
    </comment>
    <comment ref="D1" authorId="0" shapeId="0">
      <text>
        <t>VD: 〜てください</t>
      </text>
    </comment>
    <comment ref="E1" authorId="0" shapeId="0">
      <text>
        <t>Nhờ vả, xin phép, mời…</t>
      </text>
    </comment>
    <comment ref="G1" authorId="0" shapeId="0">
      <text>
        <t>Dùng làm phương án nhiễu, ngăn cách ;</t>
      </text>
    </comment>
    <comment ref="H1" authorId="0" shapeId="0">
      <text>
        <t>Tự động</t>
      </text>
    </comment>
  </commentList>
</comments>
</file>

<file path=xl/comments/comment5.xml><?xml version="1.0" encoding="utf-8"?>
<comments xmlns="http://schemas.openxmlformats.org/spreadsheetml/2006/main">
  <authors>
    <author>JFT</author>
  </authors>
  <commentList>
    <comment ref="B1" authorId="0" shapeId="0">
      <text>
        <t>Số bài (第○課)</t>
      </text>
    </comment>
    <comment ref="D1" authorId="0" shapeId="0">
      <text>
        <t>VD: TH-入門-05-01</t>
      </text>
    </comment>
    <comment ref="E1" authorId="0" shapeId="0">
      <text>
        <t>Chép đúng can-do của bài</t>
      </text>
    </comment>
    <comment ref="F1" authorId="0" shapeId="0">
      <text>
        <t>Cửa hàng, ga, công ty…</t>
      </text>
    </comment>
    <comment ref="G1" authorId="0" shapeId="0">
      <text>
        <t>VD: nhân viên mới – sếp</t>
      </text>
    </comment>
    <comment ref="I1" authorId="0" shapeId="0">
      <text>
        <t>表現/聴解/読解, ngăn cách ;</t>
      </text>
    </comment>
    <comment ref="J1" authorId="0" shapeId="0">
      <text>
        <t>Tự động</t>
      </text>
    </comment>
  </commentList>
</comments>
</file>

<file path=xl/comments/comment6.xml><?xml version="1.0" encoding="utf-8"?>
<comments xmlns="http://schemas.openxmlformats.org/spreadsheetml/2006/main">
  <authors>
    <author>JFT</author>
  </authors>
  <commentList>
    <comment ref="A2" authorId="0" shapeId="0">
      <text>
        <t>Tự sinh: IN_xx-0001</t>
      </text>
    </comment>
    <comment ref="B2" authorId="0" shapeId="0">
      <text>
        <t>Để trống nếu sinh vào ngân hàng chung</t>
      </text>
    </comment>
    <comment ref="E2" authorId="0" shapeId="0">
      <text>
        <t>1–5 / lần chạy</t>
      </text>
    </comment>
    <comment ref="F2" authorId="0" shapeId="0">
      <text>
        <t>Lấy từ 10_NGUON_TU_VUNG</t>
      </text>
    </comment>
    <comment ref="H2" authorId="0" shapeId="0">
      <text>
        <t>Chữ / Hình 4 ô</t>
      </text>
    </comment>
    <comment ref="I2" authorId="0" shapeId="0">
      <text>
        <t>Câu chứa ___ hoặc mô tả hình</t>
      </text>
    </comment>
    <comment ref="J2" authorId="0" shapeId="0">
      <text>
        <t>ngăn cách ;</t>
      </text>
    </comment>
    <comment ref="K2" authorId="0" shapeId="0">
      <text>
        <t>Yêu cầu thêm, VD: tránh chủ đề đồ ăn</t>
      </text>
    </comment>
    <comment ref="O2" authorId="0" shapeId="0">
      <text>
        <t>Tự động</t>
      </text>
    </comment>
    <comment ref="P2" authorId="0" shapeId="0">
      <text>
        <t>Tự động</t>
      </text>
    </comment>
  </commentList>
</comments>
</file>

<file path=xl/comments/comment7.xml><?xml version="1.0" encoding="utf-8"?>
<comments xmlns="http://schemas.openxmlformats.org/spreadsheetml/2006/main">
  <authors>
    <author>JFT</author>
  </authors>
  <commentList>
    <comment ref="A2" authorId="0" shapeId="0">
      <text>
        <t>Tự sinh: IN_xx-0001</t>
      </text>
    </comment>
    <comment ref="B2" authorId="0" shapeId="0">
      <text>
        <t>Để trống nếu sinh vào ngân hàng chung</t>
      </text>
    </comment>
    <comment ref="E2" authorId="0" shapeId="0">
      <text>
        <t>1–5 / lần chạy</t>
      </text>
    </comment>
    <comment ref="G2" authorId="0" shapeId="0">
      <text>
        <t>Câu chứa chỗ trống</t>
      </text>
    </comment>
    <comment ref="H2" authorId="0" shapeId="0">
      <text>
        <t>VD: 電話を かける</t>
      </text>
    </comment>
    <comment ref="I2" authorId="0" shapeId="0">
      <text>
        <t>VD: nhầm 着る/はく</t>
      </text>
    </comment>
    <comment ref="J2" authorId="0" shapeId="0">
      <text>
        <t>Yêu cầu thêm, VD: tránh chủ đề đồ ăn</t>
      </text>
    </comment>
    <comment ref="N2" authorId="0" shapeId="0">
      <text>
        <t>Tự động</t>
      </text>
    </comment>
    <comment ref="O2" authorId="0" shapeId="0">
      <text>
        <t>Tự động</t>
      </text>
    </comment>
  </commentList>
</comments>
</file>

<file path=xl/comments/comment8.xml><?xml version="1.0" encoding="utf-8"?>
<comments xmlns="http://schemas.openxmlformats.org/spreadsheetml/2006/main">
  <authors>
    <author>JFT</author>
  </authors>
  <commentList>
    <comment ref="A2" authorId="0" shapeId="0">
      <text>
        <t>Tự sinh: IN_xx-0001</t>
      </text>
    </comment>
    <comment ref="B2" authorId="0" shapeId="0">
      <text>
        <t>Để trống nếu sinh vào ngân hàng chung</t>
      </text>
    </comment>
    <comment ref="E2" authorId="0" shapeId="0">
      <text>
        <t>1–5 / lần chạy</t>
      </text>
    </comment>
    <comment ref="G2" authorId="0" shapeId="0">
      <text>
        <t>hiragana</t>
      </text>
    </comment>
    <comment ref="H2" authorId="0" shapeId="0">
      <text>
        <t>Câu chứa từ đích</t>
      </text>
    </comment>
    <comment ref="I2" authorId="0" shapeId="0">
      <text>
        <t>Trường âm / âm đục / âm ngắt / On-Kun, ngăn cách ;</t>
      </text>
    </comment>
    <comment ref="J2" authorId="0" shapeId="0">
      <text>
        <t>Yêu cầu thêm, VD: tránh chủ đề đồ ăn</t>
      </text>
    </comment>
    <comment ref="N2" authorId="0" shapeId="0">
      <text>
        <t>Tự động</t>
      </text>
    </comment>
    <comment ref="O2" authorId="0" shapeId="0">
      <text>
        <t>Tự động</t>
      </text>
    </comment>
  </commentList>
</comments>
</file>

<file path=xl/comments/comment9.xml><?xml version="1.0" encoding="utf-8"?>
<comments xmlns="http://schemas.openxmlformats.org/spreadsheetml/2006/main">
  <authors>
    <author>JFT</author>
  </authors>
  <commentList>
    <comment ref="A2" authorId="0" shapeId="0">
      <text>
        <t>Tự sinh: IN_xx-0001</t>
      </text>
    </comment>
    <comment ref="B2" authorId="0" shapeId="0">
      <text>
        <t>Để trống nếu sinh vào ngân hàng chung</t>
      </text>
    </comment>
    <comment ref="E2" authorId="0" shapeId="0">
      <text>
        <t>1–5 / lần chạy</t>
      </text>
    </comment>
    <comment ref="I2" authorId="0" shapeId="0">
      <text>
        <t>Giống hình / cùng âm, ngăn cách ;</t>
      </text>
    </comment>
    <comment ref="J2" authorId="0" shapeId="0">
      <text>
        <t>Yêu cầu thêm, VD: tránh chủ đề đồ ăn</t>
      </text>
    </comment>
    <comment ref="N2" authorId="0" shapeId="0">
      <text>
        <t>Tự động</t>
      </text>
    </comment>
    <comment ref="O2" authorId="0" shapeId="0">
      <text>
        <t>Tự động</t>
      </text>
    </comment>
  </commentList>
</comments>
</file>

<file path=xl/comments/comment10.xml><?xml version="1.0" encoding="utf-8"?>
<comments xmlns="http://schemas.openxmlformats.org/spreadsheetml/2006/main">
  <authors>
    <author>JFT</author>
  </authors>
  <commentList>
    <comment ref="A2" authorId="0" shapeId="0">
      <text>
        <t>Tự sinh: IN_xx-0001</t>
      </text>
    </comment>
    <comment ref="B2" authorId="0" shapeId="0">
      <text>
        <t>Để trống nếu sinh vào ngân hàng chung</t>
      </text>
    </comment>
    <comment ref="E2" authorId="0" shapeId="0">
      <text>
        <t>1–5 / lần chạy</t>
      </text>
    </comment>
    <comment ref="F2" authorId="0" shapeId="0">
      <text>
        <t>Lấy từ 13_NGUON_TINH_HUONG</t>
      </text>
    </comment>
    <comment ref="G2" authorId="0" shapeId="0">
      <text>
        <t>Xin phép, cảm ơn, xin lỗi, mời…</t>
      </text>
    </comment>
    <comment ref="H2" authorId="0" shapeId="0">
      <text>
        <t>VD: nhân viên → sếp</t>
      </text>
    </comment>
    <comment ref="L2" authorId="0" shapeId="0">
      <text>
        <t>Sai chức năng / sai mức lịch sự</t>
      </text>
    </comment>
    <comment ref="M2" authorId="0" shapeId="0">
      <text>
        <t>Yêu cầu thêm, VD: tránh chủ đề đồ ăn</t>
      </text>
    </comment>
    <comment ref="Q2" authorId="0" shapeId="0">
      <text>
        <t>Tự động</t>
      </text>
    </comment>
    <comment ref="R2" authorId="0" shapeId="0">
      <text>
        <t>Tự động</t>
      </text>
    </comment>
  </commentList>
</comments>
</file>

<file path=xl/comments/comment11.xml><?xml version="1.0" encoding="utf-8"?>
<comments xmlns="http://schemas.openxmlformats.org/spreadsheetml/2006/main">
  <authors>
    <author>JFT</author>
  </authors>
  <commentList>
    <comment ref="A2" authorId="0" shapeId="0">
      <text>
        <t>Tự sinh: IN_xx-0001</t>
      </text>
    </comment>
    <comment ref="B2" authorId="0" shapeId="0">
      <text>
        <t>Để trống nếu sinh vào ngân hàng chung</t>
      </text>
    </comment>
    <comment ref="E2" authorId="0" shapeId="0">
      <text>
        <t>1–5 / lần chạy</t>
      </text>
    </comment>
    <comment ref="F2" authorId="0" shapeId="0">
      <text>
        <t>Lấy từ 12_NGUON_NGU_PHAP</t>
      </text>
    </comment>
    <comment ref="G2" authorId="0" shapeId="0">
      <text>
        <t>Hội thoại A-B / câu đơn</t>
      </text>
    </comment>
    <comment ref="I2" authorId="0" shapeId="0">
      <text>
        <t>Trợ từ / đuôi động từ / liên từ</t>
      </text>
    </comment>
    <comment ref="J2" authorId="0" shapeId="0">
      <text>
        <t>ngăn cách ;</t>
      </text>
    </comment>
    <comment ref="K2" authorId="0" shapeId="0">
      <text>
        <t>Yêu cầu thêm, VD: tránh chủ đề đồ ăn</t>
      </text>
    </comment>
    <comment ref="O2" authorId="0" shapeId="0">
      <text>
        <t>Tự động</t>
      </text>
    </comment>
    <comment ref="P2" authorId="0" shapeId="0">
      <text>
        <t>Tự động</t>
      </text>
    </comment>
  </commentList>
</comments>
</file>

<file path=xl/comments/comment12.xml><?xml version="1.0" encoding="utf-8"?>
<comments xmlns="http://schemas.openxmlformats.org/spreadsheetml/2006/main">
  <authors>
    <author>JFT</author>
  </authors>
  <commentList>
    <comment ref="A2" authorId="0" shapeId="0">
      <text>
        <t>Tự sinh: IN_xx-0001</t>
      </text>
    </comment>
    <comment ref="B2" authorId="0" shapeId="0">
      <text>
        <t>Để trống nếu sinh vào ngân hàng chung</t>
      </text>
    </comment>
    <comment ref="E2" authorId="0" shapeId="0">
      <text>
        <t>1–5 / lần chạy</t>
      </text>
    </comment>
    <comment ref="H2" authorId="0" shapeId="0">
      <text>
        <t>VD: F=nhân viên cửa hàng; M=khách</t>
      </text>
    </comment>
    <comment ref="I2" authorId="0" shapeId="0">
      <text>
        <t>Hỏi cái gì? Mấy giờ? Ở đâu?</t>
      </text>
    </comment>
    <comment ref="J2" authorId="0" shapeId="0">
      <text>
        <t>Chữ / Hình 4 ô</t>
      </text>
    </comment>
    <comment ref="K2" authorId="0" shapeId="0">
      <text>
        <t>Thông tin được nhắc rồi bị đổi/phủ định</t>
      </text>
    </comment>
    <comment ref="L2" authorId="0" shapeId="0">
      <text>
        <t>4–8</t>
      </text>
    </comment>
    <comment ref="N2" authorId="0" shapeId="0">
      <text>
        <t>Yêu cầu thêm, VD: tránh chủ đề đồ ăn</t>
      </text>
    </comment>
    <comment ref="R2" authorId="0" shapeId="0">
      <text>
        <t>Tự động</t>
      </text>
    </comment>
    <comment ref="S2" authorId="0" shapeId="0">
      <text>
        <t>Tự động</t>
      </text>
    </comment>
  </commentList>
</comments>
</file>

<file path=xl/comments/comment13.xml><?xml version="1.0" encoding="utf-8"?>
<comments xmlns="http://schemas.openxmlformats.org/spreadsheetml/2006/main">
  <authors>
    <author>JFT</author>
  </authors>
  <commentList>
    <comment ref="A2" authorId="0" shapeId="0">
      <text>
        <t>Tự sinh: IN_xx-0001</t>
      </text>
    </comment>
    <comment ref="B2" authorId="0" shapeId="0">
      <text>
        <t>Để trống nếu sinh vào ngân hàng chung</t>
      </text>
    </comment>
    <comment ref="E2" authorId="0" shapeId="0">
      <text>
        <t>1–5 / lần chạy</t>
      </text>
    </comment>
    <comment ref="F2" authorId="0" shapeId="0">
      <text>
        <t>Ga, siêu thị, công ty, khu dân cư</t>
      </text>
    </comment>
    <comment ref="G2" authorId="0" shapeId="0">
      <text>
        <t>Trễ tàu, giảm giá, sự cố, lịch họp</t>
      </text>
    </comment>
    <comment ref="H2" authorId="0" shapeId="0">
      <text>
        <t>Giờ / số / địa điểm / hành động</t>
      </text>
    </comment>
    <comment ref="I2" authorId="0" shapeId="0">
      <text>
        <t>F/M</t>
      </text>
    </comment>
    <comment ref="K2" authorId="0" shapeId="0">
      <text>
        <t>15–40</t>
      </text>
    </comment>
    <comment ref="L2" authorId="0" shapeId="0">
      <text>
        <t>Yêu cầu thêm, VD: tránh chủ đề đồ ăn</t>
      </text>
    </comment>
    <comment ref="P2" authorId="0" shapeId="0">
      <text>
        <t>Tự động</t>
      </text>
    </comment>
    <comment ref="Q2" authorId="0" shapeId="0">
      <text>
        <t>Tự động</t>
      </text>
    </comment>
  </commentList>
</comments>
</file>

<file path=xl/comments/comment14.xml><?xml version="1.0" encoding="utf-8"?>
<comments xmlns="http://schemas.openxmlformats.org/spreadsheetml/2006/main">
  <authors>
    <author>JFT</author>
  </authors>
  <commentList>
    <comment ref="A2" authorId="0" shapeId="0">
      <text>
        <t>Tự sinh: IN_xx-0001</t>
      </text>
    </comment>
    <comment ref="B2" authorId="0" shapeId="0">
      <text>
        <t>Để trống nếu sinh vào ngân hàng chung</t>
      </text>
    </comment>
    <comment ref="E2" authorId="0" shapeId="0">
      <text>
        <t>1–5 / lần chạy</t>
      </text>
    </comment>
    <comment ref="G2" authorId="0" shapeId="0">
      <text>
        <t>VD: chuẩn bị phòng họp</t>
      </text>
    </comment>
    <comment ref="H2" authorId="0" shapeId="0">
      <text>
        <t>Phải làm gì trước tiên?</t>
      </text>
    </comment>
    <comment ref="I2" authorId="0" shapeId="0">
      <text>
        <t>2–4</t>
      </text>
    </comment>
    <comment ref="J2" authorId="0" shapeId="0">
      <text>
        <t>Bước bị huỷ / đổi thứ tự</t>
      </text>
    </comment>
    <comment ref="K2" authorId="0" shapeId="0">
      <text>
        <t>Chữ / Hình 4 ô</t>
      </text>
    </comment>
    <comment ref="L2" authorId="0" shapeId="0">
      <text>
        <t>Yêu cầu thêm, VD: tránh chủ đề đồ ăn</t>
      </text>
    </comment>
    <comment ref="P2" authorId="0" shapeId="0">
      <text>
        <t>Tự động</t>
      </text>
    </comment>
    <comment ref="Q2" authorId="0" shapeId="0">
      <text>
        <t>Tự động</t>
      </text>
    </comment>
  </commentList>
</comments>
</file>

<file path=xl/comments/comment15.xml><?xml version="1.0" encoding="utf-8"?>
<comments xmlns="http://schemas.openxmlformats.org/spreadsheetml/2006/main">
  <authors>
    <author>JFT</author>
  </authors>
  <commentList>
    <comment ref="A2" authorId="0" shapeId="0">
      <text>
        <t>Tự sinh: IN_xx-0001</t>
      </text>
    </comment>
    <comment ref="B2" authorId="0" shapeId="0">
      <text>
        <t>Để trống nếu sinh vào ngân hàng chung</t>
      </text>
    </comment>
    <comment ref="E2" authorId="0" shapeId="0">
      <text>
        <t>1–5 / lần chạy</t>
      </text>
    </comment>
    <comment ref="F2" authorId="0" shapeId="0">
      <text>
        <t>Biển báo, poster, lịch, tin nhắn, thực đơn, nội quy</t>
      </text>
    </comment>
    <comment ref="I2" authorId="0" shapeId="0">
      <text>
        <t>Ngày, giờ, giá, điều kiện… ngăn cách ;</t>
      </text>
    </comment>
    <comment ref="K2" authorId="0" shapeId="0">
      <text>
        <t>Y/N</t>
      </text>
    </comment>
    <comment ref="L2" authorId="0" shapeId="0">
      <text>
        <t>Yêu cầu thêm, VD: tránh chủ đề đồ ăn</t>
      </text>
    </comment>
    <comment ref="P2" authorId="0" shapeId="0">
      <text>
        <t>Tự động</t>
      </text>
    </comment>
    <comment ref="Q2" authorId="0" shapeId="0">
      <text>
        <t>Tự động</t>
      </text>
    </comment>
  </commentList>
</comments>
</file>

<file path=xl/comments/comment16.xml><?xml version="1.0" encoding="utf-8"?>
<comments xmlns="http://schemas.openxmlformats.org/spreadsheetml/2006/main">
  <authors>
    <author>JFT</author>
  </authors>
  <commentList>
    <comment ref="A2" authorId="0" shapeId="0">
      <text>
        <t>Tự sinh: IN_xx-0001</t>
      </text>
    </comment>
    <comment ref="B2" authorId="0" shapeId="0">
      <text>
        <t>Để trống nếu sinh vào ngân hàng chung</t>
      </text>
    </comment>
    <comment ref="E2" authorId="0" shapeId="0">
      <text>
        <t>1–5 / lần chạy</t>
      </text>
    </comment>
    <comment ref="F2" authorId="0" shapeId="0">
      <text>
        <t>Email, blog, thông báo, bài viết</t>
      </text>
    </comment>
    <comment ref="H2" authorId="0" shapeId="0">
      <text>
        <t>1–3, mỗi câu thành 1 dòng LMS</t>
      </text>
    </comment>
    <comment ref="I2" authorId="0" shapeId="0">
      <text>
        <t>150–400</t>
      </text>
    </comment>
    <comment ref="K2" authorId="0" shapeId="0">
      <text>
        <t>ngăn cách ;</t>
      </text>
    </comment>
    <comment ref="L2" authorId="0" shapeId="0">
      <text>
        <t>Yêu cầu thêm, VD: tránh chủ đề đồ ăn</t>
      </text>
    </comment>
    <comment ref="P2" authorId="0" shapeId="0">
      <text>
        <t>Tự động</t>
      </text>
    </comment>
    <comment ref="Q2" authorId="0" shapeId="0">
      <text>
        <t>Tự động</t>
      </text>
    </comment>
  </commentList>
</comments>
</file>

<file path=xl/comments/comment17.xml><?xml version="1.0" encoding="utf-8"?>
<comments xmlns="http://schemas.openxmlformats.org/spreadsheetml/2006/main">
  <authors>
    <author>JFT</author>
  </authors>
  <commentList>
    <comment ref="A1" authorId="0" shapeId="0">
      <text>
        <t>Tự sinh</t>
      </text>
    </comment>
    <comment ref="B1" authorId="0" shapeId="0">
      <text>
        <t>Liên kết IN_xx</t>
      </text>
    </comment>
    <comment ref="G1" authorId="0" shapeId="0">
      <text>
        <t>→ cột Content LMS</t>
      </text>
    </comment>
    <comment ref="H1" authorId="0" shapeId="0">
      <text>
        <t>Script: F:/M:/N: mỗi lượt 1 dòng</t>
      </text>
    </comment>
    <comment ref="M1" authorId="0" shapeId="0">
      <text>
        <t>→ Correct Answer LMS</t>
      </text>
    </comment>
    <comment ref="N1" authorId="0" shapeId="0">
      <text>
        <t>→ Explanation LMS</t>
      </text>
    </comment>
    <comment ref="X1" authorId="0" shapeId="0">
      <text>
        <t>Ngoài phạm vi / 2 đáp án đúng / sai tiếng Nhật / nhiễu yếu / lộ đáp án</t>
      </text>
    </comment>
    <comment ref="Z1" authorId="0" shapeId="0">
      <text>
        <t>Tự động</t>
      </text>
    </comment>
    <comment ref="AA1" authorId="0" shapeId="0">
      <text>
        <t>Tự động</t>
      </text>
    </comment>
  </commentList>
</comments>
</file>

<file path=xl/comments/comment18.xml><?xml version="1.0" encoding="utf-8"?>
<comments xmlns="http://schemas.openxmlformats.org/spreadsheetml/2006/main">
  <authors>
    <author>JFT</author>
  </authors>
  <commentList>
    <comment ref="D1" authorId="0" shapeId="0">
      <text>
        <t>Tự động</t>
      </text>
    </comment>
    <comment ref="E1" authorId="0" shapeId="0">
      <text>
        <t>Tự động — phải là Approved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HỆ THỐNG TẠO ĐỀ JFT-BASIC — PHẠM VI いろどり</t>
        </is>
      </c>
      <c r="B1" t="inlineStr"/>
    </row>
    <row r="2">
      <c r="A2" t="inlineStr"/>
      <c r="B2" t="inlineStr"/>
    </row>
    <row r="3">
      <c r="A3" s="2" t="inlineStr">
        <is>
          <t>FLOW</t>
        </is>
      </c>
      <c r="B3" t="inlineStr">
        <is>
          <t>Kế hoạch → Nhập nguồn → Nhập yêu cầu theo dạng bài → AI sinh → Duyệt → Ráp đề → Xuất LMS → Thống kê</t>
        </is>
      </c>
    </row>
    <row r="4">
      <c r="A4" t="inlineStr"/>
      <c r="B4" t="inlineStr"/>
    </row>
    <row r="5">
      <c r="A5" s="2" t="inlineStr">
        <is>
          <t>Nhóm sheet</t>
        </is>
      </c>
      <c r="B5" t="inlineStr">
        <is>
          <t>Vai trò</t>
        </is>
      </c>
    </row>
    <row r="6">
      <c r="A6" t="inlineStr">
        <is>
          <t>01_KE_HOACH</t>
        </is>
      </c>
      <c r="B6" t="inlineStr">
        <is>
          <t>Lên kế hoạch từng đề thi thử: ngày thi, phạm vi bài, số câu mỗi dạng, người phụ trách</t>
        </is>
      </c>
    </row>
    <row r="7">
      <c r="A7" t="inlineStr">
        <is>
          <t>02_THONG_KE</t>
        </is>
      </c>
      <c r="B7" t="inlineStr">
        <is>
          <t>Tự động: số câu theo dạng × trạng thái, độ phủ theo bài, đủ/thiếu so với kế hoạch</t>
        </is>
      </c>
    </row>
    <row r="8">
      <c r="A8" t="inlineStr">
        <is>
          <t>10–13_NGUON_*</t>
        </is>
      </c>
      <c r="B8" t="inlineStr">
        <is>
          <t>Dữ liệu nguồn từ giáo trình Irodori: từ vựng, kanji, ngữ pháp, tình huống. AI chỉ được dùng trong phạm vi này</t>
        </is>
      </c>
    </row>
    <row r="9">
      <c r="A9" t="inlineStr">
        <is>
          <t>IN_01 → IN_11</t>
        </is>
      </c>
      <c r="B9" t="inlineStr">
        <is>
          <t>Phiếu yêu cầu sinh câu cho từng dạng bài. 1 dòng = 1 yêu cầu (có thể sinh nhiều câu)</t>
        </is>
      </c>
    </row>
    <row r="10">
      <c r="A10" t="inlineStr">
        <is>
          <t>20_PROMPT</t>
        </is>
      </c>
      <c r="B10" t="inlineStr">
        <is>
          <t>Mẫu prompt cho từng dạng bài, Apps Script thay {biến} bằng dữ liệu dòng IN_xx</t>
        </is>
      </c>
    </row>
    <row r="11">
      <c r="A11" t="inlineStr">
        <is>
          <t>30_NGAN_HANG</t>
        </is>
      </c>
      <c r="B11" t="inlineStr">
        <is>
          <t>Ngân hàng câu hỏi sau khi AI sinh + cột duyệt VN/JP</t>
        </is>
      </c>
    </row>
    <row r="12">
      <c r="A12" t="inlineStr">
        <is>
          <t>40_RAP_DE</t>
        </is>
      </c>
      <c r="B12" t="inlineStr">
        <is>
          <t>Danh sách câu đã chọn cho từng mã đề → xuất file import LMS</t>
        </is>
      </c>
    </row>
    <row r="13">
      <c r="A13" t="inlineStr">
        <is>
          <t>99_DANH_MUC</t>
        </is>
      </c>
      <c r="B13" t="inlineStr">
        <is>
          <t>Danh mục dùng cho dropdown. Sửa ở đây, không sửa trong ô</t>
        </is>
      </c>
    </row>
    <row r="14">
      <c r="A14" t="inlineStr"/>
      <c r="B14" t="inlineStr"/>
    </row>
    <row r="15">
      <c r="A15" s="2" t="inlineStr">
        <is>
          <t>Màu tiêu đề cột</t>
        </is>
      </c>
      <c r="B15" t="inlineStr"/>
    </row>
    <row r="16">
      <c r="A16" s="3" t="inlineStr">
        <is>
          <t>Xanh dương nhạt</t>
        </is>
      </c>
      <c r="B16" t="inlineStr">
        <is>
          <t>Trường chung — bắt buộc ở mọi dạng bài</t>
        </is>
      </c>
    </row>
    <row r="17">
      <c r="A17" s="4" t="inlineStr">
        <is>
          <t>Cam nhạt</t>
        </is>
      </c>
      <c r="B17" t="inlineStr">
        <is>
          <t>Trường riêng của dạng bài</t>
        </is>
      </c>
    </row>
    <row r="18">
      <c r="A18" s="5" t="inlineStr">
        <is>
          <t>Vàng</t>
        </is>
      </c>
      <c r="B18" t="inlineStr">
        <is>
          <t>Gợi ý cho AI (không bắt buộc, để trống thì AI tự chọn)</t>
        </is>
      </c>
    </row>
    <row r="19">
      <c r="A19" s="6" t="inlineStr">
        <is>
          <t>Xanh lá</t>
        </is>
      </c>
      <c r="B19" t="inlineStr">
        <is>
          <t>Tự động — KHÔNG nhập tay (công thức / Apps Script ghi)</t>
        </is>
      </c>
    </row>
    <row r="20">
      <c r="A20" t="inlineStr"/>
      <c r="B20" t="inlineStr"/>
    </row>
    <row r="21">
      <c r="A21" s="2" t="inlineStr">
        <is>
          <t>Quy tắc nhập</t>
        </is>
      </c>
      <c r="B21" t="inlineStr"/>
    </row>
    <row r="22">
      <c r="A22" t="inlineStr">
        <is>
          <t>1</t>
        </is>
      </c>
      <c r="B22" t="inlineStr">
        <is>
          <t>Tiếng Nhật nhập đúng dạng sẽ xuất hiện trong đề (kanji + furigana theo chuẩn JFT nếu cần)</t>
        </is>
      </c>
    </row>
    <row r="23">
      <c r="A23" t="inlineStr">
        <is>
          <t>2</t>
        </is>
      </c>
      <c r="B23" t="inlineStr">
        <is>
          <t>Nhiều giá trị trong 1 ô: ngăn cách bằng dấu ;  (ví dụ: 朝ご飯;昼ご飯;晩ご飯)</t>
        </is>
      </c>
    </row>
    <row r="24">
      <c r="A24" t="inlineStr">
        <is>
          <t>3</t>
        </is>
      </c>
      <c r="B24" t="inlineStr">
        <is>
          <t>Chỉ đổi Trạng thái = "Sẵn sàng sinh" khi đã điền đủ trường bắt buộc</t>
        </is>
      </c>
    </row>
    <row r="25">
      <c r="A25" t="inlineStr">
        <is>
          <t>4</t>
        </is>
      </c>
      <c r="B25" t="inlineStr">
        <is>
          <t>Mỗi câu AI sinh luôn vào Draft — chỉ câu Approved mới được ráp đề</t>
        </is>
      </c>
    </row>
    <row r="26">
      <c r="A26" t="inlineStr">
        <is>
          <t>5</t>
        </is>
      </c>
      <c r="B26" t="inlineStr">
        <is>
          <t>Dòng có chữ VÍ DỤ ở cột Ghi chú là dòng mẫu minh hoạ — xoá trước khi chạy thật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W20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20" customWidth="1" min="4" max="4"/>
    <col width="14" customWidth="1" min="5" max="5"/>
    <col width="16" customWidth="1" min="6" max="6"/>
    <col width="18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20" customWidth="1" min="19" max="19"/>
    <col width="22" customWidth="1" min="20" max="20"/>
    <col width="32" customWidth="1" min="21" max="21"/>
    <col width="24" customWidth="1" min="22" max="22"/>
    <col width="18" customWidth="1" min="23" max="23"/>
  </cols>
  <sheetData>
    <row r="1">
      <c r="A1" s="7" t="inlineStr">
        <is>
          <t>Mỗi dòng = 1 đề thi thử. Số câu mỗi dạng lấy theo cấu trúc đề JFT chính thức (đối chiếu đề mẫu Japan Foundation).</t>
        </is>
      </c>
    </row>
    <row r="2" ht="42" customHeight="1">
      <c r="A2" s="8" t="inlineStr">
        <is>
          <t>Mã đề</t>
        </is>
      </c>
      <c r="B2" s="8" t="inlineStr">
        <is>
          <t>Tên đề</t>
        </is>
      </c>
      <c r="C2" s="8" t="inlineStr">
        <is>
          <t>Lớp / đối tượng</t>
        </is>
      </c>
      <c r="D2" s="8" t="inlineStr">
        <is>
          <t>Ngày thi</t>
        </is>
      </c>
      <c r="E2" s="8" t="inlineStr">
        <is>
          <t>Quyển</t>
        </is>
      </c>
      <c r="F2" s="8" t="inlineStr">
        <is>
          <t>Bài từ</t>
        </is>
      </c>
      <c r="G2" s="8" t="inlineStr">
        <is>
          <t>Bài đến</t>
        </is>
      </c>
      <c r="H2" s="9" t="inlineStr">
        <is>
          <t>語の意味</t>
        </is>
      </c>
      <c r="I2" s="9" t="inlineStr">
        <is>
          <t>語の使い方</t>
        </is>
      </c>
      <c r="J2" s="9" t="inlineStr">
        <is>
          <t>漢字の読み</t>
        </is>
      </c>
      <c r="K2" s="9" t="inlineStr">
        <is>
          <t>漢字の表記</t>
        </is>
      </c>
      <c r="L2" s="9" t="inlineStr">
        <is>
          <t>表現</t>
        </is>
      </c>
      <c r="M2" s="9" t="inlineStr">
        <is>
          <t>文法</t>
        </is>
      </c>
      <c r="N2" s="9" t="inlineStr">
        <is>
          <t>会話の聴解</t>
        </is>
      </c>
      <c r="O2" s="9" t="inlineStr">
        <is>
          <t>アナウンス</t>
        </is>
      </c>
      <c r="P2" s="9" t="inlineStr">
        <is>
          <t>指示の聴解</t>
        </is>
      </c>
      <c r="Q2" s="9" t="inlineStr">
        <is>
          <t>掲示の読解</t>
        </is>
      </c>
      <c r="R2" s="9" t="inlineStr">
        <is>
          <t>文章の読解</t>
        </is>
      </c>
      <c r="S2" s="10" t="inlineStr">
        <is>
          <t>Tổng câu</t>
        </is>
      </c>
      <c r="T2" s="8" t="inlineStr">
        <is>
          <t>Phụ trách</t>
        </is>
      </c>
      <c r="U2" s="8" t="inlineStr">
        <is>
          <t>Deadline duyệt</t>
        </is>
      </c>
      <c r="V2" s="8" t="inlineStr">
        <is>
          <t>Trạng thái</t>
        </is>
      </c>
      <c r="W2" s="8" t="inlineStr">
        <is>
          <t>Ghi chú</t>
        </is>
      </c>
    </row>
    <row r="3">
      <c r="A3" t="inlineStr">
        <is>
          <t>TT-2026-01</t>
        </is>
      </c>
      <c r="B3" t="inlineStr">
        <is>
          <t>Thi thử giữa khoá (VÍ DỤ)</t>
        </is>
      </c>
      <c r="E3" t="inlineStr">
        <is>
          <t>入門</t>
        </is>
      </c>
      <c r="F3" t="n">
        <v>1</v>
      </c>
      <c r="G3" t="n">
        <v>9</v>
      </c>
      <c r="S3">
        <f>IF(A3="","",SUM(H3:R3))</f>
        <v/>
      </c>
    </row>
    <row r="4">
      <c r="S4">
        <f>IF(A4="","",SUM(H4:R4))</f>
        <v/>
      </c>
    </row>
    <row r="5">
      <c r="S5">
        <f>IF(A5="","",SUM(H5:R5))</f>
        <v/>
      </c>
    </row>
    <row r="6">
      <c r="S6">
        <f>IF(A6="","",SUM(H6:R6))</f>
        <v/>
      </c>
    </row>
    <row r="7">
      <c r="S7">
        <f>IF(A7="","",SUM(H7:R7))</f>
        <v/>
      </c>
    </row>
    <row r="8">
      <c r="S8">
        <f>IF(A8="","",SUM(H8:R8))</f>
        <v/>
      </c>
    </row>
    <row r="9">
      <c r="S9">
        <f>IF(A9="","",SUM(H9:R9))</f>
        <v/>
      </c>
    </row>
    <row r="10">
      <c r="S10">
        <f>IF(A10="","",SUM(H10:R10))</f>
        <v/>
      </c>
    </row>
    <row r="11">
      <c r="S11">
        <f>IF(A11="","",SUM(H11:R11))</f>
        <v/>
      </c>
    </row>
    <row r="12">
      <c r="S12">
        <f>IF(A12="","",SUM(H12:R12))</f>
        <v/>
      </c>
    </row>
    <row r="13">
      <c r="S13">
        <f>IF(A13="","",SUM(H13:R13))</f>
        <v/>
      </c>
    </row>
    <row r="14">
      <c r="S14">
        <f>IF(A14="","",SUM(H14:R14))</f>
        <v/>
      </c>
    </row>
    <row r="15">
      <c r="S15">
        <f>IF(A15="","",SUM(H15:R15))</f>
        <v/>
      </c>
    </row>
    <row r="16">
      <c r="S16">
        <f>IF(A16="","",SUM(H16:R16))</f>
        <v/>
      </c>
    </row>
    <row r="17">
      <c r="S17">
        <f>IF(A17="","",SUM(H17:R17))</f>
        <v/>
      </c>
    </row>
    <row r="18">
      <c r="S18">
        <f>IF(A18="","",SUM(H18:R18))</f>
        <v/>
      </c>
    </row>
    <row r="19">
      <c r="S19">
        <f>IF(A19="","",SUM(H19:R19))</f>
        <v/>
      </c>
    </row>
    <row r="20">
      <c r="S20">
        <f>IF(A20="","",SUM(H20:R20))</f>
        <v/>
      </c>
    </row>
    <row r="21">
      <c r="S21">
        <f>IF(A21="","",SUM(H21:R21))</f>
        <v/>
      </c>
    </row>
    <row r="22">
      <c r="S22">
        <f>IF(A22="","",SUM(H22:R22))</f>
        <v/>
      </c>
    </row>
    <row r="23">
      <c r="S23">
        <f>IF(A23="","",SUM(H23:R23))</f>
        <v/>
      </c>
    </row>
    <row r="24">
      <c r="S24">
        <f>IF(A24="","",SUM(H24:R24))</f>
        <v/>
      </c>
    </row>
    <row r="25">
      <c r="S25">
        <f>IF(A25="","",SUM(H25:R25))</f>
        <v/>
      </c>
    </row>
    <row r="26">
      <c r="S26">
        <f>IF(A26="","",SUM(H26:R26))</f>
        <v/>
      </c>
    </row>
    <row r="27">
      <c r="S27">
        <f>IF(A27="","",SUM(H27:R27))</f>
        <v/>
      </c>
    </row>
    <row r="28">
      <c r="S28">
        <f>IF(A28="","",SUM(H28:R28))</f>
        <v/>
      </c>
    </row>
    <row r="29">
      <c r="S29">
        <f>IF(A29="","",SUM(H29:R29))</f>
        <v/>
      </c>
    </row>
    <row r="30">
      <c r="S30">
        <f>IF(A30="","",SUM(H30:R30))</f>
        <v/>
      </c>
    </row>
    <row r="31">
      <c r="S31">
        <f>IF(A31="","",SUM(H31:R31))</f>
        <v/>
      </c>
    </row>
    <row r="32">
      <c r="S32">
        <f>IF(A32="","",SUM(H32:R32))</f>
        <v/>
      </c>
    </row>
    <row r="33">
      <c r="S33">
        <f>IF(A33="","",SUM(H33:R33))</f>
        <v/>
      </c>
    </row>
    <row r="34">
      <c r="S34">
        <f>IF(A34="","",SUM(H34:R34))</f>
        <v/>
      </c>
    </row>
    <row r="35">
      <c r="S35">
        <f>IF(A35="","",SUM(H35:R35))</f>
        <v/>
      </c>
    </row>
    <row r="36">
      <c r="S36">
        <f>IF(A36="","",SUM(H36:R36))</f>
        <v/>
      </c>
    </row>
    <row r="37">
      <c r="S37">
        <f>IF(A37="","",SUM(H37:R37))</f>
        <v/>
      </c>
    </row>
    <row r="38">
      <c r="S38">
        <f>IF(A38="","",SUM(H38:R38))</f>
        <v/>
      </c>
    </row>
    <row r="39">
      <c r="S39">
        <f>IF(A39="","",SUM(H39:R39))</f>
        <v/>
      </c>
    </row>
    <row r="40">
      <c r="S40">
        <f>IF(A40="","",SUM(H40:R40))</f>
        <v/>
      </c>
    </row>
    <row r="41">
      <c r="S41">
        <f>IF(A41="","",SUM(H41:R41))</f>
        <v/>
      </c>
    </row>
    <row r="42">
      <c r="S42">
        <f>IF(A42="","",SUM(H42:R42))</f>
        <v/>
      </c>
    </row>
    <row r="43">
      <c r="S43">
        <f>IF(A43="","",SUM(H43:R43))</f>
        <v/>
      </c>
    </row>
    <row r="44">
      <c r="S44">
        <f>IF(A44="","",SUM(H44:R44))</f>
        <v/>
      </c>
    </row>
    <row r="45">
      <c r="S45">
        <f>IF(A45="","",SUM(H45:R45))</f>
        <v/>
      </c>
    </row>
    <row r="46">
      <c r="S46">
        <f>IF(A46="","",SUM(H46:R46))</f>
        <v/>
      </c>
    </row>
    <row r="47">
      <c r="S47">
        <f>IF(A47="","",SUM(H47:R47))</f>
        <v/>
      </c>
    </row>
    <row r="48">
      <c r="S48">
        <f>IF(A48="","",SUM(H48:R48))</f>
        <v/>
      </c>
    </row>
    <row r="49">
      <c r="S49">
        <f>IF(A49="","",SUM(H49:R49))</f>
        <v/>
      </c>
    </row>
    <row r="50">
      <c r="S50">
        <f>IF(A50="","",SUM(H50:R50))</f>
        <v/>
      </c>
    </row>
    <row r="51">
      <c r="S51">
        <f>IF(A51="","",SUM(H51:R51))</f>
        <v/>
      </c>
    </row>
    <row r="52">
      <c r="S52">
        <f>IF(A52="","",SUM(H52:R52))</f>
        <v/>
      </c>
    </row>
    <row r="53">
      <c r="S53">
        <f>IF(A53="","",SUM(H53:R53))</f>
        <v/>
      </c>
    </row>
    <row r="54">
      <c r="S54">
        <f>IF(A54="","",SUM(H54:R54))</f>
        <v/>
      </c>
    </row>
    <row r="55">
      <c r="S55">
        <f>IF(A55="","",SUM(H55:R55))</f>
        <v/>
      </c>
    </row>
    <row r="56">
      <c r="S56">
        <f>IF(A56="","",SUM(H56:R56))</f>
        <v/>
      </c>
    </row>
    <row r="57">
      <c r="S57">
        <f>IF(A57="","",SUM(H57:R57))</f>
        <v/>
      </c>
    </row>
    <row r="58">
      <c r="S58">
        <f>IF(A58="","",SUM(H58:R58))</f>
        <v/>
      </c>
    </row>
    <row r="59">
      <c r="S59">
        <f>IF(A59="","",SUM(H59:R59))</f>
        <v/>
      </c>
    </row>
    <row r="60">
      <c r="S60">
        <f>IF(A60="","",SUM(H60:R60))</f>
        <v/>
      </c>
    </row>
    <row r="61">
      <c r="S61">
        <f>IF(A61="","",SUM(H61:R61))</f>
        <v/>
      </c>
    </row>
    <row r="62">
      <c r="S62">
        <f>IF(A62="","",SUM(H62:R62))</f>
        <v/>
      </c>
    </row>
    <row r="63">
      <c r="S63">
        <f>IF(A63="","",SUM(H63:R63))</f>
        <v/>
      </c>
    </row>
    <row r="64">
      <c r="S64">
        <f>IF(A64="","",SUM(H64:R64))</f>
        <v/>
      </c>
    </row>
    <row r="65">
      <c r="S65">
        <f>IF(A65="","",SUM(H65:R65))</f>
        <v/>
      </c>
    </row>
    <row r="66">
      <c r="S66">
        <f>IF(A66="","",SUM(H66:R66))</f>
        <v/>
      </c>
    </row>
    <row r="67">
      <c r="S67">
        <f>IF(A67="","",SUM(H67:R67))</f>
        <v/>
      </c>
    </row>
    <row r="68">
      <c r="S68">
        <f>IF(A68="","",SUM(H68:R68))</f>
        <v/>
      </c>
    </row>
    <row r="69">
      <c r="S69">
        <f>IF(A69="","",SUM(H69:R69))</f>
        <v/>
      </c>
    </row>
    <row r="70">
      <c r="S70">
        <f>IF(A70="","",SUM(H70:R70))</f>
        <v/>
      </c>
    </row>
    <row r="71">
      <c r="S71">
        <f>IF(A71="","",SUM(H71:R71))</f>
        <v/>
      </c>
    </row>
    <row r="72">
      <c r="S72">
        <f>IF(A72="","",SUM(H72:R72))</f>
        <v/>
      </c>
    </row>
    <row r="73">
      <c r="S73">
        <f>IF(A73="","",SUM(H73:R73))</f>
        <v/>
      </c>
    </row>
    <row r="74">
      <c r="S74">
        <f>IF(A74="","",SUM(H74:R74))</f>
        <v/>
      </c>
    </row>
    <row r="75">
      <c r="S75">
        <f>IF(A75="","",SUM(H75:R75))</f>
        <v/>
      </c>
    </row>
    <row r="76">
      <c r="S76">
        <f>IF(A76="","",SUM(H76:R76))</f>
        <v/>
      </c>
    </row>
    <row r="77">
      <c r="S77">
        <f>IF(A77="","",SUM(H77:R77))</f>
        <v/>
      </c>
    </row>
    <row r="78">
      <c r="S78">
        <f>IF(A78="","",SUM(H78:R78))</f>
        <v/>
      </c>
    </row>
    <row r="79">
      <c r="S79">
        <f>IF(A79="","",SUM(H79:R79))</f>
        <v/>
      </c>
    </row>
    <row r="80">
      <c r="S80">
        <f>IF(A80="","",SUM(H80:R80))</f>
        <v/>
      </c>
    </row>
    <row r="81">
      <c r="S81">
        <f>IF(A81="","",SUM(H81:R81))</f>
        <v/>
      </c>
    </row>
    <row r="82">
      <c r="S82">
        <f>IF(A82="","",SUM(H82:R82))</f>
        <v/>
      </c>
    </row>
    <row r="83">
      <c r="S83">
        <f>IF(A83="","",SUM(H83:R83))</f>
        <v/>
      </c>
    </row>
    <row r="84">
      <c r="S84">
        <f>IF(A84="","",SUM(H84:R84))</f>
        <v/>
      </c>
    </row>
    <row r="85">
      <c r="S85">
        <f>IF(A85="","",SUM(H85:R85))</f>
        <v/>
      </c>
    </row>
    <row r="86">
      <c r="S86">
        <f>IF(A86="","",SUM(H86:R86))</f>
        <v/>
      </c>
    </row>
    <row r="87">
      <c r="S87">
        <f>IF(A87="","",SUM(H87:R87))</f>
        <v/>
      </c>
    </row>
    <row r="88">
      <c r="S88">
        <f>IF(A88="","",SUM(H88:R88))</f>
        <v/>
      </c>
    </row>
    <row r="89">
      <c r="S89">
        <f>IF(A89="","",SUM(H89:R89))</f>
        <v/>
      </c>
    </row>
    <row r="90">
      <c r="S90">
        <f>IF(A90="","",SUM(H90:R90))</f>
        <v/>
      </c>
    </row>
    <row r="91">
      <c r="S91">
        <f>IF(A91="","",SUM(H91:R91))</f>
        <v/>
      </c>
    </row>
    <row r="92">
      <c r="S92">
        <f>IF(A92="","",SUM(H92:R92))</f>
        <v/>
      </c>
    </row>
    <row r="93">
      <c r="S93">
        <f>IF(A93="","",SUM(H93:R93))</f>
        <v/>
      </c>
    </row>
    <row r="94">
      <c r="S94">
        <f>IF(A94="","",SUM(H94:R94))</f>
        <v/>
      </c>
    </row>
    <row r="95">
      <c r="S95">
        <f>IF(A95="","",SUM(H95:R95))</f>
        <v/>
      </c>
    </row>
    <row r="96">
      <c r="S96">
        <f>IF(A96="","",SUM(H96:R96))</f>
        <v/>
      </c>
    </row>
    <row r="97">
      <c r="S97">
        <f>IF(A97="","",SUM(H97:R97))</f>
        <v/>
      </c>
    </row>
    <row r="98">
      <c r="S98">
        <f>IF(A98="","",SUM(H98:R98))</f>
        <v/>
      </c>
    </row>
    <row r="99">
      <c r="S99">
        <f>IF(A99="","",SUM(H99:R99))</f>
        <v/>
      </c>
    </row>
    <row r="100">
      <c r="S100">
        <f>IF(A100="","",SUM(H100:R100))</f>
        <v/>
      </c>
    </row>
    <row r="101">
      <c r="S101">
        <f>IF(A101="","",SUM(H101:R101))</f>
        <v/>
      </c>
    </row>
    <row r="102">
      <c r="S102">
        <f>IF(A102="","",SUM(H102:R102))</f>
        <v/>
      </c>
    </row>
    <row r="103">
      <c r="S103">
        <f>IF(A103="","",SUM(H103:R103))</f>
        <v/>
      </c>
    </row>
    <row r="104">
      <c r="S104">
        <f>IF(A104="","",SUM(H104:R104))</f>
        <v/>
      </c>
    </row>
    <row r="105">
      <c r="S105">
        <f>IF(A105="","",SUM(H105:R105))</f>
        <v/>
      </c>
    </row>
    <row r="106">
      <c r="S106">
        <f>IF(A106="","",SUM(H106:R106))</f>
        <v/>
      </c>
    </row>
    <row r="107">
      <c r="S107">
        <f>IF(A107="","",SUM(H107:R107))</f>
        <v/>
      </c>
    </row>
    <row r="108">
      <c r="S108">
        <f>IF(A108="","",SUM(H108:R108))</f>
        <v/>
      </c>
    </row>
    <row r="109">
      <c r="S109">
        <f>IF(A109="","",SUM(H109:R109))</f>
        <v/>
      </c>
    </row>
    <row r="110">
      <c r="S110">
        <f>IF(A110="","",SUM(H110:R110))</f>
        <v/>
      </c>
    </row>
    <row r="111">
      <c r="S111">
        <f>IF(A111="","",SUM(H111:R111))</f>
        <v/>
      </c>
    </row>
    <row r="112">
      <c r="S112">
        <f>IF(A112="","",SUM(H112:R112))</f>
        <v/>
      </c>
    </row>
    <row r="113">
      <c r="S113">
        <f>IF(A113="","",SUM(H113:R113))</f>
        <v/>
      </c>
    </row>
    <row r="114">
      <c r="S114">
        <f>IF(A114="","",SUM(H114:R114))</f>
        <v/>
      </c>
    </row>
    <row r="115">
      <c r="S115">
        <f>IF(A115="","",SUM(H115:R115))</f>
        <v/>
      </c>
    </row>
    <row r="116">
      <c r="S116">
        <f>IF(A116="","",SUM(H116:R116))</f>
        <v/>
      </c>
    </row>
    <row r="117">
      <c r="S117">
        <f>IF(A117="","",SUM(H117:R117))</f>
        <v/>
      </c>
    </row>
    <row r="118">
      <c r="S118">
        <f>IF(A118="","",SUM(H118:R118))</f>
        <v/>
      </c>
    </row>
    <row r="119">
      <c r="S119">
        <f>IF(A119="","",SUM(H119:R119))</f>
        <v/>
      </c>
    </row>
    <row r="120">
      <c r="S120">
        <f>IF(A120="","",SUM(H120:R120))</f>
        <v/>
      </c>
    </row>
    <row r="121">
      <c r="S121">
        <f>IF(A121="","",SUM(H121:R121))</f>
        <v/>
      </c>
    </row>
    <row r="122">
      <c r="S122">
        <f>IF(A122="","",SUM(H122:R122))</f>
        <v/>
      </c>
    </row>
    <row r="123">
      <c r="S123">
        <f>IF(A123="","",SUM(H123:R123))</f>
        <v/>
      </c>
    </row>
    <row r="124">
      <c r="S124">
        <f>IF(A124="","",SUM(H124:R124))</f>
        <v/>
      </c>
    </row>
    <row r="125">
      <c r="S125">
        <f>IF(A125="","",SUM(H125:R125))</f>
        <v/>
      </c>
    </row>
    <row r="126">
      <c r="S126">
        <f>IF(A126="","",SUM(H126:R126))</f>
        <v/>
      </c>
    </row>
    <row r="127">
      <c r="S127">
        <f>IF(A127="","",SUM(H127:R127))</f>
        <v/>
      </c>
    </row>
    <row r="128">
      <c r="S128">
        <f>IF(A128="","",SUM(H128:R128))</f>
        <v/>
      </c>
    </row>
    <row r="129">
      <c r="S129">
        <f>IF(A129="","",SUM(H129:R129))</f>
        <v/>
      </c>
    </row>
    <row r="130">
      <c r="S130">
        <f>IF(A130="","",SUM(H130:R130))</f>
        <v/>
      </c>
    </row>
    <row r="131">
      <c r="S131">
        <f>IF(A131="","",SUM(H131:R131))</f>
        <v/>
      </c>
    </row>
    <row r="132">
      <c r="S132">
        <f>IF(A132="","",SUM(H132:R132))</f>
        <v/>
      </c>
    </row>
    <row r="133">
      <c r="S133">
        <f>IF(A133="","",SUM(H133:R133))</f>
        <v/>
      </c>
    </row>
    <row r="134">
      <c r="S134">
        <f>IF(A134="","",SUM(H134:R134))</f>
        <v/>
      </c>
    </row>
    <row r="135">
      <c r="S135">
        <f>IF(A135="","",SUM(H135:R135))</f>
        <v/>
      </c>
    </row>
    <row r="136">
      <c r="S136">
        <f>IF(A136="","",SUM(H136:R136))</f>
        <v/>
      </c>
    </row>
    <row r="137">
      <c r="S137">
        <f>IF(A137="","",SUM(H137:R137))</f>
        <v/>
      </c>
    </row>
    <row r="138">
      <c r="S138">
        <f>IF(A138="","",SUM(H138:R138))</f>
        <v/>
      </c>
    </row>
    <row r="139">
      <c r="S139">
        <f>IF(A139="","",SUM(H139:R139))</f>
        <v/>
      </c>
    </row>
    <row r="140">
      <c r="S140">
        <f>IF(A140="","",SUM(H140:R140))</f>
        <v/>
      </c>
    </row>
    <row r="141">
      <c r="S141">
        <f>IF(A141="","",SUM(H141:R141))</f>
        <v/>
      </c>
    </row>
    <row r="142">
      <c r="S142">
        <f>IF(A142="","",SUM(H142:R142))</f>
        <v/>
      </c>
    </row>
    <row r="143">
      <c r="S143">
        <f>IF(A143="","",SUM(H143:R143))</f>
        <v/>
      </c>
    </row>
    <row r="144">
      <c r="S144">
        <f>IF(A144="","",SUM(H144:R144))</f>
        <v/>
      </c>
    </row>
    <row r="145">
      <c r="S145">
        <f>IF(A145="","",SUM(H145:R145))</f>
        <v/>
      </c>
    </row>
    <row r="146">
      <c r="S146">
        <f>IF(A146="","",SUM(H146:R146))</f>
        <v/>
      </c>
    </row>
    <row r="147">
      <c r="S147">
        <f>IF(A147="","",SUM(H147:R147))</f>
        <v/>
      </c>
    </row>
    <row r="148">
      <c r="S148">
        <f>IF(A148="","",SUM(H148:R148))</f>
        <v/>
      </c>
    </row>
    <row r="149">
      <c r="S149">
        <f>IF(A149="","",SUM(H149:R149))</f>
        <v/>
      </c>
    </row>
    <row r="150">
      <c r="S150">
        <f>IF(A150="","",SUM(H150:R150))</f>
        <v/>
      </c>
    </row>
    <row r="151">
      <c r="S151">
        <f>IF(A151="","",SUM(H151:R151))</f>
        <v/>
      </c>
    </row>
    <row r="152">
      <c r="S152">
        <f>IF(A152="","",SUM(H152:R152))</f>
        <v/>
      </c>
    </row>
    <row r="153">
      <c r="S153">
        <f>IF(A153="","",SUM(H153:R153))</f>
        <v/>
      </c>
    </row>
    <row r="154">
      <c r="S154">
        <f>IF(A154="","",SUM(H154:R154))</f>
        <v/>
      </c>
    </row>
    <row r="155">
      <c r="S155">
        <f>IF(A155="","",SUM(H155:R155))</f>
        <v/>
      </c>
    </row>
    <row r="156">
      <c r="S156">
        <f>IF(A156="","",SUM(H156:R156))</f>
        <v/>
      </c>
    </row>
    <row r="157">
      <c r="S157">
        <f>IF(A157="","",SUM(H157:R157))</f>
        <v/>
      </c>
    </row>
    <row r="158">
      <c r="S158">
        <f>IF(A158="","",SUM(H158:R158))</f>
        <v/>
      </c>
    </row>
    <row r="159">
      <c r="S159">
        <f>IF(A159="","",SUM(H159:R159))</f>
        <v/>
      </c>
    </row>
    <row r="160">
      <c r="S160">
        <f>IF(A160="","",SUM(H160:R160))</f>
        <v/>
      </c>
    </row>
    <row r="161">
      <c r="S161">
        <f>IF(A161="","",SUM(H161:R161))</f>
        <v/>
      </c>
    </row>
    <row r="162">
      <c r="S162">
        <f>IF(A162="","",SUM(H162:R162))</f>
        <v/>
      </c>
    </row>
    <row r="163">
      <c r="S163">
        <f>IF(A163="","",SUM(H163:R163))</f>
        <v/>
      </c>
    </row>
    <row r="164">
      <c r="S164">
        <f>IF(A164="","",SUM(H164:R164))</f>
        <v/>
      </c>
    </row>
    <row r="165">
      <c r="S165">
        <f>IF(A165="","",SUM(H165:R165))</f>
        <v/>
      </c>
    </row>
    <row r="166">
      <c r="S166">
        <f>IF(A166="","",SUM(H166:R166))</f>
        <v/>
      </c>
    </row>
    <row r="167">
      <c r="S167">
        <f>IF(A167="","",SUM(H167:R167))</f>
        <v/>
      </c>
    </row>
    <row r="168">
      <c r="S168">
        <f>IF(A168="","",SUM(H168:R168))</f>
        <v/>
      </c>
    </row>
    <row r="169">
      <c r="S169">
        <f>IF(A169="","",SUM(H169:R169))</f>
        <v/>
      </c>
    </row>
    <row r="170">
      <c r="S170">
        <f>IF(A170="","",SUM(H170:R170))</f>
        <v/>
      </c>
    </row>
    <row r="171">
      <c r="S171">
        <f>IF(A171="","",SUM(H171:R171))</f>
        <v/>
      </c>
    </row>
    <row r="172">
      <c r="S172">
        <f>IF(A172="","",SUM(H172:R172))</f>
        <v/>
      </c>
    </row>
    <row r="173">
      <c r="S173">
        <f>IF(A173="","",SUM(H173:R173))</f>
        <v/>
      </c>
    </row>
    <row r="174">
      <c r="S174">
        <f>IF(A174="","",SUM(H174:R174))</f>
        <v/>
      </c>
    </row>
    <row r="175">
      <c r="S175">
        <f>IF(A175="","",SUM(H175:R175))</f>
        <v/>
      </c>
    </row>
    <row r="176">
      <c r="S176">
        <f>IF(A176="","",SUM(H176:R176))</f>
        <v/>
      </c>
    </row>
    <row r="177">
      <c r="S177">
        <f>IF(A177="","",SUM(H177:R177))</f>
        <v/>
      </c>
    </row>
    <row r="178">
      <c r="S178">
        <f>IF(A178="","",SUM(H178:R178))</f>
        <v/>
      </c>
    </row>
    <row r="179">
      <c r="S179">
        <f>IF(A179="","",SUM(H179:R179))</f>
        <v/>
      </c>
    </row>
    <row r="180">
      <c r="S180">
        <f>IF(A180="","",SUM(H180:R180))</f>
        <v/>
      </c>
    </row>
    <row r="181">
      <c r="S181">
        <f>IF(A181="","",SUM(H181:R181))</f>
        <v/>
      </c>
    </row>
    <row r="182">
      <c r="S182">
        <f>IF(A182="","",SUM(H182:R182))</f>
        <v/>
      </c>
    </row>
    <row r="183">
      <c r="S183">
        <f>IF(A183="","",SUM(H183:R183))</f>
        <v/>
      </c>
    </row>
    <row r="184">
      <c r="S184">
        <f>IF(A184="","",SUM(H184:R184))</f>
        <v/>
      </c>
    </row>
    <row r="185">
      <c r="S185">
        <f>IF(A185="","",SUM(H185:R185))</f>
        <v/>
      </c>
    </row>
    <row r="186">
      <c r="S186">
        <f>IF(A186="","",SUM(H186:R186))</f>
        <v/>
      </c>
    </row>
    <row r="187">
      <c r="S187">
        <f>IF(A187="","",SUM(H187:R187))</f>
        <v/>
      </c>
    </row>
    <row r="188">
      <c r="S188">
        <f>IF(A188="","",SUM(H188:R188))</f>
        <v/>
      </c>
    </row>
    <row r="189">
      <c r="S189">
        <f>IF(A189="","",SUM(H189:R189))</f>
        <v/>
      </c>
    </row>
    <row r="190">
      <c r="S190">
        <f>IF(A190="","",SUM(H190:R190))</f>
        <v/>
      </c>
    </row>
    <row r="191">
      <c r="S191">
        <f>IF(A191="","",SUM(H191:R191))</f>
        <v/>
      </c>
    </row>
    <row r="192">
      <c r="S192">
        <f>IF(A192="","",SUM(H192:R192))</f>
        <v/>
      </c>
    </row>
    <row r="193">
      <c r="S193">
        <f>IF(A193="","",SUM(H193:R193))</f>
        <v/>
      </c>
    </row>
    <row r="194">
      <c r="S194">
        <f>IF(A194="","",SUM(H194:R194))</f>
        <v/>
      </c>
    </row>
    <row r="195">
      <c r="S195">
        <f>IF(A195="","",SUM(H195:R195))</f>
        <v/>
      </c>
    </row>
    <row r="196">
      <c r="S196">
        <f>IF(A196="","",SUM(H196:R196))</f>
        <v/>
      </c>
    </row>
    <row r="197">
      <c r="S197">
        <f>IF(A197="","",SUM(H197:R197))</f>
        <v/>
      </c>
    </row>
    <row r="198">
      <c r="S198">
        <f>IF(A198="","",SUM(H198:R198))</f>
        <v/>
      </c>
    </row>
    <row r="199">
      <c r="S199">
        <f>IF(A199="","",SUM(H199:R199))</f>
        <v/>
      </c>
    </row>
    <row r="200">
      <c r="S200">
        <f>IF(A200="","",SUM(H200:R200))</f>
        <v/>
      </c>
    </row>
  </sheetData>
  <dataValidations count="2">
    <dataValidation sqref="E3:E200" showDropDown="0" showInputMessage="0" showErrorMessage="0" allowBlank="1" type="list">
      <formula1>='99_DANH_MUC'!$A$2:$A$4</formula1>
    </dataValidation>
    <dataValidation sqref="V3:V200" showDropDown="0" showInputMessage="0" showErrorMessage="0" allowBlank="1" type="list">
      <formula1>"Lên kế hoạch,Đang soạn,Đang duyệt,Đã xuất LMS,Đã thi"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N8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1" t="inlineStr">
        <is>
          <t>A. Ngân hàng câu hỏi theo dạng bài × trạng thái</t>
        </is>
      </c>
    </row>
    <row r="2">
      <c r="A2" s="12" t="inlineStr">
        <is>
          <t>Phần thi</t>
        </is>
      </c>
      <c r="B2" s="12" t="inlineStr">
        <is>
          <t>Dạng bài</t>
        </is>
      </c>
      <c r="C2" s="12" t="inlineStr">
        <is>
          <t>Draft</t>
        </is>
      </c>
      <c r="D2" s="12" t="inlineStr">
        <is>
          <t>Đang duyệt VN</t>
        </is>
      </c>
      <c r="E2" s="12" t="inlineStr">
        <is>
          <t>Đang duyệt JP</t>
        </is>
      </c>
      <c r="F2" s="12" t="inlineStr">
        <is>
          <t>Cần sửa</t>
        </is>
      </c>
      <c r="G2" s="12" t="inlineStr">
        <is>
          <t>Approved</t>
        </is>
      </c>
      <c r="H2" s="12" t="inlineStr">
        <is>
          <t>Loại</t>
        </is>
      </c>
      <c r="I2" s="12" t="inlineStr">
        <is>
          <t>Tổng</t>
        </is>
      </c>
      <c r="J2" s="12" t="inlineStr">
        <is>
          <t>Yêu cầu chưa sinh</t>
        </is>
      </c>
    </row>
    <row r="3">
      <c r="A3" t="inlineStr">
        <is>
          <t>文字と語彙</t>
        </is>
      </c>
      <c r="B3" t="inlineStr">
        <is>
          <t>語の意味</t>
        </is>
      </c>
      <c r="C3">
        <f>COUNTIFS('30_NGAN_HANG'!$D:$D,$B3,'30_NGAN_HANG'!$Y:$Y,"Draft")</f>
        <v/>
      </c>
      <c r="D3">
        <f>COUNTIFS('30_NGAN_HANG'!$D:$D,$B3,'30_NGAN_HANG'!$Y:$Y,"Đang duyệt VN")</f>
        <v/>
      </c>
      <c r="E3">
        <f>COUNTIFS('30_NGAN_HANG'!$D:$D,$B3,'30_NGAN_HANG'!$Y:$Y,"Đang duyệt JP")</f>
        <v/>
      </c>
      <c r="F3">
        <f>COUNTIFS('30_NGAN_HANG'!$D:$D,$B3,'30_NGAN_HANG'!$Y:$Y,"Cần sửa")</f>
        <v/>
      </c>
      <c r="G3">
        <f>COUNTIFS('30_NGAN_HANG'!$D:$D,$B3,'30_NGAN_HANG'!$Y:$Y,"Approved")</f>
        <v/>
      </c>
      <c r="H3">
        <f>COUNTIFS('30_NGAN_HANG'!$D:$D,$B3,'30_NGAN_HANG'!$Y:$Y,"Loại")</f>
        <v/>
      </c>
      <c r="I3">
        <f>COUNTIF('30_NGAN_HANG'!$D:$D,$B3)</f>
        <v/>
      </c>
      <c r="J3">
        <f>COUNTIF('IN_01_語の意味'!$A:$Z,"Sẵn sàng sinh")</f>
        <v/>
      </c>
    </row>
    <row r="4">
      <c r="A4" t="inlineStr">
        <is>
          <t>文字と語彙</t>
        </is>
      </c>
      <c r="B4" t="inlineStr">
        <is>
          <t>語の使い方</t>
        </is>
      </c>
      <c r="C4">
        <f>COUNTIFS('30_NGAN_HANG'!$D:$D,$B4,'30_NGAN_HANG'!$Y:$Y,"Draft")</f>
        <v/>
      </c>
      <c r="D4">
        <f>COUNTIFS('30_NGAN_HANG'!$D:$D,$B4,'30_NGAN_HANG'!$Y:$Y,"Đang duyệt VN")</f>
        <v/>
      </c>
      <c r="E4">
        <f>COUNTIFS('30_NGAN_HANG'!$D:$D,$B4,'30_NGAN_HANG'!$Y:$Y,"Đang duyệt JP")</f>
        <v/>
      </c>
      <c r="F4">
        <f>COUNTIFS('30_NGAN_HANG'!$D:$D,$B4,'30_NGAN_HANG'!$Y:$Y,"Cần sửa")</f>
        <v/>
      </c>
      <c r="G4">
        <f>COUNTIFS('30_NGAN_HANG'!$D:$D,$B4,'30_NGAN_HANG'!$Y:$Y,"Approved")</f>
        <v/>
      </c>
      <c r="H4">
        <f>COUNTIFS('30_NGAN_HANG'!$D:$D,$B4,'30_NGAN_HANG'!$Y:$Y,"Loại")</f>
        <v/>
      </c>
      <c r="I4">
        <f>COUNTIF('30_NGAN_HANG'!$D:$D,$B4)</f>
        <v/>
      </c>
      <c r="J4">
        <f>COUNTIF('IN_02_語の使い方'!$A:$Z,"Sẵn sàng sinh")</f>
        <v/>
      </c>
    </row>
    <row r="5">
      <c r="A5" t="inlineStr">
        <is>
          <t>文字と語彙</t>
        </is>
      </c>
      <c r="B5" t="inlineStr">
        <is>
          <t>漢字の読み</t>
        </is>
      </c>
      <c r="C5">
        <f>COUNTIFS('30_NGAN_HANG'!$D:$D,$B5,'30_NGAN_HANG'!$Y:$Y,"Draft")</f>
        <v/>
      </c>
      <c r="D5">
        <f>COUNTIFS('30_NGAN_HANG'!$D:$D,$B5,'30_NGAN_HANG'!$Y:$Y,"Đang duyệt VN")</f>
        <v/>
      </c>
      <c r="E5">
        <f>COUNTIFS('30_NGAN_HANG'!$D:$D,$B5,'30_NGAN_HANG'!$Y:$Y,"Đang duyệt JP")</f>
        <v/>
      </c>
      <c r="F5">
        <f>COUNTIFS('30_NGAN_HANG'!$D:$D,$B5,'30_NGAN_HANG'!$Y:$Y,"Cần sửa")</f>
        <v/>
      </c>
      <c r="G5">
        <f>COUNTIFS('30_NGAN_HANG'!$D:$D,$B5,'30_NGAN_HANG'!$Y:$Y,"Approved")</f>
        <v/>
      </c>
      <c r="H5">
        <f>COUNTIFS('30_NGAN_HANG'!$D:$D,$B5,'30_NGAN_HANG'!$Y:$Y,"Loại")</f>
        <v/>
      </c>
      <c r="I5">
        <f>COUNTIF('30_NGAN_HANG'!$D:$D,$B5)</f>
        <v/>
      </c>
      <c r="J5">
        <f>COUNTIF('IN_03_漢字の読み'!$A:$Z,"Sẵn sàng sinh")</f>
        <v/>
      </c>
    </row>
    <row r="6">
      <c r="A6" t="inlineStr">
        <is>
          <t>文字と語彙</t>
        </is>
      </c>
      <c r="B6" t="inlineStr">
        <is>
          <t>漢字の表記</t>
        </is>
      </c>
      <c r="C6">
        <f>COUNTIFS('30_NGAN_HANG'!$D:$D,$B6,'30_NGAN_HANG'!$Y:$Y,"Draft")</f>
        <v/>
      </c>
      <c r="D6">
        <f>COUNTIFS('30_NGAN_HANG'!$D:$D,$B6,'30_NGAN_HANG'!$Y:$Y,"Đang duyệt VN")</f>
        <v/>
      </c>
      <c r="E6">
        <f>COUNTIFS('30_NGAN_HANG'!$D:$D,$B6,'30_NGAN_HANG'!$Y:$Y,"Đang duyệt JP")</f>
        <v/>
      </c>
      <c r="F6">
        <f>COUNTIFS('30_NGAN_HANG'!$D:$D,$B6,'30_NGAN_HANG'!$Y:$Y,"Cần sửa")</f>
        <v/>
      </c>
      <c r="G6">
        <f>COUNTIFS('30_NGAN_HANG'!$D:$D,$B6,'30_NGAN_HANG'!$Y:$Y,"Approved")</f>
        <v/>
      </c>
      <c r="H6">
        <f>COUNTIFS('30_NGAN_HANG'!$D:$D,$B6,'30_NGAN_HANG'!$Y:$Y,"Loại")</f>
        <v/>
      </c>
      <c r="I6">
        <f>COUNTIF('30_NGAN_HANG'!$D:$D,$B6)</f>
        <v/>
      </c>
      <c r="J6">
        <f>COUNTIF('IN_04_漢字の表記'!$A:$Z,"Sẵn sàng sinh")</f>
        <v/>
      </c>
    </row>
    <row r="7">
      <c r="A7" t="inlineStr">
        <is>
          <t>会話と表現</t>
        </is>
      </c>
      <c r="B7" t="inlineStr">
        <is>
          <t>表現</t>
        </is>
      </c>
      <c r="C7">
        <f>COUNTIFS('30_NGAN_HANG'!$D:$D,$B7,'30_NGAN_HANG'!$Y:$Y,"Draft")</f>
        <v/>
      </c>
      <c r="D7">
        <f>COUNTIFS('30_NGAN_HANG'!$D:$D,$B7,'30_NGAN_HANG'!$Y:$Y,"Đang duyệt VN")</f>
        <v/>
      </c>
      <c r="E7">
        <f>COUNTIFS('30_NGAN_HANG'!$D:$D,$B7,'30_NGAN_HANG'!$Y:$Y,"Đang duyệt JP")</f>
        <v/>
      </c>
      <c r="F7">
        <f>COUNTIFS('30_NGAN_HANG'!$D:$D,$B7,'30_NGAN_HANG'!$Y:$Y,"Cần sửa")</f>
        <v/>
      </c>
      <c r="G7">
        <f>COUNTIFS('30_NGAN_HANG'!$D:$D,$B7,'30_NGAN_HANG'!$Y:$Y,"Approved")</f>
        <v/>
      </c>
      <c r="H7">
        <f>COUNTIFS('30_NGAN_HANG'!$D:$D,$B7,'30_NGAN_HANG'!$Y:$Y,"Loại")</f>
        <v/>
      </c>
      <c r="I7">
        <f>COUNTIF('30_NGAN_HANG'!$D:$D,$B7)</f>
        <v/>
      </c>
      <c r="J7">
        <f>COUNTIF('IN_05_表現'!$A:$Z,"Sẵn sàng sinh")</f>
        <v/>
      </c>
    </row>
    <row r="8">
      <c r="A8" t="inlineStr">
        <is>
          <t>会話と表現</t>
        </is>
      </c>
      <c r="B8" t="inlineStr">
        <is>
          <t>文法</t>
        </is>
      </c>
      <c r="C8">
        <f>COUNTIFS('30_NGAN_HANG'!$D:$D,$B8,'30_NGAN_HANG'!$Y:$Y,"Draft")</f>
        <v/>
      </c>
      <c r="D8">
        <f>COUNTIFS('30_NGAN_HANG'!$D:$D,$B8,'30_NGAN_HANG'!$Y:$Y,"Đang duyệt VN")</f>
        <v/>
      </c>
      <c r="E8">
        <f>COUNTIFS('30_NGAN_HANG'!$D:$D,$B8,'30_NGAN_HANG'!$Y:$Y,"Đang duyệt JP")</f>
        <v/>
      </c>
      <c r="F8">
        <f>COUNTIFS('30_NGAN_HANG'!$D:$D,$B8,'30_NGAN_HANG'!$Y:$Y,"Cần sửa")</f>
        <v/>
      </c>
      <c r="G8">
        <f>COUNTIFS('30_NGAN_HANG'!$D:$D,$B8,'30_NGAN_HANG'!$Y:$Y,"Approved")</f>
        <v/>
      </c>
      <c r="H8">
        <f>COUNTIFS('30_NGAN_HANG'!$D:$D,$B8,'30_NGAN_HANG'!$Y:$Y,"Loại")</f>
        <v/>
      </c>
      <c r="I8">
        <f>COUNTIF('30_NGAN_HANG'!$D:$D,$B8)</f>
        <v/>
      </c>
      <c r="J8">
        <f>COUNTIF('IN_06_文法'!$A:$Z,"Sẵn sàng sinh")</f>
        <v/>
      </c>
    </row>
    <row r="9">
      <c r="A9" t="inlineStr">
        <is>
          <t>聴解</t>
        </is>
      </c>
      <c r="B9" t="inlineStr">
        <is>
          <t>会話の聴解</t>
        </is>
      </c>
      <c r="C9">
        <f>COUNTIFS('30_NGAN_HANG'!$D:$D,$B9,'30_NGAN_HANG'!$Y:$Y,"Draft")</f>
        <v/>
      </c>
      <c r="D9">
        <f>COUNTIFS('30_NGAN_HANG'!$D:$D,$B9,'30_NGAN_HANG'!$Y:$Y,"Đang duyệt VN")</f>
        <v/>
      </c>
      <c r="E9">
        <f>COUNTIFS('30_NGAN_HANG'!$D:$D,$B9,'30_NGAN_HANG'!$Y:$Y,"Đang duyệt JP")</f>
        <v/>
      </c>
      <c r="F9">
        <f>COUNTIFS('30_NGAN_HANG'!$D:$D,$B9,'30_NGAN_HANG'!$Y:$Y,"Cần sửa")</f>
        <v/>
      </c>
      <c r="G9">
        <f>COUNTIFS('30_NGAN_HANG'!$D:$D,$B9,'30_NGAN_HANG'!$Y:$Y,"Approved")</f>
        <v/>
      </c>
      <c r="H9">
        <f>COUNTIFS('30_NGAN_HANG'!$D:$D,$B9,'30_NGAN_HANG'!$Y:$Y,"Loại")</f>
        <v/>
      </c>
      <c r="I9">
        <f>COUNTIF('30_NGAN_HANG'!$D:$D,$B9)</f>
        <v/>
      </c>
      <c r="J9">
        <f>COUNTIF('IN_07_会話の聴解'!$A:$Z,"Sẵn sàng sinh")</f>
        <v/>
      </c>
    </row>
    <row r="10">
      <c r="A10" t="inlineStr">
        <is>
          <t>聴解</t>
        </is>
      </c>
      <c r="B10" t="inlineStr">
        <is>
          <t>アナウンス</t>
        </is>
      </c>
      <c r="C10">
        <f>COUNTIFS('30_NGAN_HANG'!$D:$D,$B10,'30_NGAN_HANG'!$Y:$Y,"Draft")</f>
        <v/>
      </c>
      <c r="D10">
        <f>COUNTIFS('30_NGAN_HANG'!$D:$D,$B10,'30_NGAN_HANG'!$Y:$Y,"Đang duyệt VN")</f>
        <v/>
      </c>
      <c r="E10">
        <f>COUNTIFS('30_NGAN_HANG'!$D:$D,$B10,'30_NGAN_HANG'!$Y:$Y,"Đang duyệt JP")</f>
        <v/>
      </c>
      <c r="F10">
        <f>COUNTIFS('30_NGAN_HANG'!$D:$D,$B10,'30_NGAN_HANG'!$Y:$Y,"Cần sửa")</f>
        <v/>
      </c>
      <c r="G10">
        <f>COUNTIFS('30_NGAN_HANG'!$D:$D,$B10,'30_NGAN_HANG'!$Y:$Y,"Approved")</f>
        <v/>
      </c>
      <c r="H10">
        <f>COUNTIFS('30_NGAN_HANG'!$D:$D,$B10,'30_NGAN_HANG'!$Y:$Y,"Loại")</f>
        <v/>
      </c>
      <c r="I10">
        <f>COUNTIF('30_NGAN_HANG'!$D:$D,$B10)</f>
        <v/>
      </c>
      <c r="J10">
        <f>COUNTIF('IN_08_アナウンス'!$A:$Z,"Sẵn sàng sinh")</f>
        <v/>
      </c>
    </row>
    <row r="11">
      <c r="A11" t="inlineStr">
        <is>
          <t>聴解</t>
        </is>
      </c>
      <c r="B11" t="inlineStr">
        <is>
          <t>指示の聴解</t>
        </is>
      </c>
      <c r="C11">
        <f>COUNTIFS('30_NGAN_HANG'!$D:$D,$B11,'30_NGAN_HANG'!$Y:$Y,"Draft")</f>
        <v/>
      </c>
      <c r="D11">
        <f>COUNTIFS('30_NGAN_HANG'!$D:$D,$B11,'30_NGAN_HANG'!$Y:$Y,"Đang duyệt VN")</f>
        <v/>
      </c>
      <c r="E11">
        <f>COUNTIFS('30_NGAN_HANG'!$D:$D,$B11,'30_NGAN_HANG'!$Y:$Y,"Đang duyệt JP")</f>
        <v/>
      </c>
      <c r="F11">
        <f>COUNTIFS('30_NGAN_HANG'!$D:$D,$B11,'30_NGAN_HANG'!$Y:$Y,"Cần sửa")</f>
        <v/>
      </c>
      <c r="G11">
        <f>COUNTIFS('30_NGAN_HANG'!$D:$D,$B11,'30_NGAN_HANG'!$Y:$Y,"Approved")</f>
        <v/>
      </c>
      <c r="H11">
        <f>COUNTIFS('30_NGAN_HANG'!$D:$D,$B11,'30_NGAN_HANG'!$Y:$Y,"Loại")</f>
        <v/>
      </c>
      <c r="I11">
        <f>COUNTIF('30_NGAN_HANG'!$D:$D,$B11)</f>
        <v/>
      </c>
      <c r="J11">
        <f>COUNTIF('IN_09_指示の聴解'!$A:$Z,"Sẵn sàng sinh")</f>
        <v/>
      </c>
    </row>
    <row r="12">
      <c r="A12" t="inlineStr">
        <is>
          <t>読解</t>
        </is>
      </c>
      <c r="B12" t="inlineStr">
        <is>
          <t>掲示の読解</t>
        </is>
      </c>
      <c r="C12">
        <f>COUNTIFS('30_NGAN_HANG'!$D:$D,$B12,'30_NGAN_HANG'!$Y:$Y,"Draft")</f>
        <v/>
      </c>
      <c r="D12">
        <f>COUNTIFS('30_NGAN_HANG'!$D:$D,$B12,'30_NGAN_HANG'!$Y:$Y,"Đang duyệt VN")</f>
        <v/>
      </c>
      <c r="E12">
        <f>COUNTIFS('30_NGAN_HANG'!$D:$D,$B12,'30_NGAN_HANG'!$Y:$Y,"Đang duyệt JP")</f>
        <v/>
      </c>
      <c r="F12">
        <f>COUNTIFS('30_NGAN_HANG'!$D:$D,$B12,'30_NGAN_HANG'!$Y:$Y,"Cần sửa")</f>
        <v/>
      </c>
      <c r="G12">
        <f>COUNTIFS('30_NGAN_HANG'!$D:$D,$B12,'30_NGAN_HANG'!$Y:$Y,"Approved")</f>
        <v/>
      </c>
      <c r="H12">
        <f>COUNTIFS('30_NGAN_HANG'!$D:$D,$B12,'30_NGAN_HANG'!$Y:$Y,"Loại")</f>
        <v/>
      </c>
      <c r="I12">
        <f>COUNTIF('30_NGAN_HANG'!$D:$D,$B12)</f>
        <v/>
      </c>
      <c r="J12">
        <f>COUNTIF('IN_10_掲示の読解'!$A:$Z,"Sẵn sàng sinh")</f>
        <v/>
      </c>
    </row>
    <row r="13">
      <c r="A13" t="inlineStr">
        <is>
          <t>読解</t>
        </is>
      </c>
      <c r="B13" t="inlineStr">
        <is>
          <t>文章の読解</t>
        </is>
      </c>
      <c r="C13">
        <f>COUNTIFS('30_NGAN_HANG'!$D:$D,$B13,'30_NGAN_HANG'!$Y:$Y,"Draft")</f>
        <v/>
      </c>
      <c r="D13">
        <f>COUNTIFS('30_NGAN_HANG'!$D:$D,$B13,'30_NGAN_HANG'!$Y:$Y,"Đang duyệt VN")</f>
        <v/>
      </c>
      <c r="E13">
        <f>COUNTIFS('30_NGAN_HANG'!$D:$D,$B13,'30_NGAN_HANG'!$Y:$Y,"Đang duyệt JP")</f>
        <v/>
      </c>
      <c r="F13">
        <f>COUNTIFS('30_NGAN_HANG'!$D:$D,$B13,'30_NGAN_HANG'!$Y:$Y,"Cần sửa")</f>
        <v/>
      </c>
      <c r="G13">
        <f>COUNTIFS('30_NGAN_HANG'!$D:$D,$B13,'30_NGAN_HANG'!$Y:$Y,"Approved")</f>
        <v/>
      </c>
      <c r="H13">
        <f>COUNTIFS('30_NGAN_HANG'!$D:$D,$B13,'30_NGAN_HANG'!$Y:$Y,"Loại")</f>
        <v/>
      </c>
      <c r="I13">
        <f>COUNTIF('30_NGAN_HANG'!$D:$D,$B13)</f>
        <v/>
      </c>
      <c r="J13">
        <f>COUNTIF('IN_11_文章の読解'!$A:$Z,"Sẵn sàng sinh")</f>
        <v/>
      </c>
    </row>
    <row r="16">
      <c r="A16" s="11" t="inlineStr">
        <is>
          <t>B. Đủ / thiếu câu Approved cho 1 mã đề</t>
        </is>
      </c>
    </row>
    <row r="17">
      <c r="A17" t="inlineStr">
        <is>
          <t>Nhập mã đề →</t>
        </is>
      </c>
      <c r="B17" s="5" t="inlineStr">
        <is>
          <t>TT-2026-01</t>
        </is>
      </c>
    </row>
    <row r="18">
      <c r="A18" s="12" t="inlineStr">
        <is>
          <t>Dạng bài</t>
        </is>
      </c>
      <c r="B18" s="12" t="inlineStr">
        <is>
          <t>Cần (kế hoạch)</t>
        </is>
      </c>
      <c r="C18" s="12" t="inlineStr">
        <is>
          <t>Approved hiện có</t>
        </is>
      </c>
      <c r="D18" s="12" t="inlineStr">
        <is>
          <t>Thiếu</t>
        </is>
      </c>
    </row>
    <row r="19">
      <c r="A19" t="inlineStr">
        <is>
          <t>語の意味</t>
        </is>
      </c>
      <c r="B19">
        <f>IFERROR(INDEX('01_KE_HOACH'!H:H,MATCH($B$17,'01_KE_HOACH'!$A:$A,0)),0)</f>
        <v/>
      </c>
      <c r="C19">
        <f>COUNTIFS('30_NGAN_HANG'!$D:$D,A19,'30_NGAN_HANG'!$Y:$Y,"Approved")</f>
        <v/>
      </c>
      <c r="D19">
        <f>MAX(0,B19-C19)</f>
        <v/>
      </c>
    </row>
    <row r="20">
      <c r="A20" t="inlineStr">
        <is>
          <t>語の使い方</t>
        </is>
      </c>
      <c r="B20">
        <f>IFERROR(INDEX('01_KE_HOACH'!I:I,MATCH($B$17,'01_KE_HOACH'!$A:$A,0)),0)</f>
        <v/>
      </c>
      <c r="C20">
        <f>COUNTIFS('30_NGAN_HANG'!$D:$D,A20,'30_NGAN_HANG'!$Y:$Y,"Approved")</f>
        <v/>
      </c>
      <c r="D20">
        <f>MAX(0,B20-C20)</f>
        <v/>
      </c>
    </row>
    <row r="21">
      <c r="A21" t="inlineStr">
        <is>
          <t>漢字の読み</t>
        </is>
      </c>
      <c r="B21">
        <f>IFERROR(INDEX('01_KE_HOACH'!J:J,MATCH($B$17,'01_KE_HOACH'!$A:$A,0)),0)</f>
        <v/>
      </c>
      <c r="C21">
        <f>COUNTIFS('30_NGAN_HANG'!$D:$D,A21,'30_NGAN_HANG'!$Y:$Y,"Approved")</f>
        <v/>
      </c>
      <c r="D21">
        <f>MAX(0,B21-C21)</f>
        <v/>
      </c>
    </row>
    <row r="22">
      <c r="A22" t="inlineStr">
        <is>
          <t>漢字の表記</t>
        </is>
      </c>
      <c r="B22">
        <f>IFERROR(INDEX('01_KE_HOACH'!K:K,MATCH($B$17,'01_KE_HOACH'!$A:$A,0)),0)</f>
        <v/>
      </c>
      <c r="C22">
        <f>COUNTIFS('30_NGAN_HANG'!$D:$D,A22,'30_NGAN_HANG'!$Y:$Y,"Approved")</f>
        <v/>
      </c>
      <c r="D22">
        <f>MAX(0,B22-C22)</f>
        <v/>
      </c>
    </row>
    <row r="23">
      <c r="A23" t="inlineStr">
        <is>
          <t>表現</t>
        </is>
      </c>
      <c r="B23">
        <f>IFERROR(INDEX('01_KE_HOACH'!L:L,MATCH($B$17,'01_KE_HOACH'!$A:$A,0)),0)</f>
        <v/>
      </c>
      <c r="C23">
        <f>COUNTIFS('30_NGAN_HANG'!$D:$D,A23,'30_NGAN_HANG'!$Y:$Y,"Approved")</f>
        <v/>
      </c>
      <c r="D23">
        <f>MAX(0,B23-C23)</f>
        <v/>
      </c>
    </row>
    <row r="24">
      <c r="A24" t="inlineStr">
        <is>
          <t>文法</t>
        </is>
      </c>
      <c r="B24">
        <f>IFERROR(INDEX('01_KE_HOACH'!M:M,MATCH($B$17,'01_KE_HOACH'!$A:$A,0)),0)</f>
        <v/>
      </c>
      <c r="C24">
        <f>COUNTIFS('30_NGAN_HANG'!$D:$D,A24,'30_NGAN_HANG'!$Y:$Y,"Approved")</f>
        <v/>
      </c>
      <c r="D24">
        <f>MAX(0,B24-C24)</f>
        <v/>
      </c>
    </row>
    <row r="25">
      <c r="A25" t="inlineStr">
        <is>
          <t>会話の聴解</t>
        </is>
      </c>
      <c r="B25">
        <f>IFERROR(INDEX('01_KE_HOACH'!N:N,MATCH($B$17,'01_KE_HOACH'!$A:$A,0)),0)</f>
        <v/>
      </c>
      <c r="C25">
        <f>COUNTIFS('30_NGAN_HANG'!$D:$D,A25,'30_NGAN_HANG'!$Y:$Y,"Approved")</f>
        <v/>
      </c>
      <c r="D25">
        <f>MAX(0,B25-C25)</f>
        <v/>
      </c>
    </row>
    <row r="26">
      <c r="A26" t="inlineStr">
        <is>
          <t>アナウンス</t>
        </is>
      </c>
      <c r="B26">
        <f>IFERROR(INDEX('01_KE_HOACH'!O:O,MATCH($B$17,'01_KE_HOACH'!$A:$A,0)),0)</f>
        <v/>
      </c>
      <c r="C26">
        <f>COUNTIFS('30_NGAN_HANG'!$D:$D,A26,'30_NGAN_HANG'!$Y:$Y,"Approved")</f>
        <v/>
      </c>
      <c r="D26">
        <f>MAX(0,B26-C26)</f>
        <v/>
      </c>
    </row>
    <row r="27">
      <c r="A27" t="inlineStr">
        <is>
          <t>指示の聴解</t>
        </is>
      </c>
      <c r="B27">
        <f>IFERROR(INDEX('01_KE_HOACH'!P:P,MATCH($B$17,'01_KE_HOACH'!$A:$A,0)),0)</f>
        <v/>
      </c>
      <c r="C27">
        <f>COUNTIFS('30_NGAN_HANG'!$D:$D,A27,'30_NGAN_HANG'!$Y:$Y,"Approved")</f>
        <v/>
      </c>
      <c r="D27">
        <f>MAX(0,B27-C27)</f>
        <v/>
      </c>
    </row>
    <row r="28">
      <c r="A28" t="inlineStr">
        <is>
          <t>掲示の読解</t>
        </is>
      </c>
      <c r="B28">
        <f>IFERROR(INDEX('01_KE_HOACH'!Q:Q,MATCH($B$17,'01_KE_HOACH'!$A:$A,0)),0)</f>
        <v/>
      </c>
      <c r="C28">
        <f>COUNTIFS('30_NGAN_HANG'!$D:$D,A28,'30_NGAN_HANG'!$Y:$Y,"Approved")</f>
        <v/>
      </c>
      <c r="D28">
        <f>MAX(0,B28-C28)</f>
        <v/>
      </c>
    </row>
    <row r="29">
      <c r="A29" t="inlineStr">
        <is>
          <t>文章の読解</t>
        </is>
      </c>
      <c r="B29">
        <f>IFERROR(INDEX('01_KE_HOACH'!R:R,MATCH($B$17,'01_KE_HOACH'!$A:$A,0)),0)</f>
        <v/>
      </c>
      <c r="C29">
        <f>COUNTIFS('30_NGAN_HANG'!$D:$D,A29,'30_NGAN_HANG'!$Y:$Y,"Approved")</f>
        <v/>
      </c>
      <c r="D29">
        <f>MAX(0,B29-C29)</f>
        <v/>
      </c>
    </row>
    <row r="32">
      <c r="A32" s="11" t="inlineStr">
        <is>
          <t>C. Độ phủ theo bài (số câu Approved)</t>
        </is>
      </c>
    </row>
    <row r="33">
      <c r="A33" s="12" t="inlineStr">
        <is>
          <t>Quyển</t>
        </is>
      </c>
      <c r="B33" s="12" t="inlineStr">
        <is>
          <t>Bài</t>
        </is>
      </c>
      <c r="C33" s="12" t="inlineStr">
        <is>
          <t>語の意味</t>
        </is>
      </c>
      <c r="D33" s="12" t="inlineStr">
        <is>
          <t>語の使い方</t>
        </is>
      </c>
      <c r="E33" s="12" t="inlineStr">
        <is>
          <t>漢字の読み</t>
        </is>
      </c>
      <c r="F33" s="12" t="inlineStr">
        <is>
          <t>漢字の表記</t>
        </is>
      </c>
      <c r="G33" s="12" t="inlineStr">
        <is>
          <t>表現</t>
        </is>
      </c>
      <c r="H33" s="12" t="inlineStr">
        <is>
          <t>文法</t>
        </is>
      </c>
      <c r="I33" s="12" t="inlineStr">
        <is>
          <t>会話の聴解</t>
        </is>
      </c>
      <c r="J33" s="12" t="inlineStr">
        <is>
          <t>アナウンス</t>
        </is>
      </c>
      <c r="K33" s="12" t="inlineStr">
        <is>
          <t>指示の聴解</t>
        </is>
      </c>
      <c r="L33" s="12" t="inlineStr">
        <is>
          <t>掲示の読解</t>
        </is>
      </c>
      <c r="M33" s="12" t="inlineStr">
        <is>
          <t>文章の読解</t>
        </is>
      </c>
      <c r="N33" s="12" t="inlineStr">
        <is>
          <t>Tổng</t>
        </is>
      </c>
    </row>
    <row r="34">
      <c r="A34" t="inlineStr">
        <is>
          <t>入門</t>
        </is>
      </c>
      <c r="B34" t="n">
        <v>1</v>
      </c>
      <c r="C34">
        <f>COUNTIFS('30_NGAN_HANG'!$E:$E,$A34,'30_NGAN_HANG'!$F:$F,$B34,'30_NGAN_HANG'!$D:$D,"語の意味",'30_NGAN_HANG'!$Y:$Y,"Approved")</f>
        <v/>
      </c>
      <c r="D34">
        <f>COUNTIFS('30_NGAN_HANG'!$E:$E,$A34,'30_NGAN_HANG'!$F:$F,$B34,'30_NGAN_HANG'!$D:$D,"語の使い方",'30_NGAN_HANG'!$Y:$Y,"Approved")</f>
        <v/>
      </c>
      <c r="E34">
        <f>COUNTIFS('30_NGAN_HANG'!$E:$E,$A34,'30_NGAN_HANG'!$F:$F,$B34,'30_NGAN_HANG'!$D:$D,"漢字の読み",'30_NGAN_HANG'!$Y:$Y,"Approved")</f>
        <v/>
      </c>
      <c r="F34">
        <f>COUNTIFS('30_NGAN_HANG'!$E:$E,$A34,'30_NGAN_HANG'!$F:$F,$B34,'30_NGAN_HANG'!$D:$D,"漢字の表記",'30_NGAN_HANG'!$Y:$Y,"Approved")</f>
        <v/>
      </c>
      <c r="G34">
        <f>COUNTIFS('30_NGAN_HANG'!$E:$E,$A34,'30_NGAN_HANG'!$F:$F,$B34,'30_NGAN_HANG'!$D:$D,"表現",'30_NGAN_HANG'!$Y:$Y,"Approved")</f>
        <v/>
      </c>
      <c r="H34">
        <f>COUNTIFS('30_NGAN_HANG'!$E:$E,$A34,'30_NGAN_HANG'!$F:$F,$B34,'30_NGAN_HANG'!$D:$D,"文法",'30_NGAN_HANG'!$Y:$Y,"Approved")</f>
        <v/>
      </c>
      <c r="I34">
        <f>COUNTIFS('30_NGAN_HANG'!$E:$E,$A34,'30_NGAN_HANG'!$F:$F,$B34,'30_NGAN_HANG'!$D:$D,"会話の聴解",'30_NGAN_HANG'!$Y:$Y,"Approved")</f>
        <v/>
      </c>
      <c r="J34">
        <f>COUNTIFS('30_NGAN_HANG'!$E:$E,$A34,'30_NGAN_HANG'!$F:$F,$B34,'30_NGAN_HANG'!$D:$D,"アナウンス",'30_NGAN_HANG'!$Y:$Y,"Approved")</f>
        <v/>
      </c>
      <c r="K34">
        <f>COUNTIFS('30_NGAN_HANG'!$E:$E,$A34,'30_NGAN_HANG'!$F:$F,$B34,'30_NGAN_HANG'!$D:$D,"指示の聴解",'30_NGAN_HANG'!$Y:$Y,"Approved")</f>
        <v/>
      </c>
      <c r="L34">
        <f>COUNTIFS('30_NGAN_HANG'!$E:$E,$A34,'30_NGAN_HANG'!$F:$F,$B34,'30_NGAN_HANG'!$D:$D,"掲示の読解",'30_NGAN_HANG'!$Y:$Y,"Approved")</f>
        <v/>
      </c>
      <c r="M34">
        <f>COUNTIFS('30_NGAN_HANG'!$E:$E,$A34,'30_NGAN_HANG'!$F:$F,$B34,'30_NGAN_HANG'!$D:$D,"文章の読解",'30_NGAN_HANG'!$Y:$Y,"Approved")</f>
        <v/>
      </c>
      <c r="N34">
        <f>SUM(C34:M34)</f>
        <v/>
      </c>
    </row>
    <row r="35">
      <c r="A35" t="inlineStr">
        <is>
          <t>入門</t>
        </is>
      </c>
      <c r="B35" t="n">
        <v>2</v>
      </c>
      <c r="C35">
        <f>COUNTIFS('30_NGAN_HANG'!$E:$E,$A35,'30_NGAN_HANG'!$F:$F,$B35,'30_NGAN_HANG'!$D:$D,"語の意味",'30_NGAN_HANG'!$Y:$Y,"Approved")</f>
        <v/>
      </c>
      <c r="D35">
        <f>COUNTIFS('30_NGAN_HANG'!$E:$E,$A35,'30_NGAN_HANG'!$F:$F,$B35,'30_NGAN_HANG'!$D:$D,"語の使い方",'30_NGAN_HANG'!$Y:$Y,"Approved")</f>
        <v/>
      </c>
      <c r="E35">
        <f>COUNTIFS('30_NGAN_HANG'!$E:$E,$A35,'30_NGAN_HANG'!$F:$F,$B35,'30_NGAN_HANG'!$D:$D,"漢字の読み",'30_NGAN_HANG'!$Y:$Y,"Approved")</f>
        <v/>
      </c>
      <c r="F35">
        <f>COUNTIFS('30_NGAN_HANG'!$E:$E,$A35,'30_NGAN_HANG'!$F:$F,$B35,'30_NGAN_HANG'!$D:$D,"漢字の表記",'30_NGAN_HANG'!$Y:$Y,"Approved")</f>
        <v/>
      </c>
      <c r="G35">
        <f>COUNTIFS('30_NGAN_HANG'!$E:$E,$A35,'30_NGAN_HANG'!$F:$F,$B35,'30_NGAN_HANG'!$D:$D,"表現",'30_NGAN_HANG'!$Y:$Y,"Approved")</f>
        <v/>
      </c>
      <c r="H35">
        <f>COUNTIFS('30_NGAN_HANG'!$E:$E,$A35,'30_NGAN_HANG'!$F:$F,$B35,'30_NGAN_HANG'!$D:$D,"文法",'30_NGAN_HANG'!$Y:$Y,"Approved")</f>
        <v/>
      </c>
      <c r="I35">
        <f>COUNTIFS('30_NGAN_HANG'!$E:$E,$A35,'30_NGAN_HANG'!$F:$F,$B35,'30_NGAN_HANG'!$D:$D,"会話の聴解",'30_NGAN_HANG'!$Y:$Y,"Approved")</f>
        <v/>
      </c>
      <c r="J35">
        <f>COUNTIFS('30_NGAN_HANG'!$E:$E,$A35,'30_NGAN_HANG'!$F:$F,$B35,'30_NGAN_HANG'!$D:$D,"アナウンス",'30_NGAN_HANG'!$Y:$Y,"Approved")</f>
        <v/>
      </c>
      <c r="K35">
        <f>COUNTIFS('30_NGAN_HANG'!$E:$E,$A35,'30_NGAN_HANG'!$F:$F,$B35,'30_NGAN_HANG'!$D:$D,"指示の聴解",'30_NGAN_HANG'!$Y:$Y,"Approved")</f>
        <v/>
      </c>
      <c r="L35">
        <f>COUNTIFS('30_NGAN_HANG'!$E:$E,$A35,'30_NGAN_HANG'!$F:$F,$B35,'30_NGAN_HANG'!$D:$D,"掲示の読解",'30_NGAN_HANG'!$Y:$Y,"Approved")</f>
        <v/>
      </c>
      <c r="M35">
        <f>COUNTIFS('30_NGAN_HANG'!$E:$E,$A35,'30_NGAN_HANG'!$F:$F,$B35,'30_NGAN_HANG'!$D:$D,"文章の読解",'30_NGAN_HANG'!$Y:$Y,"Approved")</f>
        <v/>
      </c>
      <c r="N35">
        <f>SUM(C35:M35)</f>
        <v/>
      </c>
    </row>
    <row r="36">
      <c r="A36" t="inlineStr">
        <is>
          <t>入門</t>
        </is>
      </c>
      <c r="B36" t="n">
        <v>3</v>
      </c>
      <c r="C36">
        <f>COUNTIFS('30_NGAN_HANG'!$E:$E,$A36,'30_NGAN_HANG'!$F:$F,$B36,'30_NGAN_HANG'!$D:$D,"語の意味",'30_NGAN_HANG'!$Y:$Y,"Approved")</f>
        <v/>
      </c>
      <c r="D36">
        <f>COUNTIFS('30_NGAN_HANG'!$E:$E,$A36,'30_NGAN_HANG'!$F:$F,$B36,'30_NGAN_HANG'!$D:$D,"語の使い方",'30_NGAN_HANG'!$Y:$Y,"Approved")</f>
        <v/>
      </c>
      <c r="E36">
        <f>COUNTIFS('30_NGAN_HANG'!$E:$E,$A36,'30_NGAN_HANG'!$F:$F,$B36,'30_NGAN_HANG'!$D:$D,"漢字の読み",'30_NGAN_HANG'!$Y:$Y,"Approved")</f>
        <v/>
      </c>
      <c r="F36">
        <f>COUNTIFS('30_NGAN_HANG'!$E:$E,$A36,'30_NGAN_HANG'!$F:$F,$B36,'30_NGAN_HANG'!$D:$D,"漢字の表記",'30_NGAN_HANG'!$Y:$Y,"Approved")</f>
        <v/>
      </c>
      <c r="G36">
        <f>COUNTIFS('30_NGAN_HANG'!$E:$E,$A36,'30_NGAN_HANG'!$F:$F,$B36,'30_NGAN_HANG'!$D:$D,"表現",'30_NGAN_HANG'!$Y:$Y,"Approved")</f>
        <v/>
      </c>
      <c r="H36">
        <f>COUNTIFS('30_NGAN_HANG'!$E:$E,$A36,'30_NGAN_HANG'!$F:$F,$B36,'30_NGAN_HANG'!$D:$D,"文法",'30_NGAN_HANG'!$Y:$Y,"Approved")</f>
        <v/>
      </c>
      <c r="I36">
        <f>COUNTIFS('30_NGAN_HANG'!$E:$E,$A36,'30_NGAN_HANG'!$F:$F,$B36,'30_NGAN_HANG'!$D:$D,"会話の聴解",'30_NGAN_HANG'!$Y:$Y,"Approved")</f>
        <v/>
      </c>
      <c r="J36">
        <f>COUNTIFS('30_NGAN_HANG'!$E:$E,$A36,'30_NGAN_HANG'!$F:$F,$B36,'30_NGAN_HANG'!$D:$D,"アナウンス",'30_NGAN_HANG'!$Y:$Y,"Approved")</f>
        <v/>
      </c>
      <c r="K36">
        <f>COUNTIFS('30_NGAN_HANG'!$E:$E,$A36,'30_NGAN_HANG'!$F:$F,$B36,'30_NGAN_HANG'!$D:$D,"指示の聴解",'30_NGAN_HANG'!$Y:$Y,"Approved")</f>
        <v/>
      </c>
      <c r="L36">
        <f>COUNTIFS('30_NGAN_HANG'!$E:$E,$A36,'30_NGAN_HANG'!$F:$F,$B36,'30_NGAN_HANG'!$D:$D,"掲示の読解",'30_NGAN_HANG'!$Y:$Y,"Approved")</f>
        <v/>
      </c>
      <c r="M36">
        <f>COUNTIFS('30_NGAN_HANG'!$E:$E,$A36,'30_NGAN_HANG'!$F:$F,$B36,'30_NGAN_HANG'!$D:$D,"文章の読解",'30_NGAN_HANG'!$Y:$Y,"Approved")</f>
        <v/>
      </c>
      <c r="N36">
        <f>SUM(C36:M36)</f>
        <v/>
      </c>
    </row>
    <row r="37">
      <c r="A37" t="inlineStr">
        <is>
          <t>入門</t>
        </is>
      </c>
      <c r="B37" t="n">
        <v>4</v>
      </c>
      <c r="C37">
        <f>COUNTIFS('30_NGAN_HANG'!$E:$E,$A37,'30_NGAN_HANG'!$F:$F,$B37,'30_NGAN_HANG'!$D:$D,"語の意味",'30_NGAN_HANG'!$Y:$Y,"Approved")</f>
        <v/>
      </c>
      <c r="D37">
        <f>COUNTIFS('30_NGAN_HANG'!$E:$E,$A37,'30_NGAN_HANG'!$F:$F,$B37,'30_NGAN_HANG'!$D:$D,"語の使い方",'30_NGAN_HANG'!$Y:$Y,"Approved")</f>
        <v/>
      </c>
      <c r="E37">
        <f>COUNTIFS('30_NGAN_HANG'!$E:$E,$A37,'30_NGAN_HANG'!$F:$F,$B37,'30_NGAN_HANG'!$D:$D,"漢字の読み",'30_NGAN_HANG'!$Y:$Y,"Approved")</f>
        <v/>
      </c>
      <c r="F37">
        <f>COUNTIFS('30_NGAN_HANG'!$E:$E,$A37,'30_NGAN_HANG'!$F:$F,$B37,'30_NGAN_HANG'!$D:$D,"漢字の表記",'30_NGAN_HANG'!$Y:$Y,"Approved")</f>
        <v/>
      </c>
      <c r="G37">
        <f>COUNTIFS('30_NGAN_HANG'!$E:$E,$A37,'30_NGAN_HANG'!$F:$F,$B37,'30_NGAN_HANG'!$D:$D,"表現",'30_NGAN_HANG'!$Y:$Y,"Approved")</f>
        <v/>
      </c>
      <c r="H37">
        <f>COUNTIFS('30_NGAN_HANG'!$E:$E,$A37,'30_NGAN_HANG'!$F:$F,$B37,'30_NGAN_HANG'!$D:$D,"文法",'30_NGAN_HANG'!$Y:$Y,"Approved")</f>
        <v/>
      </c>
      <c r="I37">
        <f>COUNTIFS('30_NGAN_HANG'!$E:$E,$A37,'30_NGAN_HANG'!$F:$F,$B37,'30_NGAN_HANG'!$D:$D,"会話の聴解",'30_NGAN_HANG'!$Y:$Y,"Approved")</f>
        <v/>
      </c>
      <c r="J37">
        <f>COUNTIFS('30_NGAN_HANG'!$E:$E,$A37,'30_NGAN_HANG'!$F:$F,$B37,'30_NGAN_HANG'!$D:$D,"アナウンス",'30_NGAN_HANG'!$Y:$Y,"Approved")</f>
        <v/>
      </c>
      <c r="K37">
        <f>COUNTIFS('30_NGAN_HANG'!$E:$E,$A37,'30_NGAN_HANG'!$F:$F,$B37,'30_NGAN_HANG'!$D:$D,"指示の聴解",'30_NGAN_HANG'!$Y:$Y,"Approved")</f>
        <v/>
      </c>
      <c r="L37">
        <f>COUNTIFS('30_NGAN_HANG'!$E:$E,$A37,'30_NGAN_HANG'!$F:$F,$B37,'30_NGAN_HANG'!$D:$D,"掲示の読解",'30_NGAN_HANG'!$Y:$Y,"Approved")</f>
        <v/>
      </c>
      <c r="M37">
        <f>COUNTIFS('30_NGAN_HANG'!$E:$E,$A37,'30_NGAN_HANG'!$F:$F,$B37,'30_NGAN_HANG'!$D:$D,"文章の読解",'30_NGAN_HANG'!$Y:$Y,"Approved")</f>
        <v/>
      </c>
      <c r="N37">
        <f>SUM(C37:M37)</f>
        <v/>
      </c>
    </row>
    <row r="38">
      <c r="A38" t="inlineStr">
        <is>
          <t>入門</t>
        </is>
      </c>
      <c r="B38" t="n">
        <v>5</v>
      </c>
      <c r="C38">
        <f>COUNTIFS('30_NGAN_HANG'!$E:$E,$A38,'30_NGAN_HANG'!$F:$F,$B38,'30_NGAN_HANG'!$D:$D,"語の意味",'30_NGAN_HANG'!$Y:$Y,"Approved")</f>
        <v/>
      </c>
      <c r="D38">
        <f>COUNTIFS('30_NGAN_HANG'!$E:$E,$A38,'30_NGAN_HANG'!$F:$F,$B38,'30_NGAN_HANG'!$D:$D,"語の使い方",'30_NGAN_HANG'!$Y:$Y,"Approved")</f>
        <v/>
      </c>
      <c r="E38">
        <f>COUNTIFS('30_NGAN_HANG'!$E:$E,$A38,'30_NGAN_HANG'!$F:$F,$B38,'30_NGAN_HANG'!$D:$D,"漢字の読み",'30_NGAN_HANG'!$Y:$Y,"Approved")</f>
        <v/>
      </c>
      <c r="F38">
        <f>COUNTIFS('30_NGAN_HANG'!$E:$E,$A38,'30_NGAN_HANG'!$F:$F,$B38,'30_NGAN_HANG'!$D:$D,"漢字の表記",'30_NGAN_HANG'!$Y:$Y,"Approved")</f>
        <v/>
      </c>
      <c r="G38">
        <f>COUNTIFS('30_NGAN_HANG'!$E:$E,$A38,'30_NGAN_HANG'!$F:$F,$B38,'30_NGAN_HANG'!$D:$D,"表現",'30_NGAN_HANG'!$Y:$Y,"Approved")</f>
        <v/>
      </c>
      <c r="H38">
        <f>COUNTIFS('30_NGAN_HANG'!$E:$E,$A38,'30_NGAN_HANG'!$F:$F,$B38,'30_NGAN_HANG'!$D:$D,"文法",'30_NGAN_HANG'!$Y:$Y,"Approved")</f>
        <v/>
      </c>
      <c r="I38">
        <f>COUNTIFS('30_NGAN_HANG'!$E:$E,$A38,'30_NGAN_HANG'!$F:$F,$B38,'30_NGAN_HANG'!$D:$D,"会話の聴解",'30_NGAN_HANG'!$Y:$Y,"Approved")</f>
        <v/>
      </c>
      <c r="J38">
        <f>COUNTIFS('30_NGAN_HANG'!$E:$E,$A38,'30_NGAN_HANG'!$F:$F,$B38,'30_NGAN_HANG'!$D:$D,"アナウンス",'30_NGAN_HANG'!$Y:$Y,"Approved")</f>
        <v/>
      </c>
      <c r="K38">
        <f>COUNTIFS('30_NGAN_HANG'!$E:$E,$A38,'30_NGAN_HANG'!$F:$F,$B38,'30_NGAN_HANG'!$D:$D,"指示の聴解",'30_NGAN_HANG'!$Y:$Y,"Approved")</f>
        <v/>
      </c>
      <c r="L38">
        <f>COUNTIFS('30_NGAN_HANG'!$E:$E,$A38,'30_NGAN_HANG'!$F:$F,$B38,'30_NGAN_HANG'!$D:$D,"掲示の読解",'30_NGAN_HANG'!$Y:$Y,"Approved")</f>
        <v/>
      </c>
      <c r="M38">
        <f>COUNTIFS('30_NGAN_HANG'!$E:$E,$A38,'30_NGAN_HANG'!$F:$F,$B38,'30_NGAN_HANG'!$D:$D,"文章の読解",'30_NGAN_HANG'!$Y:$Y,"Approved")</f>
        <v/>
      </c>
      <c r="N38">
        <f>SUM(C38:M38)</f>
        <v/>
      </c>
    </row>
    <row r="39">
      <c r="A39" t="inlineStr">
        <is>
          <t>入門</t>
        </is>
      </c>
      <c r="B39" t="n">
        <v>6</v>
      </c>
      <c r="C39">
        <f>COUNTIFS('30_NGAN_HANG'!$E:$E,$A39,'30_NGAN_HANG'!$F:$F,$B39,'30_NGAN_HANG'!$D:$D,"語の意味",'30_NGAN_HANG'!$Y:$Y,"Approved")</f>
        <v/>
      </c>
      <c r="D39">
        <f>COUNTIFS('30_NGAN_HANG'!$E:$E,$A39,'30_NGAN_HANG'!$F:$F,$B39,'30_NGAN_HANG'!$D:$D,"語の使い方",'30_NGAN_HANG'!$Y:$Y,"Approved")</f>
        <v/>
      </c>
      <c r="E39">
        <f>COUNTIFS('30_NGAN_HANG'!$E:$E,$A39,'30_NGAN_HANG'!$F:$F,$B39,'30_NGAN_HANG'!$D:$D,"漢字の読み",'30_NGAN_HANG'!$Y:$Y,"Approved")</f>
        <v/>
      </c>
      <c r="F39">
        <f>COUNTIFS('30_NGAN_HANG'!$E:$E,$A39,'30_NGAN_HANG'!$F:$F,$B39,'30_NGAN_HANG'!$D:$D,"漢字の表記",'30_NGAN_HANG'!$Y:$Y,"Approved")</f>
        <v/>
      </c>
      <c r="G39">
        <f>COUNTIFS('30_NGAN_HANG'!$E:$E,$A39,'30_NGAN_HANG'!$F:$F,$B39,'30_NGAN_HANG'!$D:$D,"表現",'30_NGAN_HANG'!$Y:$Y,"Approved")</f>
        <v/>
      </c>
      <c r="H39">
        <f>COUNTIFS('30_NGAN_HANG'!$E:$E,$A39,'30_NGAN_HANG'!$F:$F,$B39,'30_NGAN_HANG'!$D:$D,"文法",'30_NGAN_HANG'!$Y:$Y,"Approved")</f>
        <v/>
      </c>
      <c r="I39">
        <f>COUNTIFS('30_NGAN_HANG'!$E:$E,$A39,'30_NGAN_HANG'!$F:$F,$B39,'30_NGAN_HANG'!$D:$D,"会話の聴解",'30_NGAN_HANG'!$Y:$Y,"Approved")</f>
        <v/>
      </c>
      <c r="J39">
        <f>COUNTIFS('30_NGAN_HANG'!$E:$E,$A39,'30_NGAN_HANG'!$F:$F,$B39,'30_NGAN_HANG'!$D:$D,"アナウンス",'30_NGAN_HANG'!$Y:$Y,"Approved")</f>
        <v/>
      </c>
      <c r="K39">
        <f>COUNTIFS('30_NGAN_HANG'!$E:$E,$A39,'30_NGAN_HANG'!$F:$F,$B39,'30_NGAN_HANG'!$D:$D,"指示の聴解",'30_NGAN_HANG'!$Y:$Y,"Approved")</f>
        <v/>
      </c>
      <c r="L39">
        <f>COUNTIFS('30_NGAN_HANG'!$E:$E,$A39,'30_NGAN_HANG'!$F:$F,$B39,'30_NGAN_HANG'!$D:$D,"掲示の読解",'30_NGAN_HANG'!$Y:$Y,"Approved")</f>
        <v/>
      </c>
      <c r="M39">
        <f>COUNTIFS('30_NGAN_HANG'!$E:$E,$A39,'30_NGAN_HANG'!$F:$F,$B39,'30_NGAN_HANG'!$D:$D,"文章の読解",'30_NGAN_HANG'!$Y:$Y,"Approved")</f>
        <v/>
      </c>
      <c r="N39">
        <f>SUM(C39:M39)</f>
        <v/>
      </c>
    </row>
    <row r="40">
      <c r="A40" t="inlineStr">
        <is>
          <t>入門</t>
        </is>
      </c>
      <c r="B40" t="n">
        <v>7</v>
      </c>
      <c r="C40">
        <f>COUNTIFS('30_NGAN_HANG'!$E:$E,$A40,'30_NGAN_HANG'!$F:$F,$B40,'30_NGAN_HANG'!$D:$D,"語の意味",'30_NGAN_HANG'!$Y:$Y,"Approved")</f>
        <v/>
      </c>
      <c r="D40">
        <f>COUNTIFS('30_NGAN_HANG'!$E:$E,$A40,'30_NGAN_HANG'!$F:$F,$B40,'30_NGAN_HANG'!$D:$D,"語の使い方",'30_NGAN_HANG'!$Y:$Y,"Approved")</f>
        <v/>
      </c>
      <c r="E40">
        <f>COUNTIFS('30_NGAN_HANG'!$E:$E,$A40,'30_NGAN_HANG'!$F:$F,$B40,'30_NGAN_HANG'!$D:$D,"漢字の読み",'30_NGAN_HANG'!$Y:$Y,"Approved")</f>
        <v/>
      </c>
      <c r="F40">
        <f>COUNTIFS('30_NGAN_HANG'!$E:$E,$A40,'30_NGAN_HANG'!$F:$F,$B40,'30_NGAN_HANG'!$D:$D,"漢字の表記",'30_NGAN_HANG'!$Y:$Y,"Approved")</f>
        <v/>
      </c>
      <c r="G40">
        <f>COUNTIFS('30_NGAN_HANG'!$E:$E,$A40,'30_NGAN_HANG'!$F:$F,$B40,'30_NGAN_HANG'!$D:$D,"表現",'30_NGAN_HANG'!$Y:$Y,"Approved")</f>
        <v/>
      </c>
      <c r="H40">
        <f>COUNTIFS('30_NGAN_HANG'!$E:$E,$A40,'30_NGAN_HANG'!$F:$F,$B40,'30_NGAN_HANG'!$D:$D,"文法",'30_NGAN_HANG'!$Y:$Y,"Approved")</f>
        <v/>
      </c>
      <c r="I40">
        <f>COUNTIFS('30_NGAN_HANG'!$E:$E,$A40,'30_NGAN_HANG'!$F:$F,$B40,'30_NGAN_HANG'!$D:$D,"会話の聴解",'30_NGAN_HANG'!$Y:$Y,"Approved")</f>
        <v/>
      </c>
      <c r="J40">
        <f>COUNTIFS('30_NGAN_HANG'!$E:$E,$A40,'30_NGAN_HANG'!$F:$F,$B40,'30_NGAN_HANG'!$D:$D,"アナウンス",'30_NGAN_HANG'!$Y:$Y,"Approved")</f>
        <v/>
      </c>
      <c r="K40">
        <f>COUNTIFS('30_NGAN_HANG'!$E:$E,$A40,'30_NGAN_HANG'!$F:$F,$B40,'30_NGAN_HANG'!$D:$D,"指示の聴解",'30_NGAN_HANG'!$Y:$Y,"Approved")</f>
        <v/>
      </c>
      <c r="L40">
        <f>COUNTIFS('30_NGAN_HANG'!$E:$E,$A40,'30_NGAN_HANG'!$F:$F,$B40,'30_NGAN_HANG'!$D:$D,"掲示の読解",'30_NGAN_HANG'!$Y:$Y,"Approved")</f>
        <v/>
      </c>
      <c r="M40">
        <f>COUNTIFS('30_NGAN_HANG'!$E:$E,$A40,'30_NGAN_HANG'!$F:$F,$B40,'30_NGAN_HANG'!$D:$D,"文章の読解",'30_NGAN_HANG'!$Y:$Y,"Approved")</f>
        <v/>
      </c>
      <c r="N40">
        <f>SUM(C40:M40)</f>
        <v/>
      </c>
    </row>
    <row r="41">
      <c r="A41" t="inlineStr">
        <is>
          <t>入門</t>
        </is>
      </c>
      <c r="B41" t="n">
        <v>8</v>
      </c>
      <c r="C41">
        <f>COUNTIFS('30_NGAN_HANG'!$E:$E,$A41,'30_NGAN_HANG'!$F:$F,$B41,'30_NGAN_HANG'!$D:$D,"語の意味",'30_NGAN_HANG'!$Y:$Y,"Approved")</f>
        <v/>
      </c>
      <c r="D41">
        <f>COUNTIFS('30_NGAN_HANG'!$E:$E,$A41,'30_NGAN_HANG'!$F:$F,$B41,'30_NGAN_HANG'!$D:$D,"語の使い方",'30_NGAN_HANG'!$Y:$Y,"Approved")</f>
        <v/>
      </c>
      <c r="E41">
        <f>COUNTIFS('30_NGAN_HANG'!$E:$E,$A41,'30_NGAN_HANG'!$F:$F,$B41,'30_NGAN_HANG'!$D:$D,"漢字の読み",'30_NGAN_HANG'!$Y:$Y,"Approved")</f>
        <v/>
      </c>
      <c r="F41">
        <f>COUNTIFS('30_NGAN_HANG'!$E:$E,$A41,'30_NGAN_HANG'!$F:$F,$B41,'30_NGAN_HANG'!$D:$D,"漢字の表記",'30_NGAN_HANG'!$Y:$Y,"Approved")</f>
        <v/>
      </c>
      <c r="G41">
        <f>COUNTIFS('30_NGAN_HANG'!$E:$E,$A41,'30_NGAN_HANG'!$F:$F,$B41,'30_NGAN_HANG'!$D:$D,"表現",'30_NGAN_HANG'!$Y:$Y,"Approved")</f>
        <v/>
      </c>
      <c r="H41">
        <f>COUNTIFS('30_NGAN_HANG'!$E:$E,$A41,'30_NGAN_HANG'!$F:$F,$B41,'30_NGAN_HANG'!$D:$D,"文法",'30_NGAN_HANG'!$Y:$Y,"Approved")</f>
        <v/>
      </c>
      <c r="I41">
        <f>COUNTIFS('30_NGAN_HANG'!$E:$E,$A41,'30_NGAN_HANG'!$F:$F,$B41,'30_NGAN_HANG'!$D:$D,"会話の聴解",'30_NGAN_HANG'!$Y:$Y,"Approved")</f>
        <v/>
      </c>
      <c r="J41">
        <f>COUNTIFS('30_NGAN_HANG'!$E:$E,$A41,'30_NGAN_HANG'!$F:$F,$B41,'30_NGAN_HANG'!$D:$D,"アナウンス",'30_NGAN_HANG'!$Y:$Y,"Approved")</f>
        <v/>
      </c>
      <c r="K41">
        <f>COUNTIFS('30_NGAN_HANG'!$E:$E,$A41,'30_NGAN_HANG'!$F:$F,$B41,'30_NGAN_HANG'!$D:$D,"指示の聴解",'30_NGAN_HANG'!$Y:$Y,"Approved")</f>
        <v/>
      </c>
      <c r="L41">
        <f>COUNTIFS('30_NGAN_HANG'!$E:$E,$A41,'30_NGAN_HANG'!$F:$F,$B41,'30_NGAN_HANG'!$D:$D,"掲示の読解",'30_NGAN_HANG'!$Y:$Y,"Approved")</f>
        <v/>
      </c>
      <c r="M41">
        <f>COUNTIFS('30_NGAN_HANG'!$E:$E,$A41,'30_NGAN_HANG'!$F:$F,$B41,'30_NGAN_HANG'!$D:$D,"文章の読解",'30_NGAN_HANG'!$Y:$Y,"Approved")</f>
        <v/>
      </c>
      <c r="N41">
        <f>SUM(C41:M41)</f>
        <v/>
      </c>
    </row>
    <row r="42">
      <c r="A42" t="inlineStr">
        <is>
          <t>入門</t>
        </is>
      </c>
      <c r="B42" t="n">
        <v>9</v>
      </c>
      <c r="C42">
        <f>COUNTIFS('30_NGAN_HANG'!$E:$E,$A42,'30_NGAN_HANG'!$F:$F,$B42,'30_NGAN_HANG'!$D:$D,"語の意味",'30_NGAN_HANG'!$Y:$Y,"Approved")</f>
        <v/>
      </c>
      <c r="D42">
        <f>COUNTIFS('30_NGAN_HANG'!$E:$E,$A42,'30_NGAN_HANG'!$F:$F,$B42,'30_NGAN_HANG'!$D:$D,"語の使い方",'30_NGAN_HANG'!$Y:$Y,"Approved")</f>
        <v/>
      </c>
      <c r="E42">
        <f>COUNTIFS('30_NGAN_HANG'!$E:$E,$A42,'30_NGAN_HANG'!$F:$F,$B42,'30_NGAN_HANG'!$D:$D,"漢字の読み",'30_NGAN_HANG'!$Y:$Y,"Approved")</f>
        <v/>
      </c>
      <c r="F42">
        <f>COUNTIFS('30_NGAN_HANG'!$E:$E,$A42,'30_NGAN_HANG'!$F:$F,$B42,'30_NGAN_HANG'!$D:$D,"漢字の表記",'30_NGAN_HANG'!$Y:$Y,"Approved")</f>
        <v/>
      </c>
      <c r="G42">
        <f>COUNTIFS('30_NGAN_HANG'!$E:$E,$A42,'30_NGAN_HANG'!$F:$F,$B42,'30_NGAN_HANG'!$D:$D,"表現",'30_NGAN_HANG'!$Y:$Y,"Approved")</f>
        <v/>
      </c>
      <c r="H42">
        <f>COUNTIFS('30_NGAN_HANG'!$E:$E,$A42,'30_NGAN_HANG'!$F:$F,$B42,'30_NGAN_HANG'!$D:$D,"文法",'30_NGAN_HANG'!$Y:$Y,"Approved")</f>
        <v/>
      </c>
      <c r="I42">
        <f>COUNTIFS('30_NGAN_HANG'!$E:$E,$A42,'30_NGAN_HANG'!$F:$F,$B42,'30_NGAN_HANG'!$D:$D,"会話の聴解",'30_NGAN_HANG'!$Y:$Y,"Approved")</f>
        <v/>
      </c>
      <c r="J42">
        <f>COUNTIFS('30_NGAN_HANG'!$E:$E,$A42,'30_NGAN_HANG'!$F:$F,$B42,'30_NGAN_HANG'!$D:$D,"アナウンス",'30_NGAN_HANG'!$Y:$Y,"Approved")</f>
        <v/>
      </c>
      <c r="K42">
        <f>COUNTIFS('30_NGAN_HANG'!$E:$E,$A42,'30_NGAN_HANG'!$F:$F,$B42,'30_NGAN_HANG'!$D:$D,"指示の聴解",'30_NGAN_HANG'!$Y:$Y,"Approved")</f>
        <v/>
      </c>
      <c r="L42">
        <f>COUNTIFS('30_NGAN_HANG'!$E:$E,$A42,'30_NGAN_HANG'!$F:$F,$B42,'30_NGAN_HANG'!$D:$D,"掲示の読解",'30_NGAN_HANG'!$Y:$Y,"Approved")</f>
        <v/>
      </c>
      <c r="M42">
        <f>COUNTIFS('30_NGAN_HANG'!$E:$E,$A42,'30_NGAN_HANG'!$F:$F,$B42,'30_NGAN_HANG'!$D:$D,"文章の読解",'30_NGAN_HANG'!$Y:$Y,"Approved")</f>
        <v/>
      </c>
      <c r="N42">
        <f>SUM(C42:M42)</f>
        <v/>
      </c>
    </row>
    <row r="43">
      <c r="A43" t="inlineStr">
        <is>
          <t>入門</t>
        </is>
      </c>
      <c r="B43" t="n">
        <v>10</v>
      </c>
      <c r="C43">
        <f>COUNTIFS('30_NGAN_HANG'!$E:$E,$A43,'30_NGAN_HANG'!$F:$F,$B43,'30_NGAN_HANG'!$D:$D,"語の意味",'30_NGAN_HANG'!$Y:$Y,"Approved")</f>
        <v/>
      </c>
      <c r="D43">
        <f>COUNTIFS('30_NGAN_HANG'!$E:$E,$A43,'30_NGAN_HANG'!$F:$F,$B43,'30_NGAN_HANG'!$D:$D,"語の使い方",'30_NGAN_HANG'!$Y:$Y,"Approved")</f>
        <v/>
      </c>
      <c r="E43">
        <f>COUNTIFS('30_NGAN_HANG'!$E:$E,$A43,'30_NGAN_HANG'!$F:$F,$B43,'30_NGAN_HANG'!$D:$D,"漢字の読み",'30_NGAN_HANG'!$Y:$Y,"Approved")</f>
        <v/>
      </c>
      <c r="F43">
        <f>COUNTIFS('30_NGAN_HANG'!$E:$E,$A43,'30_NGAN_HANG'!$F:$F,$B43,'30_NGAN_HANG'!$D:$D,"漢字の表記",'30_NGAN_HANG'!$Y:$Y,"Approved")</f>
        <v/>
      </c>
      <c r="G43">
        <f>COUNTIFS('30_NGAN_HANG'!$E:$E,$A43,'30_NGAN_HANG'!$F:$F,$B43,'30_NGAN_HANG'!$D:$D,"表現",'30_NGAN_HANG'!$Y:$Y,"Approved")</f>
        <v/>
      </c>
      <c r="H43">
        <f>COUNTIFS('30_NGAN_HANG'!$E:$E,$A43,'30_NGAN_HANG'!$F:$F,$B43,'30_NGAN_HANG'!$D:$D,"文法",'30_NGAN_HANG'!$Y:$Y,"Approved")</f>
        <v/>
      </c>
      <c r="I43">
        <f>COUNTIFS('30_NGAN_HANG'!$E:$E,$A43,'30_NGAN_HANG'!$F:$F,$B43,'30_NGAN_HANG'!$D:$D,"会話の聴解",'30_NGAN_HANG'!$Y:$Y,"Approved")</f>
        <v/>
      </c>
      <c r="J43">
        <f>COUNTIFS('30_NGAN_HANG'!$E:$E,$A43,'30_NGAN_HANG'!$F:$F,$B43,'30_NGAN_HANG'!$D:$D,"アナウンス",'30_NGAN_HANG'!$Y:$Y,"Approved")</f>
        <v/>
      </c>
      <c r="K43">
        <f>COUNTIFS('30_NGAN_HANG'!$E:$E,$A43,'30_NGAN_HANG'!$F:$F,$B43,'30_NGAN_HANG'!$D:$D,"指示の聴解",'30_NGAN_HANG'!$Y:$Y,"Approved")</f>
        <v/>
      </c>
      <c r="L43">
        <f>COUNTIFS('30_NGAN_HANG'!$E:$E,$A43,'30_NGAN_HANG'!$F:$F,$B43,'30_NGAN_HANG'!$D:$D,"掲示の読解",'30_NGAN_HANG'!$Y:$Y,"Approved")</f>
        <v/>
      </c>
      <c r="M43">
        <f>COUNTIFS('30_NGAN_HANG'!$E:$E,$A43,'30_NGAN_HANG'!$F:$F,$B43,'30_NGAN_HANG'!$D:$D,"文章の読解",'30_NGAN_HANG'!$Y:$Y,"Approved")</f>
        <v/>
      </c>
      <c r="N43">
        <f>SUM(C43:M43)</f>
        <v/>
      </c>
    </row>
    <row r="44">
      <c r="A44" t="inlineStr">
        <is>
          <t>入門</t>
        </is>
      </c>
      <c r="B44" t="n">
        <v>11</v>
      </c>
      <c r="C44">
        <f>COUNTIFS('30_NGAN_HANG'!$E:$E,$A44,'30_NGAN_HANG'!$F:$F,$B44,'30_NGAN_HANG'!$D:$D,"語の意味",'30_NGAN_HANG'!$Y:$Y,"Approved")</f>
        <v/>
      </c>
      <c r="D44">
        <f>COUNTIFS('30_NGAN_HANG'!$E:$E,$A44,'30_NGAN_HANG'!$F:$F,$B44,'30_NGAN_HANG'!$D:$D,"語の使い方",'30_NGAN_HANG'!$Y:$Y,"Approved")</f>
        <v/>
      </c>
      <c r="E44">
        <f>COUNTIFS('30_NGAN_HANG'!$E:$E,$A44,'30_NGAN_HANG'!$F:$F,$B44,'30_NGAN_HANG'!$D:$D,"漢字の読み",'30_NGAN_HANG'!$Y:$Y,"Approved")</f>
        <v/>
      </c>
      <c r="F44">
        <f>COUNTIFS('30_NGAN_HANG'!$E:$E,$A44,'30_NGAN_HANG'!$F:$F,$B44,'30_NGAN_HANG'!$D:$D,"漢字の表記",'30_NGAN_HANG'!$Y:$Y,"Approved")</f>
        <v/>
      </c>
      <c r="G44">
        <f>COUNTIFS('30_NGAN_HANG'!$E:$E,$A44,'30_NGAN_HANG'!$F:$F,$B44,'30_NGAN_HANG'!$D:$D,"表現",'30_NGAN_HANG'!$Y:$Y,"Approved")</f>
        <v/>
      </c>
      <c r="H44">
        <f>COUNTIFS('30_NGAN_HANG'!$E:$E,$A44,'30_NGAN_HANG'!$F:$F,$B44,'30_NGAN_HANG'!$D:$D,"文法",'30_NGAN_HANG'!$Y:$Y,"Approved")</f>
        <v/>
      </c>
      <c r="I44">
        <f>COUNTIFS('30_NGAN_HANG'!$E:$E,$A44,'30_NGAN_HANG'!$F:$F,$B44,'30_NGAN_HANG'!$D:$D,"会話の聴解",'30_NGAN_HANG'!$Y:$Y,"Approved")</f>
        <v/>
      </c>
      <c r="J44">
        <f>COUNTIFS('30_NGAN_HANG'!$E:$E,$A44,'30_NGAN_HANG'!$F:$F,$B44,'30_NGAN_HANG'!$D:$D,"アナウンス",'30_NGAN_HANG'!$Y:$Y,"Approved")</f>
        <v/>
      </c>
      <c r="K44">
        <f>COUNTIFS('30_NGAN_HANG'!$E:$E,$A44,'30_NGAN_HANG'!$F:$F,$B44,'30_NGAN_HANG'!$D:$D,"指示の聴解",'30_NGAN_HANG'!$Y:$Y,"Approved")</f>
        <v/>
      </c>
      <c r="L44">
        <f>COUNTIFS('30_NGAN_HANG'!$E:$E,$A44,'30_NGAN_HANG'!$F:$F,$B44,'30_NGAN_HANG'!$D:$D,"掲示の読解",'30_NGAN_HANG'!$Y:$Y,"Approved")</f>
        <v/>
      </c>
      <c r="M44">
        <f>COUNTIFS('30_NGAN_HANG'!$E:$E,$A44,'30_NGAN_HANG'!$F:$F,$B44,'30_NGAN_HANG'!$D:$D,"文章の読解",'30_NGAN_HANG'!$Y:$Y,"Approved")</f>
        <v/>
      </c>
      <c r="N44">
        <f>SUM(C44:M44)</f>
        <v/>
      </c>
    </row>
    <row r="45">
      <c r="A45" t="inlineStr">
        <is>
          <t>入門</t>
        </is>
      </c>
      <c r="B45" t="n">
        <v>12</v>
      </c>
      <c r="C45">
        <f>COUNTIFS('30_NGAN_HANG'!$E:$E,$A45,'30_NGAN_HANG'!$F:$F,$B45,'30_NGAN_HANG'!$D:$D,"語の意味",'30_NGAN_HANG'!$Y:$Y,"Approved")</f>
        <v/>
      </c>
      <c r="D45">
        <f>COUNTIFS('30_NGAN_HANG'!$E:$E,$A45,'30_NGAN_HANG'!$F:$F,$B45,'30_NGAN_HANG'!$D:$D,"語の使い方",'30_NGAN_HANG'!$Y:$Y,"Approved")</f>
        <v/>
      </c>
      <c r="E45">
        <f>COUNTIFS('30_NGAN_HANG'!$E:$E,$A45,'30_NGAN_HANG'!$F:$F,$B45,'30_NGAN_HANG'!$D:$D,"漢字の読み",'30_NGAN_HANG'!$Y:$Y,"Approved")</f>
        <v/>
      </c>
      <c r="F45">
        <f>COUNTIFS('30_NGAN_HANG'!$E:$E,$A45,'30_NGAN_HANG'!$F:$F,$B45,'30_NGAN_HANG'!$D:$D,"漢字の表記",'30_NGAN_HANG'!$Y:$Y,"Approved")</f>
        <v/>
      </c>
      <c r="G45">
        <f>COUNTIFS('30_NGAN_HANG'!$E:$E,$A45,'30_NGAN_HANG'!$F:$F,$B45,'30_NGAN_HANG'!$D:$D,"表現",'30_NGAN_HANG'!$Y:$Y,"Approved")</f>
        <v/>
      </c>
      <c r="H45">
        <f>COUNTIFS('30_NGAN_HANG'!$E:$E,$A45,'30_NGAN_HANG'!$F:$F,$B45,'30_NGAN_HANG'!$D:$D,"文法",'30_NGAN_HANG'!$Y:$Y,"Approved")</f>
        <v/>
      </c>
      <c r="I45">
        <f>COUNTIFS('30_NGAN_HANG'!$E:$E,$A45,'30_NGAN_HANG'!$F:$F,$B45,'30_NGAN_HANG'!$D:$D,"会話の聴解",'30_NGAN_HANG'!$Y:$Y,"Approved")</f>
        <v/>
      </c>
      <c r="J45">
        <f>COUNTIFS('30_NGAN_HANG'!$E:$E,$A45,'30_NGAN_HANG'!$F:$F,$B45,'30_NGAN_HANG'!$D:$D,"アナウンス",'30_NGAN_HANG'!$Y:$Y,"Approved")</f>
        <v/>
      </c>
      <c r="K45">
        <f>COUNTIFS('30_NGAN_HANG'!$E:$E,$A45,'30_NGAN_HANG'!$F:$F,$B45,'30_NGAN_HANG'!$D:$D,"指示の聴解",'30_NGAN_HANG'!$Y:$Y,"Approved")</f>
        <v/>
      </c>
      <c r="L45">
        <f>COUNTIFS('30_NGAN_HANG'!$E:$E,$A45,'30_NGAN_HANG'!$F:$F,$B45,'30_NGAN_HANG'!$D:$D,"掲示の読解",'30_NGAN_HANG'!$Y:$Y,"Approved")</f>
        <v/>
      </c>
      <c r="M45">
        <f>COUNTIFS('30_NGAN_HANG'!$E:$E,$A45,'30_NGAN_HANG'!$F:$F,$B45,'30_NGAN_HANG'!$D:$D,"文章の読解",'30_NGAN_HANG'!$Y:$Y,"Approved")</f>
        <v/>
      </c>
      <c r="N45">
        <f>SUM(C45:M45)</f>
        <v/>
      </c>
    </row>
    <row r="46">
      <c r="A46" t="inlineStr">
        <is>
          <t>入門</t>
        </is>
      </c>
      <c r="B46" t="n">
        <v>13</v>
      </c>
      <c r="C46">
        <f>COUNTIFS('30_NGAN_HANG'!$E:$E,$A46,'30_NGAN_HANG'!$F:$F,$B46,'30_NGAN_HANG'!$D:$D,"語の意味",'30_NGAN_HANG'!$Y:$Y,"Approved")</f>
        <v/>
      </c>
      <c r="D46">
        <f>COUNTIFS('30_NGAN_HANG'!$E:$E,$A46,'30_NGAN_HANG'!$F:$F,$B46,'30_NGAN_HANG'!$D:$D,"語の使い方",'30_NGAN_HANG'!$Y:$Y,"Approved")</f>
        <v/>
      </c>
      <c r="E46">
        <f>COUNTIFS('30_NGAN_HANG'!$E:$E,$A46,'30_NGAN_HANG'!$F:$F,$B46,'30_NGAN_HANG'!$D:$D,"漢字の読み",'30_NGAN_HANG'!$Y:$Y,"Approved")</f>
        <v/>
      </c>
      <c r="F46">
        <f>COUNTIFS('30_NGAN_HANG'!$E:$E,$A46,'30_NGAN_HANG'!$F:$F,$B46,'30_NGAN_HANG'!$D:$D,"漢字の表記",'30_NGAN_HANG'!$Y:$Y,"Approved")</f>
        <v/>
      </c>
      <c r="G46">
        <f>COUNTIFS('30_NGAN_HANG'!$E:$E,$A46,'30_NGAN_HANG'!$F:$F,$B46,'30_NGAN_HANG'!$D:$D,"表現",'30_NGAN_HANG'!$Y:$Y,"Approved")</f>
        <v/>
      </c>
      <c r="H46">
        <f>COUNTIFS('30_NGAN_HANG'!$E:$E,$A46,'30_NGAN_HANG'!$F:$F,$B46,'30_NGAN_HANG'!$D:$D,"文法",'30_NGAN_HANG'!$Y:$Y,"Approved")</f>
        <v/>
      </c>
      <c r="I46">
        <f>COUNTIFS('30_NGAN_HANG'!$E:$E,$A46,'30_NGAN_HANG'!$F:$F,$B46,'30_NGAN_HANG'!$D:$D,"会話の聴解",'30_NGAN_HANG'!$Y:$Y,"Approved")</f>
        <v/>
      </c>
      <c r="J46">
        <f>COUNTIFS('30_NGAN_HANG'!$E:$E,$A46,'30_NGAN_HANG'!$F:$F,$B46,'30_NGAN_HANG'!$D:$D,"アナウンス",'30_NGAN_HANG'!$Y:$Y,"Approved")</f>
        <v/>
      </c>
      <c r="K46">
        <f>COUNTIFS('30_NGAN_HANG'!$E:$E,$A46,'30_NGAN_HANG'!$F:$F,$B46,'30_NGAN_HANG'!$D:$D,"指示の聴解",'30_NGAN_HANG'!$Y:$Y,"Approved")</f>
        <v/>
      </c>
      <c r="L46">
        <f>COUNTIFS('30_NGAN_HANG'!$E:$E,$A46,'30_NGAN_HANG'!$F:$F,$B46,'30_NGAN_HANG'!$D:$D,"掲示の読解",'30_NGAN_HANG'!$Y:$Y,"Approved")</f>
        <v/>
      </c>
      <c r="M46">
        <f>COUNTIFS('30_NGAN_HANG'!$E:$E,$A46,'30_NGAN_HANG'!$F:$F,$B46,'30_NGAN_HANG'!$D:$D,"文章の読解",'30_NGAN_HANG'!$Y:$Y,"Approved")</f>
        <v/>
      </c>
      <c r="N46">
        <f>SUM(C46:M46)</f>
        <v/>
      </c>
    </row>
    <row r="47">
      <c r="A47" t="inlineStr">
        <is>
          <t>入門</t>
        </is>
      </c>
      <c r="B47" t="n">
        <v>14</v>
      </c>
      <c r="C47">
        <f>COUNTIFS('30_NGAN_HANG'!$E:$E,$A47,'30_NGAN_HANG'!$F:$F,$B47,'30_NGAN_HANG'!$D:$D,"語の意味",'30_NGAN_HANG'!$Y:$Y,"Approved")</f>
        <v/>
      </c>
      <c r="D47">
        <f>COUNTIFS('30_NGAN_HANG'!$E:$E,$A47,'30_NGAN_HANG'!$F:$F,$B47,'30_NGAN_HANG'!$D:$D,"語の使い方",'30_NGAN_HANG'!$Y:$Y,"Approved")</f>
        <v/>
      </c>
      <c r="E47">
        <f>COUNTIFS('30_NGAN_HANG'!$E:$E,$A47,'30_NGAN_HANG'!$F:$F,$B47,'30_NGAN_HANG'!$D:$D,"漢字の読み",'30_NGAN_HANG'!$Y:$Y,"Approved")</f>
        <v/>
      </c>
      <c r="F47">
        <f>COUNTIFS('30_NGAN_HANG'!$E:$E,$A47,'30_NGAN_HANG'!$F:$F,$B47,'30_NGAN_HANG'!$D:$D,"漢字の表記",'30_NGAN_HANG'!$Y:$Y,"Approved")</f>
        <v/>
      </c>
      <c r="G47">
        <f>COUNTIFS('30_NGAN_HANG'!$E:$E,$A47,'30_NGAN_HANG'!$F:$F,$B47,'30_NGAN_HANG'!$D:$D,"表現",'30_NGAN_HANG'!$Y:$Y,"Approved")</f>
        <v/>
      </c>
      <c r="H47">
        <f>COUNTIFS('30_NGAN_HANG'!$E:$E,$A47,'30_NGAN_HANG'!$F:$F,$B47,'30_NGAN_HANG'!$D:$D,"文法",'30_NGAN_HANG'!$Y:$Y,"Approved")</f>
        <v/>
      </c>
      <c r="I47">
        <f>COUNTIFS('30_NGAN_HANG'!$E:$E,$A47,'30_NGAN_HANG'!$F:$F,$B47,'30_NGAN_HANG'!$D:$D,"会話の聴解",'30_NGAN_HANG'!$Y:$Y,"Approved")</f>
        <v/>
      </c>
      <c r="J47">
        <f>COUNTIFS('30_NGAN_HANG'!$E:$E,$A47,'30_NGAN_HANG'!$F:$F,$B47,'30_NGAN_HANG'!$D:$D,"アナウンス",'30_NGAN_HANG'!$Y:$Y,"Approved")</f>
        <v/>
      </c>
      <c r="K47">
        <f>COUNTIFS('30_NGAN_HANG'!$E:$E,$A47,'30_NGAN_HANG'!$F:$F,$B47,'30_NGAN_HANG'!$D:$D,"指示の聴解",'30_NGAN_HANG'!$Y:$Y,"Approved")</f>
        <v/>
      </c>
      <c r="L47">
        <f>COUNTIFS('30_NGAN_HANG'!$E:$E,$A47,'30_NGAN_HANG'!$F:$F,$B47,'30_NGAN_HANG'!$D:$D,"掲示の読解",'30_NGAN_HANG'!$Y:$Y,"Approved")</f>
        <v/>
      </c>
      <c r="M47">
        <f>COUNTIFS('30_NGAN_HANG'!$E:$E,$A47,'30_NGAN_HANG'!$F:$F,$B47,'30_NGAN_HANG'!$D:$D,"文章の読解",'30_NGAN_HANG'!$Y:$Y,"Approved")</f>
        <v/>
      </c>
      <c r="N47">
        <f>SUM(C47:M47)</f>
        <v/>
      </c>
    </row>
    <row r="48">
      <c r="A48" t="inlineStr">
        <is>
          <t>入門</t>
        </is>
      </c>
      <c r="B48" t="n">
        <v>15</v>
      </c>
      <c r="C48">
        <f>COUNTIFS('30_NGAN_HANG'!$E:$E,$A48,'30_NGAN_HANG'!$F:$F,$B48,'30_NGAN_HANG'!$D:$D,"語の意味",'30_NGAN_HANG'!$Y:$Y,"Approved")</f>
        <v/>
      </c>
      <c r="D48">
        <f>COUNTIFS('30_NGAN_HANG'!$E:$E,$A48,'30_NGAN_HANG'!$F:$F,$B48,'30_NGAN_HANG'!$D:$D,"語の使い方",'30_NGAN_HANG'!$Y:$Y,"Approved")</f>
        <v/>
      </c>
      <c r="E48">
        <f>COUNTIFS('30_NGAN_HANG'!$E:$E,$A48,'30_NGAN_HANG'!$F:$F,$B48,'30_NGAN_HANG'!$D:$D,"漢字の読み",'30_NGAN_HANG'!$Y:$Y,"Approved")</f>
        <v/>
      </c>
      <c r="F48">
        <f>COUNTIFS('30_NGAN_HANG'!$E:$E,$A48,'30_NGAN_HANG'!$F:$F,$B48,'30_NGAN_HANG'!$D:$D,"漢字の表記",'30_NGAN_HANG'!$Y:$Y,"Approved")</f>
        <v/>
      </c>
      <c r="G48">
        <f>COUNTIFS('30_NGAN_HANG'!$E:$E,$A48,'30_NGAN_HANG'!$F:$F,$B48,'30_NGAN_HANG'!$D:$D,"表現",'30_NGAN_HANG'!$Y:$Y,"Approved")</f>
        <v/>
      </c>
      <c r="H48">
        <f>COUNTIFS('30_NGAN_HANG'!$E:$E,$A48,'30_NGAN_HANG'!$F:$F,$B48,'30_NGAN_HANG'!$D:$D,"文法",'30_NGAN_HANG'!$Y:$Y,"Approved")</f>
        <v/>
      </c>
      <c r="I48">
        <f>COUNTIFS('30_NGAN_HANG'!$E:$E,$A48,'30_NGAN_HANG'!$F:$F,$B48,'30_NGAN_HANG'!$D:$D,"会話の聴解",'30_NGAN_HANG'!$Y:$Y,"Approved")</f>
        <v/>
      </c>
      <c r="J48">
        <f>COUNTIFS('30_NGAN_HANG'!$E:$E,$A48,'30_NGAN_HANG'!$F:$F,$B48,'30_NGAN_HANG'!$D:$D,"アナウンス",'30_NGAN_HANG'!$Y:$Y,"Approved")</f>
        <v/>
      </c>
      <c r="K48">
        <f>COUNTIFS('30_NGAN_HANG'!$E:$E,$A48,'30_NGAN_HANG'!$F:$F,$B48,'30_NGAN_HANG'!$D:$D,"指示の聴解",'30_NGAN_HANG'!$Y:$Y,"Approved")</f>
        <v/>
      </c>
      <c r="L48">
        <f>COUNTIFS('30_NGAN_HANG'!$E:$E,$A48,'30_NGAN_HANG'!$F:$F,$B48,'30_NGAN_HANG'!$D:$D,"掲示の読解",'30_NGAN_HANG'!$Y:$Y,"Approved")</f>
        <v/>
      </c>
      <c r="M48">
        <f>COUNTIFS('30_NGAN_HANG'!$E:$E,$A48,'30_NGAN_HANG'!$F:$F,$B48,'30_NGAN_HANG'!$D:$D,"文章の読解",'30_NGAN_HANG'!$Y:$Y,"Approved")</f>
        <v/>
      </c>
      <c r="N48">
        <f>SUM(C48:M48)</f>
        <v/>
      </c>
    </row>
    <row r="49">
      <c r="A49" t="inlineStr">
        <is>
          <t>入門</t>
        </is>
      </c>
      <c r="B49" t="n">
        <v>16</v>
      </c>
      <c r="C49">
        <f>COUNTIFS('30_NGAN_HANG'!$E:$E,$A49,'30_NGAN_HANG'!$F:$F,$B49,'30_NGAN_HANG'!$D:$D,"語の意味",'30_NGAN_HANG'!$Y:$Y,"Approved")</f>
        <v/>
      </c>
      <c r="D49">
        <f>COUNTIFS('30_NGAN_HANG'!$E:$E,$A49,'30_NGAN_HANG'!$F:$F,$B49,'30_NGAN_HANG'!$D:$D,"語の使い方",'30_NGAN_HANG'!$Y:$Y,"Approved")</f>
        <v/>
      </c>
      <c r="E49">
        <f>COUNTIFS('30_NGAN_HANG'!$E:$E,$A49,'30_NGAN_HANG'!$F:$F,$B49,'30_NGAN_HANG'!$D:$D,"漢字の読み",'30_NGAN_HANG'!$Y:$Y,"Approved")</f>
        <v/>
      </c>
      <c r="F49">
        <f>COUNTIFS('30_NGAN_HANG'!$E:$E,$A49,'30_NGAN_HANG'!$F:$F,$B49,'30_NGAN_HANG'!$D:$D,"漢字の表記",'30_NGAN_HANG'!$Y:$Y,"Approved")</f>
        <v/>
      </c>
      <c r="G49">
        <f>COUNTIFS('30_NGAN_HANG'!$E:$E,$A49,'30_NGAN_HANG'!$F:$F,$B49,'30_NGAN_HANG'!$D:$D,"表現",'30_NGAN_HANG'!$Y:$Y,"Approved")</f>
        <v/>
      </c>
      <c r="H49">
        <f>COUNTIFS('30_NGAN_HANG'!$E:$E,$A49,'30_NGAN_HANG'!$F:$F,$B49,'30_NGAN_HANG'!$D:$D,"文法",'30_NGAN_HANG'!$Y:$Y,"Approved")</f>
        <v/>
      </c>
      <c r="I49">
        <f>COUNTIFS('30_NGAN_HANG'!$E:$E,$A49,'30_NGAN_HANG'!$F:$F,$B49,'30_NGAN_HANG'!$D:$D,"会話の聴解",'30_NGAN_HANG'!$Y:$Y,"Approved")</f>
        <v/>
      </c>
      <c r="J49">
        <f>COUNTIFS('30_NGAN_HANG'!$E:$E,$A49,'30_NGAN_HANG'!$F:$F,$B49,'30_NGAN_HANG'!$D:$D,"アナウンス",'30_NGAN_HANG'!$Y:$Y,"Approved")</f>
        <v/>
      </c>
      <c r="K49">
        <f>COUNTIFS('30_NGAN_HANG'!$E:$E,$A49,'30_NGAN_HANG'!$F:$F,$B49,'30_NGAN_HANG'!$D:$D,"指示の聴解",'30_NGAN_HANG'!$Y:$Y,"Approved")</f>
        <v/>
      </c>
      <c r="L49">
        <f>COUNTIFS('30_NGAN_HANG'!$E:$E,$A49,'30_NGAN_HANG'!$F:$F,$B49,'30_NGAN_HANG'!$D:$D,"掲示の読解",'30_NGAN_HANG'!$Y:$Y,"Approved")</f>
        <v/>
      </c>
      <c r="M49">
        <f>COUNTIFS('30_NGAN_HANG'!$E:$E,$A49,'30_NGAN_HANG'!$F:$F,$B49,'30_NGAN_HANG'!$D:$D,"文章の読解",'30_NGAN_HANG'!$Y:$Y,"Approved")</f>
        <v/>
      </c>
      <c r="N49">
        <f>SUM(C49:M49)</f>
        <v/>
      </c>
    </row>
    <row r="50">
      <c r="A50" t="inlineStr">
        <is>
          <t>入門</t>
        </is>
      </c>
      <c r="B50" t="n">
        <v>17</v>
      </c>
      <c r="C50">
        <f>COUNTIFS('30_NGAN_HANG'!$E:$E,$A50,'30_NGAN_HANG'!$F:$F,$B50,'30_NGAN_HANG'!$D:$D,"語の意味",'30_NGAN_HANG'!$Y:$Y,"Approved")</f>
        <v/>
      </c>
      <c r="D50">
        <f>COUNTIFS('30_NGAN_HANG'!$E:$E,$A50,'30_NGAN_HANG'!$F:$F,$B50,'30_NGAN_HANG'!$D:$D,"語の使い方",'30_NGAN_HANG'!$Y:$Y,"Approved")</f>
        <v/>
      </c>
      <c r="E50">
        <f>COUNTIFS('30_NGAN_HANG'!$E:$E,$A50,'30_NGAN_HANG'!$F:$F,$B50,'30_NGAN_HANG'!$D:$D,"漢字の読み",'30_NGAN_HANG'!$Y:$Y,"Approved")</f>
        <v/>
      </c>
      <c r="F50">
        <f>COUNTIFS('30_NGAN_HANG'!$E:$E,$A50,'30_NGAN_HANG'!$F:$F,$B50,'30_NGAN_HANG'!$D:$D,"漢字の表記",'30_NGAN_HANG'!$Y:$Y,"Approved")</f>
        <v/>
      </c>
      <c r="G50">
        <f>COUNTIFS('30_NGAN_HANG'!$E:$E,$A50,'30_NGAN_HANG'!$F:$F,$B50,'30_NGAN_HANG'!$D:$D,"表現",'30_NGAN_HANG'!$Y:$Y,"Approved")</f>
        <v/>
      </c>
      <c r="H50">
        <f>COUNTIFS('30_NGAN_HANG'!$E:$E,$A50,'30_NGAN_HANG'!$F:$F,$B50,'30_NGAN_HANG'!$D:$D,"文法",'30_NGAN_HANG'!$Y:$Y,"Approved")</f>
        <v/>
      </c>
      <c r="I50">
        <f>COUNTIFS('30_NGAN_HANG'!$E:$E,$A50,'30_NGAN_HANG'!$F:$F,$B50,'30_NGAN_HANG'!$D:$D,"会話の聴解",'30_NGAN_HANG'!$Y:$Y,"Approved")</f>
        <v/>
      </c>
      <c r="J50">
        <f>COUNTIFS('30_NGAN_HANG'!$E:$E,$A50,'30_NGAN_HANG'!$F:$F,$B50,'30_NGAN_HANG'!$D:$D,"アナウンス",'30_NGAN_HANG'!$Y:$Y,"Approved")</f>
        <v/>
      </c>
      <c r="K50">
        <f>COUNTIFS('30_NGAN_HANG'!$E:$E,$A50,'30_NGAN_HANG'!$F:$F,$B50,'30_NGAN_HANG'!$D:$D,"指示の聴解",'30_NGAN_HANG'!$Y:$Y,"Approved")</f>
        <v/>
      </c>
      <c r="L50">
        <f>COUNTIFS('30_NGAN_HANG'!$E:$E,$A50,'30_NGAN_HANG'!$F:$F,$B50,'30_NGAN_HANG'!$D:$D,"掲示の読解",'30_NGAN_HANG'!$Y:$Y,"Approved")</f>
        <v/>
      </c>
      <c r="M50">
        <f>COUNTIFS('30_NGAN_HANG'!$E:$E,$A50,'30_NGAN_HANG'!$F:$F,$B50,'30_NGAN_HANG'!$D:$D,"文章の読解",'30_NGAN_HANG'!$Y:$Y,"Approved")</f>
        <v/>
      </c>
      <c r="N50">
        <f>SUM(C50:M50)</f>
        <v/>
      </c>
    </row>
    <row r="51">
      <c r="A51" t="inlineStr">
        <is>
          <t>入門</t>
        </is>
      </c>
      <c r="B51" t="n">
        <v>18</v>
      </c>
      <c r="C51">
        <f>COUNTIFS('30_NGAN_HANG'!$E:$E,$A51,'30_NGAN_HANG'!$F:$F,$B51,'30_NGAN_HANG'!$D:$D,"語の意味",'30_NGAN_HANG'!$Y:$Y,"Approved")</f>
        <v/>
      </c>
      <c r="D51">
        <f>COUNTIFS('30_NGAN_HANG'!$E:$E,$A51,'30_NGAN_HANG'!$F:$F,$B51,'30_NGAN_HANG'!$D:$D,"語の使い方",'30_NGAN_HANG'!$Y:$Y,"Approved")</f>
        <v/>
      </c>
      <c r="E51">
        <f>COUNTIFS('30_NGAN_HANG'!$E:$E,$A51,'30_NGAN_HANG'!$F:$F,$B51,'30_NGAN_HANG'!$D:$D,"漢字の読み",'30_NGAN_HANG'!$Y:$Y,"Approved")</f>
        <v/>
      </c>
      <c r="F51">
        <f>COUNTIFS('30_NGAN_HANG'!$E:$E,$A51,'30_NGAN_HANG'!$F:$F,$B51,'30_NGAN_HANG'!$D:$D,"漢字の表記",'30_NGAN_HANG'!$Y:$Y,"Approved")</f>
        <v/>
      </c>
      <c r="G51">
        <f>COUNTIFS('30_NGAN_HANG'!$E:$E,$A51,'30_NGAN_HANG'!$F:$F,$B51,'30_NGAN_HANG'!$D:$D,"表現",'30_NGAN_HANG'!$Y:$Y,"Approved")</f>
        <v/>
      </c>
      <c r="H51">
        <f>COUNTIFS('30_NGAN_HANG'!$E:$E,$A51,'30_NGAN_HANG'!$F:$F,$B51,'30_NGAN_HANG'!$D:$D,"文法",'30_NGAN_HANG'!$Y:$Y,"Approved")</f>
        <v/>
      </c>
      <c r="I51">
        <f>COUNTIFS('30_NGAN_HANG'!$E:$E,$A51,'30_NGAN_HANG'!$F:$F,$B51,'30_NGAN_HANG'!$D:$D,"会話の聴解",'30_NGAN_HANG'!$Y:$Y,"Approved")</f>
        <v/>
      </c>
      <c r="J51">
        <f>COUNTIFS('30_NGAN_HANG'!$E:$E,$A51,'30_NGAN_HANG'!$F:$F,$B51,'30_NGAN_HANG'!$D:$D,"アナウンス",'30_NGAN_HANG'!$Y:$Y,"Approved")</f>
        <v/>
      </c>
      <c r="K51">
        <f>COUNTIFS('30_NGAN_HANG'!$E:$E,$A51,'30_NGAN_HANG'!$F:$F,$B51,'30_NGAN_HANG'!$D:$D,"指示の聴解",'30_NGAN_HANG'!$Y:$Y,"Approved")</f>
        <v/>
      </c>
      <c r="L51">
        <f>COUNTIFS('30_NGAN_HANG'!$E:$E,$A51,'30_NGAN_HANG'!$F:$F,$B51,'30_NGAN_HANG'!$D:$D,"掲示の読解",'30_NGAN_HANG'!$Y:$Y,"Approved")</f>
        <v/>
      </c>
      <c r="M51">
        <f>COUNTIFS('30_NGAN_HANG'!$E:$E,$A51,'30_NGAN_HANG'!$F:$F,$B51,'30_NGAN_HANG'!$D:$D,"文章の読解",'30_NGAN_HANG'!$Y:$Y,"Approved")</f>
        <v/>
      </c>
      <c r="N51">
        <f>SUM(C51:M51)</f>
        <v/>
      </c>
    </row>
    <row r="52">
      <c r="A52" t="inlineStr">
        <is>
          <t>初級1</t>
        </is>
      </c>
      <c r="B52" t="n">
        <v>1</v>
      </c>
      <c r="C52">
        <f>COUNTIFS('30_NGAN_HANG'!$E:$E,$A52,'30_NGAN_HANG'!$F:$F,$B52,'30_NGAN_HANG'!$D:$D,"語の意味",'30_NGAN_HANG'!$Y:$Y,"Approved")</f>
        <v/>
      </c>
      <c r="D52">
        <f>COUNTIFS('30_NGAN_HANG'!$E:$E,$A52,'30_NGAN_HANG'!$F:$F,$B52,'30_NGAN_HANG'!$D:$D,"語の使い方",'30_NGAN_HANG'!$Y:$Y,"Approved")</f>
        <v/>
      </c>
      <c r="E52">
        <f>COUNTIFS('30_NGAN_HANG'!$E:$E,$A52,'30_NGAN_HANG'!$F:$F,$B52,'30_NGAN_HANG'!$D:$D,"漢字の読み",'30_NGAN_HANG'!$Y:$Y,"Approved")</f>
        <v/>
      </c>
      <c r="F52">
        <f>COUNTIFS('30_NGAN_HANG'!$E:$E,$A52,'30_NGAN_HANG'!$F:$F,$B52,'30_NGAN_HANG'!$D:$D,"漢字の表記",'30_NGAN_HANG'!$Y:$Y,"Approved")</f>
        <v/>
      </c>
      <c r="G52">
        <f>COUNTIFS('30_NGAN_HANG'!$E:$E,$A52,'30_NGAN_HANG'!$F:$F,$B52,'30_NGAN_HANG'!$D:$D,"表現",'30_NGAN_HANG'!$Y:$Y,"Approved")</f>
        <v/>
      </c>
      <c r="H52">
        <f>COUNTIFS('30_NGAN_HANG'!$E:$E,$A52,'30_NGAN_HANG'!$F:$F,$B52,'30_NGAN_HANG'!$D:$D,"文法",'30_NGAN_HANG'!$Y:$Y,"Approved")</f>
        <v/>
      </c>
      <c r="I52">
        <f>COUNTIFS('30_NGAN_HANG'!$E:$E,$A52,'30_NGAN_HANG'!$F:$F,$B52,'30_NGAN_HANG'!$D:$D,"会話の聴解",'30_NGAN_HANG'!$Y:$Y,"Approved")</f>
        <v/>
      </c>
      <c r="J52">
        <f>COUNTIFS('30_NGAN_HANG'!$E:$E,$A52,'30_NGAN_HANG'!$F:$F,$B52,'30_NGAN_HANG'!$D:$D,"アナウンス",'30_NGAN_HANG'!$Y:$Y,"Approved")</f>
        <v/>
      </c>
      <c r="K52">
        <f>COUNTIFS('30_NGAN_HANG'!$E:$E,$A52,'30_NGAN_HANG'!$F:$F,$B52,'30_NGAN_HANG'!$D:$D,"指示の聴解",'30_NGAN_HANG'!$Y:$Y,"Approved")</f>
        <v/>
      </c>
      <c r="L52">
        <f>COUNTIFS('30_NGAN_HANG'!$E:$E,$A52,'30_NGAN_HANG'!$F:$F,$B52,'30_NGAN_HANG'!$D:$D,"掲示の読解",'30_NGAN_HANG'!$Y:$Y,"Approved")</f>
        <v/>
      </c>
      <c r="M52">
        <f>COUNTIFS('30_NGAN_HANG'!$E:$E,$A52,'30_NGAN_HANG'!$F:$F,$B52,'30_NGAN_HANG'!$D:$D,"文章の読解",'30_NGAN_HANG'!$Y:$Y,"Approved")</f>
        <v/>
      </c>
      <c r="N52">
        <f>SUM(C52:M52)</f>
        <v/>
      </c>
    </row>
    <row r="53">
      <c r="A53" t="inlineStr">
        <is>
          <t>初級1</t>
        </is>
      </c>
      <c r="B53" t="n">
        <v>2</v>
      </c>
      <c r="C53">
        <f>COUNTIFS('30_NGAN_HANG'!$E:$E,$A53,'30_NGAN_HANG'!$F:$F,$B53,'30_NGAN_HANG'!$D:$D,"語の意味",'30_NGAN_HANG'!$Y:$Y,"Approved")</f>
        <v/>
      </c>
      <c r="D53">
        <f>COUNTIFS('30_NGAN_HANG'!$E:$E,$A53,'30_NGAN_HANG'!$F:$F,$B53,'30_NGAN_HANG'!$D:$D,"語の使い方",'30_NGAN_HANG'!$Y:$Y,"Approved")</f>
        <v/>
      </c>
      <c r="E53">
        <f>COUNTIFS('30_NGAN_HANG'!$E:$E,$A53,'30_NGAN_HANG'!$F:$F,$B53,'30_NGAN_HANG'!$D:$D,"漢字の読み",'30_NGAN_HANG'!$Y:$Y,"Approved")</f>
        <v/>
      </c>
      <c r="F53">
        <f>COUNTIFS('30_NGAN_HANG'!$E:$E,$A53,'30_NGAN_HANG'!$F:$F,$B53,'30_NGAN_HANG'!$D:$D,"漢字の表記",'30_NGAN_HANG'!$Y:$Y,"Approved")</f>
        <v/>
      </c>
      <c r="G53">
        <f>COUNTIFS('30_NGAN_HANG'!$E:$E,$A53,'30_NGAN_HANG'!$F:$F,$B53,'30_NGAN_HANG'!$D:$D,"表現",'30_NGAN_HANG'!$Y:$Y,"Approved")</f>
        <v/>
      </c>
      <c r="H53">
        <f>COUNTIFS('30_NGAN_HANG'!$E:$E,$A53,'30_NGAN_HANG'!$F:$F,$B53,'30_NGAN_HANG'!$D:$D,"文法",'30_NGAN_HANG'!$Y:$Y,"Approved")</f>
        <v/>
      </c>
      <c r="I53">
        <f>COUNTIFS('30_NGAN_HANG'!$E:$E,$A53,'30_NGAN_HANG'!$F:$F,$B53,'30_NGAN_HANG'!$D:$D,"会話の聴解",'30_NGAN_HANG'!$Y:$Y,"Approved")</f>
        <v/>
      </c>
      <c r="J53">
        <f>COUNTIFS('30_NGAN_HANG'!$E:$E,$A53,'30_NGAN_HANG'!$F:$F,$B53,'30_NGAN_HANG'!$D:$D,"アナウンス",'30_NGAN_HANG'!$Y:$Y,"Approved")</f>
        <v/>
      </c>
      <c r="K53">
        <f>COUNTIFS('30_NGAN_HANG'!$E:$E,$A53,'30_NGAN_HANG'!$F:$F,$B53,'30_NGAN_HANG'!$D:$D,"指示の聴解",'30_NGAN_HANG'!$Y:$Y,"Approved")</f>
        <v/>
      </c>
      <c r="L53">
        <f>COUNTIFS('30_NGAN_HANG'!$E:$E,$A53,'30_NGAN_HANG'!$F:$F,$B53,'30_NGAN_HANG'!$D:$D,"掲示の読解",'30_NGAN_HANG'!$Y:$Y,"Approved")</f>
        <v/>
      </c>
      <c r="M53">
        <f>COUNTIFS('30_NGAN_HANG'!$E:$E,$A53,'30_NGAN_HANG'!$F:$F,$B53,'30_NGAN_HANG'!$D:$D,"文章の読解",'30_NGAN_HANG'!$Y:$Y,"Approved")</f>
        <v/>
      </c>
      <c r="N53">
        <f>SUM(C53:M53)</f>
        <v/>
      </c>
    </row>
    <row r="54">
      <c r="A54" t="inlineStr">
        <is>
          <t>初級1</t>
        </is>
      </c>
      <c r="B54" t="n">
        <v>3</v>
      </c>
      <c r="C54">
        <f>COUNTIFS('30_NGAN_HANG'!$E:$E,$A54,'30_NGAN_HANG'!$F:$F,$B54,'30_NGAN_HANG'!$D:$D,"語の意味",'30_NGAN_HANG'!$Y:$Y,"Approved")</f>
        <v/>
      </c>
      <c r="D54">
        <f>COUNTIFS('30_NGAN_HANG'!$E:$E,$A54,'30_NGAN_HANG'!$F:$F,$B54,'30_NGAN_HANG'!$D:$D,"語の使い方",'30_NGAN_HANG'!$Y:$Y,"Approved")</f>
        <v/>
      </c>
      <c r="E54">
        <f>COUNTIFS('30_NGAN_HANG'!$E:$E,$A54,'30_NGAN_HANG'!$F:$F,$B54,'30_NGAN_HANG'!$D:$D,"漢字の読み",'30_NGAN_HANG'!$Y:$Y,"Approved")</f>
        <v/>
      </c>
      <c r="F54">
        <f>COUNTIFS('30_NGAN_HANG'!$E:$E,$A54,'30_NGAN_HANG'!$F:$F,$B54,'30_NGAN_HANG'!$D:$D,"漢字の表記",'30_NGAN_HANG'!$Y:$Y,"Approved")</f>
        <v/>
      </c>
      <c r="G54">
        <f>COUNTIFS('30_NGAN_HANG'!$E:$E,$A54,'30_NGAN_HANG'!$F:$F,$B54,'30_NGAN_HANG'!$D:$D,"表現",'30_NGAN_HANG'!$Y:$Y,"Approved")</f>
        <v/>
      </c>
      <c r="H54">
        <f>COUNTIFS('30_NGAN_HANG'!$E:$E,$A54,'30_NGAN_HANG'!$F:$F,$B54,'30_NGAN_HANG'!$D:$D,"文法",'30_NGAN_HANG'!$Y:$Y,"Approved")</f>
        <v/>
      </c>
      <c r="I54">
        <f>COUNTIFS('30_NGAN_HANG'!$E:$E,$A54,'30_NGAN_HANG'!$F:$F,$B54,'30_NGAN_HANG'!$D:$D,"会話の聴解",'30_NGAN_HANG'!$Y:$Y,"Approved")</f>
        <v/>
      </c>
      <c r="J54">
        <f>COUNTIFS('30_NGAN_HANG'!$E:$E,$A54,'30_NGAN_HANG'!$F:$F,$B54,'30_NGAN_HANG'!$D:$D,"アナウンス",'30_NGAN_HANG'!$Y:$Y,"Approved")</f>
        <v/>
      </c>
      <c r="K54">
        <f>COUNTIFS('30_NGAN_HANG'!$E:$E,$A54,'30_NGAN_HANG'!$F:$F,$B54,'30_NGAN_HANG'!$D:$D,"指示の聴解",'30_NGAN_HANG'!$Y:$Y,"Approved")</f>
        <v/>
      </c>
      <c r="L54">
        <f>COUNTIFS('30_NGAN_HANG'!$E:$E,$A54,'30_NGAN_HANG'!$F:$F,$B54,'30_NGAN_HANG'!$D:$D,"掲示の読解",'30_NGAN_HANG'!$Y:$Y,"Approved")</f>
        <v/>
      </c>
      <c r="M54">
        <f>COUNTIFS('30_NGAN_HANG'!$E:$E,$A54,'30_NGAN_HANG'!$F:$F,$B54,'30_NGAN_HANG'!$D:$D,"文章の読解",'30_NGAN_HANG'!$Y:$Y,"Approved")</f>
        <v/>
      </c>
      <c r="N54">
        <f>SUM(C54:M54)</f>
        <v/>
      </c>
    </row>
    <row r="55">
      <c r="A55" t="inlineStr">
        <is>
          <t>初級1</t>
        </is>
      </c>
      <c r="B55" t="n">
        <v>4</v>
      </c>
      <c r="C55">
        <f>COUNTIFS('30_NGAN_HANG'!$E:$E,$A55,'30_NGAN_HANG'!$F:$F,$B55,'30_NGAN_HANG'!$D:$D,"語の意味",'30_NGAN_HANG'!$Y:$Y,"Approved")</f>
        <v/>
      </c>
      <c r="D55">
        <f>COUNTIFS('30_NGAN_HANG'!$E:$E,$A55,'30_NGAN_HANG'!$F:$F,$B55,'30_NGAN_HANG'!$D:$D,"語の使い方",'30_NGAN_HANG'!$Y:$Y,"Approved")</f>
        <v/>
      </c>
      <c r="E55">
        <f>COUNTIFS('30_NGAN_HANG'!$E:$E,$A55,'30_NGAN_HANG'!$F:$F,$B55,'30_NGAN_HANG'!$D:$D,"漢字の読み",'30_NGAN_HANG'!$Y:$Y,"Approved")</f>
        <v/>
      </c>
      <c r="F55">
        <f>COUNTIFS('30_NGAN_HANG'!$E:$E,$A55,'30_NGAN_HANG'!$F:$F,$B55,'30_NGAN_HANG'!$D:$D,"漢字の表記",'30_NGAN_HANG'!$Y:$Y,"Approved")</f>
        <v/>
      </c>
      <c r="G55">
        <f>COUNTIFS('30_NGAN_HANG'!$E:$E,$A55,'30_NGAN_HANG'!$F:$F,$B55,'30_NGAN_HANG'!$D:$D,"表現",'30_NGAN_HANG'!$Y:$Y,"Approved")</f>
        <v/>
      </c>
      <c r="H55">
        <f>COUNTIFS('30_NGAN_HANG'!$E:$E,$A55,'30_NGAN_HANG'!$F:$F,$B55,'30_NGAN_HANG'!$D:$D,"文法",'30_NGAN_HANG'!$Y:$Y,"Approved")</f>
        <v/>
      </c>
      <c r="I55">
        <f>COUNTIFS('30_NGAN_HANG'!$E:$E,$A55,'30_NGAN_HANG'!$F:$F,$B55,'30_NGAN_HANG'!$D:$D,"会話の聴解",'30_NGAN_HANG'!$Y:$Y,"Approved")</f>
        <v/>
      </c>
      <c r="J55">
        <f>COUNTIFS('30_NGAN_HANG'!$E:$E,$A55,'30_NGAN_HANG'!$F:$F,$B55,'30_NGAN_HANG'!$D:$D,"アナウンス",'30_NGAN_HANG'!$Y:$Y,"Approved")</f>
        <v/>
      </c>
      <c r="K55">
        <f>COUNTIFS('30_NGAN_HANG'!$E:$E,$A55,'30_NGAN_HANG'!$F:$F,$B55,'30_NGAN_HANG'!$D:$D,"指示の聴解",'30_NGAN_HANG'!$Y:$Y,"Approved")</f>
        <v/>
      </c>
      <c r="L55">
        <f>COUNTIFS('30_NGAN_HANG'!$E:$E,$A55,'30_NGAN_HANG'!$F:$F,$B55,'30_NGAN_HANG'!$D:$D,"掲示の読解",'30_NGAN_HANG'!$Y:$Y,"Approved")</f>
        <v/>
      </c>
      <c r="M55">
        <f>COUNTIFS('30_NGAN_HANG'!$E:$E,$A55,'30_NGAN_HANG'!$F:$F,$B55,'30_NGAN_HANG'!$D:$D,"文章の読解",'30_NGAN_HANG'!$Y:$Y,"Approved")</f>
        <v/>
      </c>
      <c r="N55">
        <f>SUM(C55:M55)</f>
        <v/>
      </c>
    </row>
    <row r="56">
      <c r="A56" t="inlineStr">
        <is>
          <t>初級1</t>
        </is>
      </c>
      <c r="B56" t="n">
        <v>5</v>
      </c>
      <c r="C56">
        <f>COUNTIFS('30_NGAN_HANG'!$E:$E,$A56,'30_NGAN_HANG'!$F:$F,$B56,'30_NGAN_HANG'!$D:$D,"語の意味",'30_NGAN_HANG'!$Y:$Y,"Approved")</f>
        <v/>
      </c>
      <c r="D56">
        <f>COUNTIFS('30_NGAN_HANG'!$E:$E,$A56,'30_NGAN_HANG'!$F:$F,$B56,'30_NGAN_HANG'!$D:$D,"語の使い方",'30_NGAN_HANG'!$Y:$Y,"Approved")</f>
        <v/>
      </c>
      <c r="E56">
        <f>COUNTIFS('30_NGAN_HANG'!$E:$E,$A56,'30_NGAN_HANG'!$F:$F,$B56,'30_NGAN_HANG'!$D:$D,"漢字の読み",'30_NGAN_HANG'!$Y:$Y,"Approved")</f>
        <v/>
      </c>
      <c r="F56">
        <f>COUNTIFS('30_NGAN_HANG'!$E:$E,$A56,'30_NGAN_HANG'!$F:$F,$B56,'30_NGAN_HANG'!$D:$D,"漢字の表記",'30_NGAN_HANG'!$Y:$Y,"Approved")</f>
        <v/>
      </c>
      <c r="G56">
        <f>COUNTIFS('30_NGAN_HANG'!$E:$E,$A56,'30_NGAN_HANG'!$F:$F,$B56,'30_NGAN_HANG'!$D:$D,"表現",'30_NGAN_HANG'!$Y:$Y,"Approved")</f>
        <v/>
      </c>
      <c r="H56">
        <f>COUNTIFS('30_NGAN_HANG'!$E:$E,$A56,'30_NGAN_HANG'!$F:$F,$B56,'30_NGAN_HANG'!$D:$D,"文法",'30_NGAN_HANG'!$Y:$Y,"Approved")</f>
        <v/>
      </c>
      <c r="I56">
        <f>COUNTIFS('30_NGAN_HANG'!$E:$E,$A56,'30_NGAN_HANG'!$F:$F,$B56,'30_NGAN_HANG'!$D:$D,"会話の聴解",'30_NGAN_HANG'!$Y:$Y,"Approved")</f>
        <v/>
      </c>
      <c r="J56">
        <f>COUNTIFS('30_NGAN_HANG'!$E:$E,$A56,'30_NGAN_HANG'!$F:$F,$B56,'30_NGAN_HANG'!$D:$D,"アナウンス",'30_NGAN_HANG'!$Y:$Y,"Approved")</f>
        <v/>
      </c>
      <c r="K56">
        <f>COUNTIFS('30_NGAN_HANG'!$E:$E,$A56,'30_NGAN_HANG'!$F:$F,$B56,'30_NGAN_HANG'!$D:$D,"指示の聴解",'30_NGAN_HANG'!$Y:$Y,"Approved")</f>
        <v/>
      </c>
      <c r="L56">
        <f>COUNTIFS('30_NGAN_HANG'!$E:$E,$A56,'30_NGAN_HANG'!$F:$F,$B56,'30_NGAN_HANG'!$D:$D,"掲示の読解",'30_NGAN_HANG'!$Y:$Y,"Approved")</f>
        <v/>
      </c>
      <c r="M56">
        <f>COUNTIFS('30_NGAN_HANG'!$E:$E,$A56,'30_NGAN_HANG'!$F:$F,$B56,'30_NGAN_HANG'!$D:$D,"文章の読解",'30_NGAN_HANG'!$Y:$Y,"Approved")</f>
        <v/>
      </c>
      <c r="N56">
        <f>SUM(C56:M56)</f>
        <v/>
      </c>
    </row>
    <row r="57">
      <c r="A57" t="inlineStr">
        <is>
          <t>初級1</t>
        </is>
      </c>
      <c r="B57" t="n">
        <v>6</v>
      </c>
      <c r="C57">
        <f>COUNTIFS('30_NGAN_HANG'!$E:$E,$A57,'30_NGAN_HANG'!$F:$F,$B57,'30_NGAN_HANG'!$D:$D,"語の意味",'30_NGAN_HANG'!$Y:$Y,"Approved")</f>
        <v/>
      </c>
      <c r="D57">
        <f>COUNTIFS('30_NGAN_HANG'!$E:$E,$A57,'30_NGAN_HANG'!$F:$F,$B57,'30_NGAN_HANG'!$D:$D,"語の使い方",'30_NGAN_HANG'!$Y:$Y,"Approved")</f>
        <v/>
      </c>
      <c r="E57">
        <f>COUNTIFS('30_NGAN_HANG'!$E:$E,$A57,'30_NGAN_HANG'!$F:$F,$B57,'30_NGAN_HANG'!$D:$D,"漢字の読み",'30_NGAN_HANG'!$Y:$Y,"Approved")</f>
        <v/>
      </c>
      <c r="F57">
        <f>COUNTIFS('30_NGAN_HANG'!$E:$E,$A57,'30_NGAN_HANG'!$F:$F,$B57,'30_NGAN_HANG'!$D:$D,"漢字の表記",'30_NGAN_HANG'!$Y:$Y,"Approved")</f>
        <v/>
      </c>
      <c r="G57">
        <f>COUNTIFS('30_NGAN_HANG'!$E:$E,$A57,'30_NGAN_HANG'!$F:$F,$B57,'30_NGAN_HANG'!$D:$D,"表現",'30_NGAN_HANG'!$Y:$Y,"Approved")</f>
        <v/>
      </c>
      <c r="H57">
        <f>COUNTIFS('30_NGAN_HANG'!$E:$E,$A57,'30_NGAN_HANG'!$F:$F,$B57,'30_NGAN_HANG'!$D:$D,"文法",'30_NGAN_HANG'!$Y:$Y,"Approved")</f>
        <v/>
      </c>
      <c r="I57">
        <f>COUNTIFS('30_NGAN_HANG'!$E:$E,$A57,'30_NGAN_HANG'!$F:$F,$B57,'30_NGAN_HANG'!$D:$D,"会話の聴解",'30_NGAN_HANG'!$Y:$Y,"Approved")</f>
        <v/>
      </c>
      <c r="J57">
        <f>COUNTIFS('30_NGAN_HANG'!$E:$E,$A57,'30_NGAN_HANG'!$F:$F,$B57,'30_NGAN_HANG'!$D:$D,"アナウンス",'30_NGAN_HANG'!$Y:$Y,"Approved")</f>
        <v/>
      </c>
      <c r="K57">
        <f>COUNTIFS('30_NGAN_HANG'!$E:$E,$A57,'30_NGAN_HANG'!$F:$F,$B57,'30_NGAN_HANG'!$D:$D,"指示の聴解",'30_NGAN_HANG'!$Y:$Y,"Approved")</f>
        <v/>
      </c>
      <c r="L57">
        <f>COUNTIFS('30_NGAN_HANG'!$E:$E,$A57,'30_NGAN_HANG'!$F:$F,$B57,'30_NGAN_HANG'!$D:$D,"掲示の読解",'30_NGAN_HANG'!$Y:$Y,"Approved")</f>
        <v/>
      </c>
      <c r="M57">
        <f>COUNTIFS('30_NGAN_HANG'!$E:$E,$A57,'30_NGAN_HANG'!$F:$F,$B57,'30_NGAN_HANG'!$D:$D,"文章の読解",'30_NGAN_HANG'!$Y:$Y,"Approved")</f>
        <v/>
      </c>
      <c r="N57">
        <f>SUM(C57:M57)</f>
        <v/>
      </c>
    </row>
    <row r="58">
      <c r="A58" t="inlineStr">
        <is>
          <t>初級1</t>
        </is>
      </c>
      <c r="B58" t="n">
        <v>7</v>
      </c>
      <c r="C58">
        <f>COUNTIFS('30_NGAN_HANG'!$E:$E,$A58,'30_NGAN_HANG'!$F:$F,$B58,'30_NGAN_HANG'!$D:$D,"語の意味",'30_NGAN_HANG'!$Y:$Y,"Approved")</f>
        <v/>
      </c>
      <c r="D58">
        <f>COUNTIFS('30_NGAN_HANG'!$E:$E,$A58,'30_NGAN_HANG'!$F:$F,$B58,'30_NGAN_HANG'!$D:$D,"語の使い方",'30_NGAN_HANG'!$Y:$Y,"Approved")</f>
        <v/>
      </c>
      <c r="E58">
        <f>COUNTIFS('30_NGAN_HANG'!$E:$E,$A58,'30_NGAN_HANG'!$F:$F,$B58,'30_NGAN_HANG'!$D:$D,"漢字の読み",'30_NGAN_HANG'!$Y:$Y,"Approved")</f>
        <v/>
      </c>
      <c r="F58">
        <f>COUNTIFS('30_NGAN_HANG'!$E:$E,$A58,'30_NGAN_HANG'!$F:$F,$B58,'30_NGAN_HANG'!$D:$D,"漢字の表記",'30_NGAN_HANG'!$Y:$Y,"Approved")</f>
        <v/>
      </c>
      <c r="G58">
        <f>COUNTIFS('30_NGAN_HANG'!$E:$E,$A58,'30_NGAN_HANG'!$F:$F,$B58,'30_NGAN_HANG'!$D:$D,"表現",'30_NGAN_HANG'!$Y:$Y,"Approved")</f>
        <v/>
      </c>
      <c r="H58">
        <f>COUNTIFS('30_NGAN_HANG'!$E:$E,$A58,'30_NGAN_HANG'!$F:$F,$B58,'30_NGAN_HANG'!$D:$D,"文法",'30_NGAN_HANG'!$Y:$Y,"Approved")</f>
        <v/>
      </c>
      <c r="I58">
        <f>COUNTIFS('30_NGAN_HANG'!$E:$E,$A58,'30_NGAN_HANG'!$F:$F,$B58,'30_NGAN_HANG'!$D:$D,"会話の聴解",'30_NGAN_HANG'!$Y:$Y,"Approved")</f>
        <v/>
      </c>
      <c r="J58">
        <f>COUNTIFS('30_NGAN_HANG'!$E:$E,$A58,'30_NGAN_HANG'!$F:$F,$B58,'30_NGAN_HANG'!$D:$D,"アナウンス",'30_NGAN_HANG'!$Y:$Y,"Approved")</f>
        <v/>
      </c>
      <c r="K58">
        <f>COUNTIFS('30_NGAN_HANG'!$E:$E,$A58,'30_NGAN_HANG'!$F:$F,$B58,'30_NGAN_HANG'!$D:$D,"指示の聴解",'30_NGAN_HANG'!$Y:$Y,"Approved")</f>
        <v/>
      </c>
      <c r="L58">
        <f>COUNTIFS('30_NGAN_HANG'!$E:$E,$A58,'30_NGAN_HANG'!$F:$F,$B58,'30_NGAN_HANG'!$D:$D,"掲示の読解",'30_NGAN_HANG'!$Y:$Y,"Approved")</f>
        <v/>
      </c>
      <c r="M58">
        <f>COUNTIFS('30_NGAN_HANG'!$E:$E,$A58,'30_NGAN_HANG'!$F:$F,$B58,'30_NGAN_HANG'!$D:$D,"文章の読解",'30_NGAN_HANG'!$Y:$Y,"Approved")</f>
        <v/>
      </c>
      <c r="N58">
        <f>SUM(C58:M58)</f>
        <v/>
      </c>
    </row>
    <row r="59">
      <c r="A59" t="inlineStr">
        <is>
          <t>初級1</t>
        </is>
      </c>
      <c r="B59" t="n">
        <v>8</v>
      </c>
      <c r="C59">
        <f>COUNTIFS('30_NGAN_HANG'!$E:$E,$A59,'30_NGAN_HANG'!$F:$F,$B59,'30_NGAN_HANG'!$D:$D,"語の意味",'30_NGAN_HANG'!$Y:$Y,"Approved")</f>
        <v/>
      </c>
      <c r="D59">
        <f>COUNTIFS('30_NGAN_HANG'!$E:$E,$A59,'30_NGAN_HANG'!$F:$F,$B59,'30_NGAN_HANG'!$D:$D,"語の使い方",'30_NGAN_HANG'!$Y:$Y,"Approved")</f>
        <v/>
      </c>
      <c r="E59">
        <f>COUNTIFS('30_NGAN_HANG'!$E:$E,$A59,'30_NGAN_HANG'!$F:$F,$B59,'30_NGAN_HANG'!$D:$D,"漢字の読み",'30_NGAN_HANG'!$Y:$Y,"Approved")</f>
        <v/>
      </c>
      <c r="F59">
        <f>COUNTIFS('30_NGAN_HANG'!$E:$E,$A59,'30_NGAN_HANG'!$F:$F,$B59,'30_NGAN_HANG'!$D:$D,"漢字の表記",'30_NGAN_HANG'!$Y:$Y,"Approved")</f>
        <v/>
      </c>
      <c r="G59">
        <f>COUNTIFS('30_NGAN_HANG'!$E:$E,$A59,'30_NGAN_HANG'!$F:$F,$B59,'30_NGAN_HANG'!$D:$D,"表現",'30_NGAN_HANG'!$Y:$Y,"Approved")</f>
        <v/>
      </c>
      <c r="H59">
        <f>COUNTIFS('30_NGAN_HANG'!$E:$E,$A59,'30_NGAN_HANG'!$F:$F,$B59,'30_NGAN_HANG'!$D:$D,"文法",'30_NGAN_HANG'!$Y:$Y,"Approved")</f>
        <v/>
      </c>
      <c r="I59">
        <f>COUNTIFS('30_NGAN_HANG'!$E:$E,$A59,'30_NGAN_HANG'!$F:$F,$B59,'30_NGAN_HANG'!$D:$D,"会話の聴解",'30_NGAN_HANG'!$Y:$Y,"Approved")</f>
        <v/>
      </c>
      <c r="J59">
        <f>COUNTIFS('30_NGAN_HANG'!$E:$E,$A59,'30_NGAN_HANG'!$F:$F,$B59,'30_NGAN_HANG'!$D:$D,"アナウンス",'30_NGAN_HANG'!$Y:$Y,"Approved")</f>
        <v/>
      </c>
      <c r="K59">
        <f>COUNTIFS('30_NGAN_HANG'!$E:$E,$A59,'30_NGAN_HANG'!$F:$F,$B59,'30_NGAN_HANG'!$D:$D,"指示の聴解",'30_NGAN_HANG'!$Y:$Y,"Approved")</f>
        <v/>
      </c>
      <c r="L59">
        <f>COUNTIFS('30_NGAN_HANG'!$E:$E,$A59,'30_NGAN_HANG'!$F:$F,$B59,'30_NGAN_HANG'!$D:$D,"掲示の読解",'30_NGAN_HANG'!$Y:$Y,"Approved")</f>
        <v/>
      </c>
      <c r="M59">
        <f>COUNTIFS('30_NGAN_HANG'!$E:$E,$A59,'30_NGAN_HANG'!$F:$F,$B59,'30_NGAN_HANG'!$D:$D,"文章の読解",'30_NGAN_HANG'!$Y:$Y,"Approved")</f>
        <v/>
      </c>
      <c r="N59">
        <f>SUM(C59:M59)</f>
        <v/>
      </c>
    </row>
    <row r="60">
      <c r="A60" t="inlineStr">
        <is>
          <t>初級1</t>
        </is>
      </c>
      <c r="B60" t="n">
        <v>9</v>
      </c>
      <c r="C60">
        <f>COUNTIFS('30_NGAN_HANG'!$E:$E,$A60,'30_NGAN_HANG'!$F:$F,$B60,'30_NGAN_HANG'!$D:$D,"語の意味",'30_NGAN_HANG'!$Y:$Y,"Approved")</f>
        <v/>
      </c>
      <c r="D60">
        <f>COUNTIFS('30_NGAN_HANG'!$E:$E,$A60,'30_NGAN_HANG'!$F:$F,$B60,'30_NGAN_HANG'!$D:$D,"語の使い方",'30_NGAN_HANG'!$Y:$Y,"Approved")</f>
        <v/>
      </c>
      <c r="E60">
        <f>COUNTIFS('30_NGAN_HANG'!$E:$E,$A60,'30_NGAN_HANG'!$F:$F,$B60,'30_NGAN_HANG'!$D:$D,"漢字の読み",'30_NGAN_HANG'!$Y:$Y,"Approved")</f>
        <v/>
      </c>
      <c r="F60">
        <f>COUNTIFS('30_NGAN_HANG'!$E:$E,$A60,'30_NGAN_HANG'!$F:$F,$B60,'30_NGAN_HANG'!$D:$D,"漢字の表記",'30_NGAN_HANG'!$Y:$Y,"Approved")</f>
        <v/>
      </c>
      <c r="G60">
        <f>COUNTIFS('30_NGAN_HANG'!$E:$E,$A60,'30_NGAN_HANG'!$F:$F,$B60,'30_NGAN_HANG'!$D:$D,"表現",'30_NGAN_HANG'!$Y:$Y,"Approved")</f>
        <v/>
      </c>
      <c r="H60">
        <f>COUNTIFS('30_NGAN_HANG'!$E:$E,$A60,'30_NGAN_HANG'!$F:$F,$B60,'30_NGAN_HANG'!$D:$D,"文法",'30_NGAN_HANG'!$Y:$Y,"Approved")</f>
        <v/>
      </c>
      <c r="I60">
        <f>COUNTIFS('30_NGAN_HANG'!$E:$E,$A60,'30_NGAN_HANG'!$F:$F,$B60,'30_NGAN_HANG'!$D:$D,"会話の聴解",'30_NGAN_HANG'!$Y:$Y,"Approved")</f>
        <v/>
      </c>
      <c r="J60">
        <f>COUNTIFS('30_NGAN_HANG'!$E:$E,$A60,'30_NGAN_HANG'!$F:$F,$B60,'30_NGAN_HANG'!$D:$D,"アナウンス",'30_NGAN_HANG'!$Y:$Y,"Approved")</f>
        <v/>
      </c>
      <c r="K60">
        <f>COUNTIFS('30_NGAN_HANG'!$E:$E,$A60,'30_NGAN_HANG'!$F:$F,$B60,'30_NGAN_HANG'!$D:$D,"指示の聴解",'30_NGAN_HANG'!$Y:$Y,"Approved")</f>
        <v/>
      </c>
      <c r="L60">
        <f>COUNTIFS('30_NGAN_HANG'!$E:$E,$A60,'30_NGAN_HANG'!$F:$F,$B60,'30_NGAN_HANG'!$D:$D,"掲示の読解",'30_NGAN_HANG'!$Y:$Y,"Approved")</f>
        <v/>
      </c>
      <c r="M60">
        <f>COUNTIFS('30_NGAN_HANG'!$E:$E,$A60,'30_NGAN_HANG'!$F:$F,$B60,'30_NGAN_HANG'!$D:$D,"文章の読解",'30_NGAN_HANG'!$Y:$Y,"Approved")</f>
        <v/>
      </c>
      <c r="N60">
        <f>SUM(C60:M60)</f>
        <v/>
      </c>
    </row>
    <row r="61">
      <c r="A61" t="inlineStr">
        <is>
          <t>初級1</t>
        </is>
      </c>
      <c r="B61" t="n">
        <v>10</v>
      </c>
      <c r="C61">
        <f>COUNTIFS('30_NGAN_HANG'!$E:$E,$A61,'30_NGAN_HANG'!$F:$F,$B61,'30_NGAN_HANG'!$D:$D,"語の意味",'30_NGAN_HANG'!$Y:$Y,"Approved")</f>
        <v/>
      </c>
      <c r="D61">
        <f>COUNTIFS('30_NGAN_HANG'!$E:$E,$A61,'30_NGAN_HANG'!$F:$F,$B61,'30_NGAN_HANG'!$D:$D,"語の使い方",'30_NGAN_HANG'!$Y:$Y,"Approved")</f>
        <v/>
      </c>
      <c r="E61">
        <f>COUNTIFS('30_NGAN_HANG'!$E:$E,$A61,'30_NGAN_HANG'!$F:$F,$B61,'30_NGAN_HANG'!$D:$D,"漢字の読み",'30_NGAN_HANG'!$Y:$Y,"Approved")</f>
        <v/>
      </c>
      <c r="F61">
        <f>COUNTIFS('30_NGAN_HANG'!$E:$E,$A61,'30_NGAN_HANG'!$F:$F,$B61,'30_NGAN_HANG'!$D:$D,"漢字の表記",'30_NGAN_HANG'!$Y:$Y,"Approved")</f>
        <v/>
      </c>
      <c r="G61">
        <f>COUNTIFS('30_NGAN_HANG'!$E:$E,$A61,'30_NGAN_HANG'!$F:$F,$B61,'30_NGAN_HANG'!$D:$D,"表現",'30_NGAN_HANG'!$Y:$Y,"Approved")</f>
        <v/>
      </c>
      <c r="H61">
        <f>COUNTIFS('30_NGAN_HANG'!$E:$E,$A61,'30_NGAN_HANG'!$F:$F,$B61,'30_NGAN_HANG'!$D:$D,"文法",'30_NGAN_HANG'!$Y:$Y,"Approved")</f>
        <v/>
      </c>
      <c r="I61">
        <f>COUNTIFS('30_NGAN_HANG'!$E:$E,$A61,'30_NGAN_HANG'!$F:$F,$B61,'30_NGAN_HANG'!$D:$D,"会話の聴解",'30_NGAN_HANG'!$Y:$Y,"Approved")</f>
        <v/>
      </c>
      <c r="J61">
        <f>COUNTIFS('30_NGAN_HANG'!$E:$E,$A61,'30_NGAN_HANG'!$F:$F,$B61,'30_NGAN_HANG'!$D:$D,"アナウンス",'30_NGAN_HANG'!$Y:$Y,"Approved")</f>
        <v/>
      </c>
      <c r="K61">
        <f>COUNTIFS('30_NGAN_HANG'!$E:$E,$A61,'30_NGAN_HANG'!$F:$F,$B61,'30_NGAN_HANG'!$D:$D,"指示の聴解",'30_NGAN_HANG'!$Y:$Y,"Approved")</f>
        <v/>
      </c>
      <c r="L61">
        <f>COUNTIFS('30_NGAN_HANG'!$E:$E,$A61,'30_NGAN_HANG'!$F:$F,$B61,'30_NGAN_HANG'!$D:$D,"掲示の読解",'30_NGAN_HANG'!$Y:$Y,"Approved")</f>
        <v/>
      </c>
      <c r="M61">
        <f>COUNTIFS('30_NGAN_HANG'!$E:$E,$A61,'30_NGAN_HANG'!$F:$F,$B61,'30_NGAN_HANG'!$D:$D,"文章の読解",'30_NGAN_HANG'!$Y:$Y,"Approved")</f>
        <v/>
      </c>
      <c r="N61">
        <f>SUM(C61:M61)</f>
        <v/>
      </c>
    </row>
    <row r="62">
      <c r="A62" t="inlineStr">
        <is>
          <t>初級1</t>
        </is>
      </c>
      <c r="B62" t="n">
        <v>11</v>
      </c>
      <c r="C62">
        <f>COUNTIFS('30_NGAN_HANG'!$E:$E,$A62,'30_NGAN_HANG'!$F:$F,$B62,'30_NGAN_HANG'!$D:$D,"語の意味",'30_NGAN_HANG'!$Y:$Y,"Approved")</f>
        <v/>
      </c>
      <c r="D62">
        <f>COUNTIFS('30_NGAN_HANG'!$E:$E,$A62,'30_NGAN_HANG'!$F:$F,$B62,'30_NGAN_HANG'!$D:$D,"語の使い方",'30_NGAN_HANG'!$Y:$Y,"Approved")</f>
        <v/>
      </c>
      <c r="E62">
        <f>COUNTIFS('30_NGAN_HANG'!$E:$E,$A62,'30_NGAN_HANG'!$F:$F,$B62,'30_NGAN_HANG'!$D:$D,"漢字の読み",'30_NGAN_HANG'!$Y:$Y,"Approved")</f>
        <v/>
      </c>
      <c r="F62">
        <f>COUNTIFS('30_NGAN_HANG'!$E:$E,$A62,'30_NGAN_HANG'!$F:$F,$B62,'30_NGAN_HANG'!$D:$D,"漢字の表記",'30_NGAN_HANG'!$Y:$Y,"Approved")</f>
        <v/>
      </c>
      <c r="G62">
        <f>COUNTIFS('30_NGAN_HANG'!$E:$E,$A62,'30_NGAN_HANG'!$F:$F,$B62,'30_NGAN_HANG'!$D:$D,"表現",'30_NGAN_HANG'!$Y:$Y,"Approved")</f>
        <v/>
      </c>
      <c r="H62">
        <f>COUNTIFS('30_NGAN_HANG'!$E:$E,$A62,'30_NGAN_HANG'!$F:$F,$B62,'30_NGAN_HANG'!$D:$D,"文法",'30_NGAN_HANG'!$Y:$Y,"Approved")</f>
        <v/>
      </c>
      <c r="I62">
        <f>COUNTIFS('30_NGAN_HANG'!$E:$E,$A62,'30_NGAN_HANG'!$F:$F,$B62,'30_NGAN_HANG'!$D:$D,"会話の聴解",'30_NGAN_HANG'!$Y:$Y,"Approved")</f>
        <v/>
      </c>
      <c r="J62">
        <f>COUNTIFS('30_NGAN_HANG'!$E:$E,$A62,'30_NGAN_HANG'!$F:$F,$B62,'30_NGAN_HANG'!$D:$D,"アナウンス",'30_NGAN_HANG'!$Y:$Y,"Approved")</f>
        <v/>
      </c>
      <c r="K62">
        <f>COUNTIFS('30_NGAN_HANG'!$E:$E,$A62,'30_NGAN_HANG'!$F:$F,$B62,'30_NGAN_HANG'!$D:$D,"指示の聴解",'30_NGAN_HANG'!$Y:$Y,"Approved")</f>
        <v/>
      </c>
      <c r="L62">
        <f>COUNTIFS('30_NGAN_HANG'!$E:$E,$A62,'30_NGAN_HANG'!$F:$F,$B62,'30_NGAN_HANG'!$D:$D,"掲示の読解",'30_NGAN_HANG'!$Y:$Y,"Approved")</f>
        <v/>
      </c>
      <c r="M62">
        <f>COUNTIFS('30_NGAN_HANG'!$E:$E,$A62,'30_NGAN_HANG'!$F:$F,$B62,'30_NGAN_HANG'!$D:$D,"文章の読解",'30_NGAN_HANG'!$Y:$Y,"Approved")</f>
        <v/>
      </c>
      <c r="N62">
        <f>SUM(C62:M62)</f>
        <v/>
      </c>
    </row>
    <row r="63">
      <c r="A63" t="inlineStr">
        <is>
          <t>初級1</t>
        </is>
      </c>
      <c r="B63" t="n">
        <v>12</v>
      </c>
      <c r="C63">
        <f>COUNTIFS('30_NGAN_HANG'!$E:$E,$A63,'30_NGAN_HANG'!$F:$F,$B63,'30_NGAN_HANG'!$D:$D,"語の意味",'30_NGAN_HANG'!$Y:$Y,"Approved")</f>
        <v/>
      </c>
      <c r="D63">
        <f>COUNTIFS('30_NGAN_HANG'!$E:$E,$A63,'30_NGAN_HANG'!$F:$F,$B63,'30_NGAN_HANG'!$D:$D,"語の使い方",'30_NGAN_HANG'!$Y:$Y,"Approved")</f>
        <v/>
      </c>
      <c r="E63">
        <f>COUNTIFS('30_NGAN_HANG'!$E:$E,$A63,'30_NGAN_HANG'!$F:$F,$B63,'30_NGAN_HANG'!$D:$D,"漢字の読み",'30_NGAN_HANG'!$Y:$Y,"Approved")</f>
        <v/>
      </c>
      <c r="F63">
        <f>COUNTIFS('30_NGAN_HANG'!$E:$E,$A63,'30_NGAN_HANG'!$F:$F,$B63,'30_NGAN_HANG'!$D:$D,"漢字の表記",'30_NGAN_HANG'!$Y:$Y,"Approved")</f>
        <v/>
      </c>
      <c r="G63">
        <f>COUNTIFS('30_NGAN_HANG'!$E:$E,$A63,'30_NGAN_HANG'!$F:$F,$B63,'30_NGAN_HANG'!$D:$D,"表現",'30_NGAN_HANG'!$Y:$Y,"Approved")</f>
        <v/>
      </c>
      <c r="H63">
        <f>COUNTIFS('30_NGAN_HANG'!$E:$E,$A63,'30_NGAN_HANG'!$F:$F,$B63,'30_NGAN_HANG'!$D:$D,"文法",'30_NGAN_HANG'!$Y:$Y,"Approved")</f>
        <v/>
      </c>
      <c r="I63">
        <f>COUNTIFS('30_NGAN_HANG'!$E:$E,$A63,'30_NGAN_HANG'!$F:$F,$B63,'30_NGAN_HANG'!$D:$D,"会話の聴解",'30_NGAN_HANG'!$Y:$Y,"Approved")</f>
        <v/>
      </c>
      <c r="J63">
        <f>COUNTIFS('30_NGAN_HANG'!$E:$E,$A63,'30_NGAN_HANG'!$F:$F,$B63,'30_NGAN_HANG'!$D:$D,"アナウンス",'30_NGAN_HANG'!$Y:$Y,"Approved")</f>
        <v/>
      </c>
      <c r="K63">
        <f>COUNTIFS('30_NGAN_HANG'!$E:$E,$A63,'30_NGAN_HANG'!$F:$F,$B63,'30_NGAN_HANG'!$D:$D,"指示の聴解",'30_NGAN_HANG'!$Y:$Y,"Approved")</f>
        <v/>
      </c>
      <c r="L63">
        <f>COUNTIFS('30_NGAN_HANG'!$E:$E,$A63,'30_NGAN_HANG'!$F:$F,$B63,'30_NGAN_HANG'!$D:$D,"掲示の読解",'30_NGAN_HANG'!$Y:$Y,"Approved")</f>
        <v/>
      </c>
      <c r="M63">
        <f>COUNTIFS('30_NGAN_HANG'!$E:$E,$A63,'30_NGAN_HANG'!$F:$F,$B63,'30_NGAN_HANG'!$D:$D,"文章の読解",'30_NGAN_HANG'!$Y:$Y,"Approved")</f>
        <v/>
      </c>
      <c r="N63">
        <f>SUM(C63:M63)</f>
        <v/>
      </c>
    </row>
    <row r="64">
      <c r="A64" t="inlineStr">
        <is>
          <t>初級1</t>
        </is>
      </c>
      <c r="B64" t="n">
        <v>13</v>
      </c>
      <c r="C64">
        <f>COUNTIFS('30_NGAN_HANG'!$E:$E,$A64,'30_NGAN_HANG'!$F:$F,$B64,'30_NGAN_HANG'!$D:$D,"語の意味",'30_NGAN_HANG'!$Y:$Y,"Approved")</f>
        <v/>
      </c>
      <c r="D64">
        <f>COUNTIFS('30_NGAN_HANG'!$E:$E,$A64,'30_NGAN_HANG'!$F:$F,$B64,'30_NGAN_HANG'!$D:$D,"語の使い方",'30_NGAN_HANG'!$Y:$Y,"Approved")</f>
        <v/>
      </c>
      <c r="E64">
        <f>COUNTIFS('30_NGAN_HANG'!$E:$E,$A64,'30_NGAN_HANG'!$F:$F,$B64,'30_NGAN_HANG'!$D:$D,"漢字の読み",'30_NGAN_HANG'!$Y:$Y,"Approved")</f>
        <v/>
      </c>
      <c r="F64">
        <f>COUNTIFS('30_NGAN_HANG'!$E:$E,$A64,'30_NGAN_HANG'!$F:$F,$B64,'30_NGAN_HANG'!$D:$D,"漢字の表記",'30_NGAN_HANG'!$Y:$Y,"Approved")</f>
        <v/>
      </c>
      <c r="G64">
        <f>COUNTIFS('30_NGAN_HANG'!$E:$E,$A64,'30_NGAN_HANG'!$F:$F,$B64,'30_NGAN_HANG'!$D:$D,"表現",'30_NGAN_HANG'!$Y:$Y,"Approved")</f>
        <v/>
      </c>
      <c r="H64">
        <f>COUNTIFS('30_NGAN_HANG'!$E:$E,$A64,'30_NGAN_HANG'!$F:$F,$B64,'30_NGAN_HANG'!$D:$D,"文法",'30_NGAN_HANG'!$Y:$Y,"Approved")</f>
        <v/>
      </c>
      <c r="I64">
        <f>COUNTIFS('30_NGAN_HANG'!$E:$E,$A64,'30_NGAN_HANG'!$F:$F,$B64,'30_NGAN_HANG'!$D:$D,"会話の聴解",'30_NGAN_HANG'!$Y:$Y,"Approved")</f>
        <v/>
      </c>
      <c r="J64">
        <f>COUNTIFS('30_NGAN_HANG'!$E:$E,$A64,'30_NGAN_HANG'!$F:$F,$B64,'30_NGAN_HANG'!$D:$D,"アナウンス",'30_NGAN_HANG'!$Y:$Y,"Approved")</f>
        <v/>
      </c>
      <c r="K64">
        <f>COUNTIFS('30_NGAN_HANG'!$E:$E,$A64,'30_NGAN_HANG'!$F:$F,$B64,'30_NGAN_HANG'!$D:$D,"指示の聴解",'30_NGAN_HANG'!$Y:$Y,"Approved")</f>
        <v/>
      </c>
      <c r="L64">
        <f>COUNTIFS('30_NGAN_HANG'!$E:$E,$A64,'30_NGAN_HANG'!$F:$F,$B64,'30_NGAN_HANG'!$D:$D,"掲示の読解",'30_NGAN_HANG'!$Y:$Y,"Approved")</f>
        <v/>
      </c>
      <c r="M64">
        <f>COUNTIFS('30_NGAN_HANG'!$E:$E,$A64,'30_NGAN_HANG'!$F:$F,$B64,'30_NGAN_HANG'!$D:$D,"文章の読解",'30_NGAN_HANG'!$Y:$Y,"Approved")</f>
        <v/>
      </c>
      <c r="N64">
        <f>SUM(C64:M64)</f>
        <v/>
      </c>
    </row>
    <row r="65">
      <c r="A65" t="inlineStr">
        <is>
          <t>初級1</t>
        </is>
      </c>
      <c r="B65" t="n">
        <v>14</v>
      </c>
      <c r="C65">
        <f>COUNTIFS('30_NGAN_HANG'!$E:$E,$A65,'30_NGAN_HANG'!$F:$F,$B65,'30_NGAN_HANG'!$D:$D,"語の意味",'30_NGAN_HANG'!$Y:$Y,"Approved")</f>
        <v/>
      </c>
      <c r="D65">
        <f>COUNTIFS('30_NGAN_HANG'!$E:$E,$A65,'30_NGAN_HANG'!$F:$F,$B65,'30_NGAN_HANG'!$D:$D,"語の使い方",'30_NGAN_HANG'!$Y:$Y,"Approved")</f>
        <v/>
      </c>
      <c r="E65">
        <f>COUNTIFS('30_NGAN_HANG'!$E:$E,$A65,'30_NGAN_HANG'!$F:$F,$B65,'30_NGAN_HANG'!$D:$D,"漢字の読み",'30_NGAN_HANG'!$Y:$Y,"Approved")</f>
        <v/>
      </c>
      <c r="F65">
        <f>COUNTIFS('30_NGAN_HANG'!$E:$E,$A65,'30_NGAN_HANG'!$F:$F,$B65,'30_NGAN_HANG'!$D:$D,"漢字の表記",'30_NGAN_HANG'!$Y:$Y,"Approved")</f>
        <v/>
      </c>
      <c r="G65">
        <f>COUNTIFS('30_NGAN_HANG'!$E:$E,$A65,'30_NGAN_HANG'!$F:$F,$B65,'30_NGAN_HANG'!$D:$D,"表現",'30_NGAN_HANG'!$Y:$Y,"Approved")</f>
        <v/>
      </c>
      <c r="H65">
        <f>COUNTIFS('30_NGAN_HANG'!$E:$E,$A65,'30_NGAN_HANG'!$F:$F,$B65,'30_NGAN_HANG'!$D:$D,"文法",'30_NGAN_HANG'!$Y:$Y,"Approved")</f>
        <v/>
      </c>
      <c r="I65">
        <f>COUNTIFS('30_NGAN_HANG'!$E:$E,$A65,'30_NGAN_HANG'!$F:$F,$B65,'30_NGAN_HANG'!$D:$D,"会話の聴解",'30_NGAN_HANG'!$Y:$Y,"Approved")</f>
        <v/>
      </c>
      <c r="J65">
        <f>COUNTIFS('30_NGAN_HANG'!$E:$E,$A65,'30_NGAN_HANG'!$F:$F,$B65,'30_NGAN_HANG'!$D:$D,"アナウンス",'30_NGAN_HANG'!$Y:$Y,"Approved")</f>
        <v/>
      </c>
      <c r="K65">
        <f>COUNTIFS('30_NGAN_HANG'!$E:$E,$A65,'30_NGAN_HANG'!$F:$F,$B65,'30_NGAN_HANG'!$D:$D,"指示の聴解",'30_NGAN_HANG'!$Y:$Y,"Approved")</f>
        <v/>
      </c>
      <c r="L65">
        <f>COUNTIFS('30_NGAN_HANG'!$E:$E,$A65,'30_NGAN_HANG'!$F:$F,$B65,'30_NGAN_HANG'!$D:$D,"掲示の読解",'30_NGAN_HANG'!$Y:$Y,"Approved")</f>
        <v/>
      </c>
      <c r="M65">
        <f>COUNTIFS('30_NGAN_HANG'!$E:$E,$A65,'30_NGAN_HANG'!$F:$F,$B65,'30_NGAN_HANG'!$D:$D,"文章の読解",'30_NGAN_HANG'!$Y:$Y,"Approved")</f>
        <v/>
      </c>
      <c r="N65">
        <f>SUM(C65:M65)</f>
        <v/>
      </c>
    </row>
    <row r="66">
      <c r="A66" t="inlineStr">
        <is>
          <t>初級1</t>
        </is>
      </c>
      <c r="B66" t="n">
        <v>15</v>
      </c>
      <c r="C66">
        <f>COUNTIFS('30_NGAN_HANG'!$E:$E,$A66,'30_NGAN_HANG'!$F:$F,$B66,'30_NGAN_HANG'!$D:$D,"語の意味",'30_NGAN_HANG'!$Y:$Y,"Approved")</f>
        <v/>
      </c>
      <c r="D66">
        <f>COUNTIFS('30_NGAN_HANG'!$E:$E,$A66,'30_NGAN_HANG'!$F:$F,$B66,'30_NGAN_HANG'!$D:$D,"語の使い方",'30_NGAN_HANG'!$Y:$Y,"Approved")</f>
        <v/>
      </c>
      <c r="E66">
        <f>COUNTIFS('30_NGAN_HANG'!$E:$E,$A66,'30_NGAN_HANG'!$F:$F,$B66,'30_NGAN_HANG'!$D:$D,"漢字の読み",'30_NGAN_HANG'!$Y:$Y,"Approved")</f>
        <v/>
      </c>
      <c r="F66">
        <f>COUNTIFS('30_NGAN_HANG'!$E:$E,$A66,'30_NGAN_HANG'!$F:$F,$B66,'30_NGAN_HANG'!$D:$D,"漢字の表記",'30_NGAN_HANG'!$Y:$Y,"Approved")</f>
        <v/>
      </c>
      <c r="G66">
        <f>COUNTIFS('30_NGAN_HANG'!$E:$E,$A66,'30_NGAN_HANG'!$F:$F,$B66,'30_NGAN_HANG'!$D:$D,"表現",'30_NGAN_HANG'!$Y:$Y,"Approved")</f>
        <v/>
      </c>
      <c r="H66">
        <f>COUNTIFS('30_NGAN_HANG'!$E:$E,$A66,'30_NGAN_HANG'!$F:$F,$B66,'30_NGAN_HANG'!$D:$D,"文法",'30_NGAN_HANG'!$Y:$Y,"Approved")</f>
        <v/>
      </c>
      <c r="I66">
        <f>COUNTIFS('30_NGAN_HANG'!$E:$E,$A66,'30_NGAN_HANG'!$F:$F,$B66,'30_NGAN_HANG'!$D:$D,"会話の聴解",'30_NGAN_HANG'!$Y:$Y,"Approved")</f>
        <v/>
      </c>
      <c r="J66">
        <f>COUNTIFS('30_NGAN_HANG'!$E:$E,$A66,'30_NGAN_HANG'!$F:$F,$B66,'30_NGAN_HANG'!$D:$D,"アナウンス",'30_NGAN_HANG'!$Y:$Y,"Approved")</f>
        <v/>
      </c>
      <c r="K66">
        <f>COUNTIFS('30_NGAN_HANG'!$E:$E,$A66,'30_NGAN_HANG'!$F:$F,$B66,'30_NGAN_HANG'!$D:$D,"指示の聴解",'30_NGAN_HANG'!$Y:$Y,"Approved")</f>
        <v/>
      </c>
      <c r="L66">
        <f>COUNTIFS('30_NGAN_HANG'!$E:$E,$A66,'30_NGAN_HANG'!$F:$F,$B66,'30_NGAN_HANG'!$D:$D,"掲示の読解",'30_NGAN_HANG'!$Y:$Y,"Approved")</f>
        <v/>
      </c>
      <c r="M66">
        <f>COUNTIFS('30_NGAN_HANG'!$E:$E,$A66,'30_NGAN_HANG'!$F:$F,$B66,'30_NGAN_HANG'!$D:$D,"文章の読解",'30_NGAN_HANG'!$Y:$Y,"Approved")</f>
        <v/>
      </c>
      <c r="N66">
        <f>SUM(C66:M66)</f>
        <v/>
      </c>
    </row>
    <row r="67">
      <c r="A67" t="inlineStr">
        <is>
          <t>初級1</t>
        </is>
      </c>
      <c r="B67" t="n">
        <v>16</v>
      </c>
      <c r="C67">
        <f>COUNTIFS('30_NGAN_HANG'!$E:$E,$A67,'30_NGAN_HANG'!$F:$F,$B67,'30_NGAN_HANG'!$D:$D,"語の意味",'30_NGAN_HANG'!$Y:$Y,"Approved")</f>
        <v/>
      </c>
      <c r="D67">
        <f>COUNTIFS('30_NGAN_HANG'!$E:$E,$A67,'30_NGAN_HANG'!$F:$F,$B67,'30_NGAN_HANG'!$D:$D,"語の使い方",'30_NGAN_HANG'!$Y:$Y,"Approved")</f>
        <v/>
      </c>
      <c r="E67">
        <f>COUNTIFS('30_NGAN_HANG'!$E:$E,$A67,'30_NGAN_HANG'!$F:$F,$B67,'30_NGAN_HANG'!$D:$D,"漢字の読み",'30_NGAN_HANG'!$Y:$Y,"Approved")</f>
        <v/>
      </c>
      <c r="F67">
        <f>COUNTIFS('30_NGAN_HANG'!$E:$E,$A67,'30_NGAN_HANG'!$F:$F,$B67,'30_NGAN_HANG'!$D:$D,"漢字の表記",'30_NGAN_HANG'!$Y:$Y,"Approved")</f>
        <v/>
      </c>
      <c r="G67">
        <f>COUNTIFS('30_NGAN_HANG'!$E:$E,$A67,'30_NGAN_HANG'!$F:$F,$B67,'30_NGAN_HANG'!$D:$D,"表現",'30_NGAN_HANG'!$Y:$Y,"Approved")</f>
        <v/>
      </c>
      <c r="H67">
        <f>COUNTIFS('30_NGAN_HANG'!$E:$E,$A67,'30_NGAN_HANG'!$F:$F,$B67,'30_NGAN_HANG'!$D:$D,"文法",'30_NGAN_HANG'!$Y:$Y,"Approved")</f>
        <v/>
      </c>
      <c r="I67">
        <f>COUNTIFS('30_NGAN_HANG'!$E:$E,$A67,'30_NGAN_HANG'!$F:$F,$B67,'30_NGAN_HANG'!$D:$D,"会話の聴解",'30_NGAN_HANG'!$Y:$Y,"Approved")</f>
        <v/>
      </c>
      <c r="J67">
        <f>COUNTIFS('30_NGAN_HANG'!$E:$E,$A67,'30_NGAN_HANG'!$F:$F,$B67,'30_NGAN_HANG'!$D:$D,"アナウンス",'30_NGAN_HANG'!$Y:$Y,"Approved")</f>
        <v/>
      </c>
      <c r="K67">
        <f>COUNTIFS('30_NGAN_HANG'!$E:$E,$A67,'30_NGAN_HANG'!$F:$F,$B67,'30_NGAN_HANG'!$D:$D,"指示の聴解",'30_NGAN_HANG'!$Y:$Y,"Approved")</f>
        <v/>
      </c>
      <c r="L67">
        <f>COUNTIFS('30_NGAN_HANG'!$E:$E,$A67,'30_NGAN_HANG'!$F:$F,$B67,'30_NGAN_HANG'!$D:$D,"掲示の読解",'30_NGAN_HANG'!$Y:$Y,"Approved")</f>
        <v/>
      </c>
      <c r="M67">
        <f>COUNTIFS('30_NGAN_HANG'!$E:$E,$A67,'30_NGAN_HANG'!$F:$F,$B67,'30_NGAN_HANG'!$D:$D,"文章の読解",'30_NGAN_HANG'!$Y:$Y,"Approved")</f>
        <v/>
      </c>
      <c r="N67">
        <f>SUM(C67:M67)</f>
        <v/>
      </c>
    </row>
    <row r="68">
      <c r="A68" t="inlineStr">
        <is>
          <t>初級1</t>
        </is>
      </c>
      <c r="B68" t="n">
        <v>17</v>
      </c>
      <c r="C68">
        <f>COUNTIFS('30_NGAN_HANG'!$E:$E,$A68,'30_NGAN_HANG'!$F:$F,$B68,'30_NGAN_HANG'!$D:$D,"語の意味",'30_NGAN_HANG'!$Y:$Y,"Approved")</f>
        <v/>
      </c>
      <c r="D68">
        <f>COUNTIFS('30_NGAN_HANG'!$E:$E,$A68,'30_NGAN_HANG'!$F:$F,$B68,'30_NGAN_HANG'!$D:$D,"語の使い方",'30_NGAN_HANG'!$Y:$Y,"Approved")</f>
        <v/>
      </c>
      <c r="E68">
        <f>COUNTIFS('30_NGAN_HANG'!$E:$E,$A68,'30_NGAN_HANG'!$F:$F,$B68,'30_NGAN_HANG'!$D:$D,"漢字の読み",'30_NGAN_HANG'!$Y:$Y,"Approved")</f>
        <v/>
      </c>
      <c r="F68">
        <f>COUNTIFS('30_NGAN_HANG'!$E:$E,$A68,'30_NGAN_HANG'!$F:$F,$B68,'30_NGAN_HANG'!$D:$D,"漢字の表記",'30_NGAN_HANG'!$Y:$Y,"Approved")</f>
        <v/>
      </c>
      <c r="G68">
        <f>COUNTIFS('30_NGAN_HANG'!$E:$E,$A68,'30_NGAN_HANG'!$F:$F,$B68,'30_NGAN_HANG'!$D:$D,"表現",'30_NGAN_HANG'!$Y:$Y,"Approved")</f>
        <v/>
      </c>
      <c r="H68">
        <f>COUNTIFS('30_NGAN_HANG'!$E:$E,$A68,'30_NGAN_HANG'!$F:$F,$B68,'30_NGAN_HANG'!$D:$D,"文法",'30_NGAN_HANG'!$Y:$Y,"Approved")</f>
        <v/>
      </c>
      <c r="I68">
        <f>COUNTIFS('30_NGAN_HANG'!$E:$E,$A68,'30_NGAN_HANG'!$F:$F,$B68,'30_NGAN_HANG'!$D:$D,"会話の聴解",'30_NGAN_HANG'!$Y:$Y,"Approved")</f>
        <v/>
      </c>
      <c r="J68">
        <f>COUNTIFS('30_NGAN_HANG'!$E:$E,$A68,'30_NGAN_HANG'!$F:$F,$B68,'30_NGAN_HANG'!$D:$D,"アナウンス",'30_NGAN_HANG'!$Y:$Y,"Approved")</f>
        <v/>
      </c>
      <c r="K68">
        <f>COUNTIFS('30_NGAN_HANG'!$E:$E,$A68,'30_NGAN_HANG'!$F:$F,$B68,'30_NGAN_HANG'!$D:$D,"指示の聴解",'30_NGAN_HANG'!$Y:$Y,"Approved")</f>
        <v/>
      </c>
      <c r="L68">
        <f>COUNTIFS('30_NGAN_HANG'!$E:$E,$A68,'30_NGAN_HANG'!$F:$F,$B68,'30_NGAN_HANG'!$D:$D,"掲示の読解",'30_NGAN_HANG'!$Y:$Y,"Approved")</f>
        <v/>
      </c>
      <c r="M68">
        <f>COUNTIFS('30_NGAN_HANG'!$E:$E,$A68,'30_NGAN_HANG'!$F:$F,$B68,'30_NGAN_HANG'!$D:$D,"文章の読解",'30_NGAN_HANG'!$Y:$Y,"Approved")</f>
        <v/>
      </c>
      <c r="N68">
        <f>SUM(C68:M68)</f>
        <v/>
      </c>
    </row>
    <row r="69">
      <c r="A69" t="inlineStr">
        <is>
          <t>初級1</t>
        </is>
      </c>
      <c r="B69" t="n">
        <v>18</v>
      </c>
      <c r="C69">
        <f>COUNTIFS('30_NGAN_HANG'!$E:$E,$A69,'30_NGAN_HANG'!$F:$F,$B69,'30_NGAN_HANG'!$D:$D,"語の意味",'30_NGAN_HANG'!$Y:$Y,"Approved")</f>
        <v/>
      </c>
      <c r="D69">
        <f>COUNTIFS('30_NGAN_HANG'!$E:$E,$A69,'30_NGAN_HANG'!$F:$F,$B69,'30_NGAN_HANG'!$D:$D,"語の使い方",'30_NGAN_HANG'!$Y:$Y,"Approved")</f>
        <v/>
      </c>
      <c r="E69">
        <f>COUNTIFS('30_NGAN_HANG'!$E:$E,$A69,'30_NGAN_HANG'!$F:$F,$B69,'30_NGAN_HANG'!$D:$D,"漢字の読み",'30_NGAN_HANG'!$Y:$Y,"Approved")</f>
        <v/>
      </c>
      <c r="F69">
        <f>COUNTIFS('30_NGAN_HANG'!$E:$E,$A69,'30_NGAN_HANG'!$F:$F,$B69,'30_NGAN_HANG'!$D:$D,"漢字の表記",'30_NGAN_HANG'!$Y:$Y,"Approved")</f>
        <v/>
      </c>
      <c r="G69">
        <f>COUNTIFS('30_NGAN_HANG'!$E:$E,$A69,'30_NGAN_HANG'!$F:$F,$B69,'30_NGAN_HANG'!$D:$D,"表現",'30_NGAN_HANG'!$Y:$Y,"Approved")</f>
        <v/>
      </c>
      <c r="H69">
        <f>COUNTIFS('30_NGAN_HANG'!$E:$E,$A69,'30_NGAN_HANG'!$F:$F,$B69,'30_NGAN_HANG'!$D:$D,"文法",'30_NGAN_HANG'!$Y:$Y,"Approved")</f>
        <v/>
      </c>
      <c r="I69">
        <f>COUNTIFS('30_NGAN_HANG'!$E:$E,$A69,'30_NGAN_HANG'!$F:$F,$B69,'30_NGAN_HANG'!$D:$D,"会話の聴解",'30_NGAN_HANG'!$Y:$Y,"Approved")</f>
        <v/>
      </c>
      <c r="J69">
        <f>COUNTIFS('30_NGAN_HANG'!$E:$E,$A69,'30_NGAN_HANG'!$F:$F,$B69,'30_NGAN_HANG'!$D:$D,"アナウンス",'30_NGAN_HANG'!$Y:$Y,"Approved")</f>
        <v/>
      </c>
      <c r="K69">
        <f>COUNTIFS('30_NGAN_HANG'!$E:$E,$A69,'30_NGAN_HANG'!$F:$F,$B69,'30_NGAN_HANG'!$D:$D,"指示の聴解",'30_NGAN_HANG'!$Y:$Y,"Approved")</f>
        <v/>
      </c>
      <c r="L69">
        <f>COUNTIFS('30_NGAN_HANG'!$E:$E,$A69,'30_NGAN_HANG'!$F:$F,$B69,'30_NGAN_HANG'!$D:$D,"掲示の読解",'30_NGAN_HANG'!$Y:$Y,"Approved")</f>
        <v/>
      </c>
      <c r="M69">
        <f>COUNTIFS('30_NGAN_HANG'!$E:$E,$A69,'30_NGAN_HANG'!$F:$F,$B69,'30_NGAN_HANG'!$D:$D,"文章の読解",'30_NGAN_HANG'!$Y:$Y,"Approved")</f>
        <v/>
      </c>
      <c r="N69">
        <f>SUM(C69:M69)</f>
        <v/>
      </c>
    </row>
    <row r="70">
      <c r="A70" t="inlineStr">
        <is>
          <t>初級2</t>
        </is>
      </c>
      <c r="B70" t="n">
        <v>1</v>
      </c>
      <c r="C70">
        <f>COUNTIFS('30_NGAN_HANG'!$E:$E,$A70,'30_NGAN_HANG'!$F:$F,$B70,'30_NGAN_HANG'!$D:$D,"語の意味",'30_NGAN_HANG'!$Y:$Y,"Approved")</f>
        <v/>
      </c>
      <c r="D70">
        <f>COUNTIFS('30_NGAN_HANG'!$E:$E,$A70,'30_NGAN_HANG'!$F:$F,$B70,'30_NGAN_HANG'!$D:$D,"語の使い方",'30_NGAN_HANG'!$Y:$Y,"Approved")</f>
        <v/>
      </c>
      <c r="E70">
        <f>COUNTIFS('30_NGAN_HANG'!$E:$E,$A70,'30_NGAN_HANG'!$F:$F,$B70,'30_NGAN_HANG'!$D:$D,"漢字の読み",'30_NGAN_HANG'!$Y:$Y,"Approved")</f>
        <v/>
      </c>
      <c r="F70">
        <f>COUNTIFS('30_NGAN_HANG'!$E:$E,$A70,'30_NGAN_HANG'!$F:$F,$B70,'30_NGAN_HANG'!$D:$D,"漢字の表記",'30_NGAN_HANG'!$Y:$Y,"Approved")</f>
        <v/>
      </c>
      <c r="G70">
        <f>COUNTIFS('30_NGAN_HANG'!$E:$E,$A70,'30_NGAN_HANG'!$F:$F,$B70,'30_NGAN_HANG'!$D:$D,"表現",'30_NGAN_HANG'!$Y:$Y,"Approved")</f>
        <v/>
      </c>
      <c r="H70">
        <f>COUNTIFS('30_NGAN_HANG'!$E:$E,$A70,'30_NGAN_HANG'!$F:$F,$B70,'30_NGAN_HANG'!$D:$D,"文法",'30_NGAN_HANG'!$Y:$Y,"Approved")</f>
        <v/>
      </c>
      <c r="I70">
        <f>COUNTIFS('30_NGAN_HANG'!$E:$E,$A70,'30_NGAN_HANG'!$F:$F,$B70,'30_NGAN_HANG'!$D:$D,"会話の聴解",'30_NGAN_HANG'!$Y:$Y,"Approved")</f>
        <v/>
      </c>
      <c r="J70">
        <f>COUNTIFS('30_NGAN_HANG'!$E:$E,$A70,'30_NGAN_HANG'!$F:$F,$B70,'30_NGAN_HANG'!$D:$D,"アナウンス",'30_NGAN_HANG'!$Y:$Y,"Approved")</f>
        <v/>
      </c>
      <c r="K70">
        <f>COUNTIFS('30_NGAN_HANG'!$E:$E,$A70,'30_NGAN_HANG'!$F:$F,$B70,'30_NGAN_HANG'!$D:$D,"指示の聴解",'30_NGAN_HANG'!$Y:$Y,"Approved")</f>
        <v/>
      </c>
      <c r="L70">
        <f>COUNTIFS('30_NGAN_HANG'!$E:$E,$A70,'30_NGAN_HANG'!$F:$F,$B70,'30_NGAN_HANG'!$D:$D,"掲示の読解",'30_NGAN_HANG'!$Y:$Y,"Approved")</f>
        <v/>
      </c>
      <c r="M70">
        <f>COUNTIFS('30_NGAN_HANG'!$E:$E,$A70,'30_NGAN_HANG'!$F:$F,$B70,'30_NGAN_HANG'!$D:$D,"文章の読解",'30_NGAN_HANG'!$Y:$Y,"Approved")</f>
        <v/>
      </c>
      <c r="N70">
        <f>SUM(C70:M70)</f>
        <v/>
      </c>
    </row>
    <row r="71">
      <c r="A71" t="inlineStr">
        <is>
          <t>初級2</t>
        </is>
      </c>
      <c r="B71" t="n">
        <v>2</v>
      </c>
      <c r="C71">
        <f>COUNTIFS('30_NGAN_HANG'!$E:$E,$A71,'30_NGAN_HANG'!$F:$F,$B71,'30_NGAN_HANG'!$D:$D,"語の意味",'30_NGAN_HANG'!$Y:$Y,"Approved")</f>
        <v/>
      </c>
      <c r="D71">
        <f>COUNTIFS('30_NGAN_HANG'!$E:$E,$A71,'30_NGAN_HANG'!$F:$F,$B71,'30_NGAN_HANG'!$D:$D,"語の使い方",'30_NGAN_HANG'!$Y:$Y,"Approved")</f>
        <v/>
      </c>
      <c r="E71">
        <f>COUNTIFS('30_NGAN_HANG'!$E:$E,$A71,'30_NGAN_HANG'!$F:$F,$B71,'30_NGAN_HANG'!$D:$D,"漢字の読み",'30_NGAN_HANG'!$Y:$Y,"Approved")</f>
        <v/>
      </c>
      <c r="F71">
        <f>COUNTIFS('30_NGAN_HANG'!$E:$E,$A71,'30_NGAN_HANG'!$F:$F,$B71,'30_NGAN_HANG'!$D:$D,"漢字の表記",'30_NGAN_HANG'!$Y:$Y,"Approved")</f>
        <v/>
      </c>
      <c r="G71">
        <f>COUNTIFS('30_NGAN_HANG'!$E:$E,$A71,'30_NGAN_HANG'!$F:$F,$B71,'30_NGAN_HANG'!$D:$D,"表現",'30_NGAN_HANG'!$Y:$Y,"Approved")</f>
        <v/>
      </c>
      <c r="H71">
        <f>COUNTIFS('30_NGAN_HANG'!$E:$E,$A71,'30_NGAN_HANG'!$F:$F,$B71,'30_NGAN_HANG'!$D:$D,"文法",'30_NGAN_HANG'!$Y:$Y,"Approved")</f>
        <v/>
      </c>
      <c r="I71">
        <f>COUNTIFS('30_NGAN_HANG'!$E:$E,$A71,'30_NGAN_HANG'!$F:$F,$B71,'30_NGAN_HANG'!$D:$D,"会話の聴解",'30_NGAN_HANG'!$Y:$Y,"Approved")</f>
        <v/>
      </c>
      <c r="J71">
        <f>COUNTIFS('30_NGAN_HANG'!$E:$E,$A71,'30_NGAN_HANG'!$F:$F,$B71,'30_NGAN_HANG'!$D:$D,"アナウンス",'30_NGAN_HANG'!$Y:$Y,"Approved")</f>
        <v/>
      </c>
      <c r="K71">
        <f>COUNTIFS('30_NGAN_HANG'!$E:$E,$A71,'30_NGAN_HANG'!$F:$F,$B71,'30_NGAN_HANG'!$D:$D,"指示の聴解",'30_NGAN_HANG'!$Y:$Y,"Approved")</f>
        <v/>
      </c>
      <c r="L71">
        <f>COUNTIFS('30_NGAN_HANG'!$E:$E,$A71,'30_NGAN_HANG'!$F:$F,$B71,'30_NGAN_HANG'!$D:$D,"掲示の読解",'30_NGAN_HANG'!$Y:$Y,"Approved")</f>
        <v/>
      </c>
      <c r="M71">
        <f>COUNTIFS('30_NGAN_HANG'!$E:$E,$A71,'30_NGAN_HANG'!$F:$F,$B71,'30_NGAN_HANG'!$D:$D,"文章の読解",'30_NGAN_HANG'!$Y:$Y,"Approved")</f>
        <v/>
      </c>
      <c r="N71">
        <f>SUM(C71:M71)</f>
        <v/>
      </c>
    </row>
    <row r="72">
      <c r="A72" t="inlineStr">
        <is>
          <t>初級2</t>
        </is>
      </c>
      <c r="B72" t="n">
        <v>3</v>
      </c>
      <c r="C72">
        <f>COUNTIFS('30_NGAN_HANG'!$E:$E,$A72,'30_NGAN_HANG'!$F:$F,$B72,'30_NGAN_HANG'!$D:$D,"語の意味",'30_NGAN_HANG'!$Y:$Y,"Approved")</f>
        <v/>
      </c>
      <c r="D72">
        <f>COUNTIFS('30_NGAN_HANG'!$E:$E,$A72,'30_NGAN_HANG'!$F:$F,$B72,'30_NGAN_HANG'!$D:$D,"語の使い方",'30_NGAN_HANG'!$Y:$Y,"Approved")</f>
        <v/>
      </c>
      <c r="E72">
        <f>COUNTIFS('30_NGAN_HANG'!$E:$E,$A72,'30_NGAN_HANG'!$F:$F,$B72,'30_NGAN_HANG'!$D:$D,"漢字の読み",'30_NGAN_HANG'!$Y:$Y,"Approved")</f>
        <v/>
      </c>
      <c r="F72">
        <f>COUNTIFS('30_NGAN_HANG'!$E:$E,$A72,'30_NGAN_HANG'!$F:$F,$B72,'30_NGAN_HANG'!$D:$D,"漢字の表記",'30_NGAN_HANG'!$Y:$Y,"Approved")</f>
        <v/>
      </c>
      <c r="G72">
        <f>COUNTIFS('30_NGAN_HANG'!$E:$E,$A72,'30_NGAN_HANG'!$F:$F,$B72,'30_NGAN_HANG'!$D:$D,"表現",'30_NGAN_HANG'!$Y:$Y,"Approved")</f>
        <v/>
      </c>
      <c r="H72">
        <f>COUNTIFS('30_NGAN_HANG'!$E:$E,$A72,'30_NGAN_HANG'!$F:$F,$B72,'30_NGAN_HANG'!$D:$D,"文法",'30_NGAN_HANG'!$Y:$Y,"Approved")</f>
        <v/>
      </c>
      <c r="I72">
        <f>COUNTIFS('30_NGAN_HANG'!$E:$E,$A72,'30_NGAN_HANG'!$F:$F,$B72,'30_NGAN_HANG'!$D:$D,"会話の聴解",'30_NGAN_HANG'!$Y:$Y,"Approved")</f>
        <v/>
      </c>
      <c r="J72">
        <f>COUNTIFS('30_NGAN_HANG'!$E:$E,$A72,'30_NGAN_HANG'!$F:$F,$B72,'30_NGAN_HANG'!$D:$D,"アナウンス",'30_NGAN_HANG'!$Y:$Y,"Approved")</f>
        <v/>
      </c>
      <c r="K72">
        <f>COUNTIFS('30_NGAN_HANG'!$E:$E,$A72,'30_NGAN_HANG'!$F:$F,$B72,'30_NGAN_HANG'!$D:$D,"指示の聴解",'30_NGAN_HANG'!$Y:$Y,"Approved")</f>
        <v/>
      </c>
      <c r="L72">
        <f>COUNTIFS('30_NGAN_HANG'!$E:$E,$A72,'30_NGAN_HANG'!$F:$F,$B72,'30_NGAN_HANG'!$D:$D,"掲示の読解",'30_NGAN_HANG'!$Y:$Y,"Approved")</f>
        <v/>
      </c>
      <c r="M72">
        <f>COUNTIFS('30_NGAN_HANG'!$E:$E,$A72,'30_NGAN_HANG'!$F:$F,$B72,'30_NGAN_HANG'!$D:$D,"文章の読解",'30_NGAN_HANG'!$Y:$Y,"Approved")</f>
        <v/>
      </c>
      <c r="N72">
        <f>SUM(C72:M72)</f>
        <v/>
      </c>
    </row>
    <row r="73">
      <c r="A73" t="inlineStr">
        <is>
          <t>初級2</t>
        </is>
      </c>
      <c r="B73" t="n">
        <v>4</v>
      </c>
      <c r="C73">
        <f>COUNTIFS('30_NGAN_HANG'!$E:$E,$A73,'30_NGAN_HANG'!$F:$F,$B73,'30_NGAN_HANG'!$D:$D,"語の意味",'30_NGAN_HANG'!$Y:$Y,"Approved")</f>
        <v/>
      </c>
      <c r="D73">
        <f>COUNTIFS('30_NGAN_HANG'!$E:$E,$A73,'30_NGAN_HANG'!$F:$F,$B73,'30_NGAN_HANG'!$D:$D,"語の使い方",'30_NGAN_HANG'!$Y:$Y,"Approved")</f>
        <v/>
      </c>
      <c r="E73">
        <f>COUNTIFS('30_NGAN_HANG'!$E:$E,$A73,'30_NGAN_HANG'!$F:$F,$B73,'30_NGAN_HANG'!$D:$D,"漢字の読み",'30_NGAN_HANG'!$Y:$Y,"Approved")</f>
        <v/>
      </c>
      <c r="F73">
        <f>COUNTIFS('30_NGAN_HANG'!$E:$E,$A73,'30_NGAN_HANG'!$F:$F,$B73,'30_NGAN_HANG'!$D:$D,"漢字の表記",'30_NGAN_HANG'!$Y:$Y,"Approved")</f>
        <v/>
      </c>
      <c r="G73">
        <f>COUNTIFS('30_NGAN_HANG'!$E:$E,$A73,'30_NGAN_HANG'!$F:$F,$B73,'30_NGAN_HANG'!$D:$D,"表現",'30_NGAN_HANG'!$Y:$Y,"Approved")</f>
        <v/>
      </c>
      <c r="H73">
        <f>COUNTIFS('30_NGAN_HANG'!$E:$E,$A73,'30_NGAN_HANG'!$F:$F,$B73,'30_NGAN_HANG'!$D:$D,"文法",'30_NGAN_HANG'!$Y:$Y,"Approved")</f>
        <v/>
      </c>
      <c r="I73">
        <f>COUNTIFS('30_NGAN_HANG'!$E:$E,$A73,'30_NGAN_HANG'!$F:$F,$B73,'30_NGAN_HANG'!$D:$D,"会話の聴解",'30_NGAN_HANG'!$Y:$Y,"Approved")</f>
        <v/>
      </c>
      <c r="J73">
        <f>COUNTIFS('30_NGAN_HANG'!$E:$E,$A73,'30_NGAN_HANG'!$F:$F,$B73,'30_NGAN_HANG'!$D:$D,"アナウンス",'30_NGAN_HANG'!$Y:$Y,"Approved")</f>
        <v/>
      </c>
      <c r="K73">
        <f>COUNTIFS('30_NGAN_HANG'!$E:$E,$A73,'30_NGAN_HANG'!$F:$F,$B73,'30_NGAN_HANG'!$D:$D,"指示の聴解",'30_NGAN_HANG'!$Y:$Y,"Approved")</f>
        <v/>
      </c>
      <c r="L73">
        <f>COUNTIFS('30_NGAN_HANG'!$E:$E,$A73,'30_NGAN_HANG'!$F:$F,$B73,'30_NGAN_HANG'!$D:$D,"掲示の読解",'30_NGAN_HANG'!$Y:$Y,"Approved")</f>
        <v/>
      </c>
      <c r="M73">
        <f>COUNTIFS('30_NGAN_HANG'!$E:$E,$A73,'30_NGAN_HANG'!$F:$F,$B73,'30_NGAN_HANG'!$D:$D,"文章の読解",'30_NGAN_HANG'!$Y:$Y,"Approved")</f>
        <v/>
      </c>
      <c r="N73">
        <f>SUM(C73:M73)</f>
        <v/>
      </c>
    </row>
    <row r="74">
      <c r="A74" t="inlineStr">
        <is>
          <t>初級2</t>
        </is>
      </c>
      <c r="B74" t="n">
        <v>5</v>
      </c>
      <c r="C74">
        <f>COUNTIFS('30_NGAN_HANG'!$E:$E,$A74,'30_NGAN_HANG'!$F:$F,$B74,'30_NGAN_HANG'!$D:$D,"語の意味",'30_NGAN_HANG'!$Y:$Y,"Approved")</f>
        <v/>
      </c>
      <c r="D74">
        <f>COUNTIFS('30_NGAN_HANG'!$E:$E,$A74,'30_NGAN_HANG'!$F:$F,$B74,'30_NGAN_HANG'!$D:$D,"語の使い方",'30_NGAN_HANG'!$Y:$Y,"Approved")</f>
        <v/>
      </c>
      <c r="E74">
        <f>COUNTIFS('30_NGAN_HANG'!$E:$E,$A74,'30_NGAN_HANG'!$F:$F,$B74,'30_NGAN_HANG'!$D:$D,"漢字の読み",'30_NGAN_HANG'!$Y:$Y,"Approved")</f>
        <v/>
      </c>
      <c r="F74">
        <f>COUNTIFS('30_NGAN_HANG'!$E:$E,$A74,'30_NGAN_HANG'!$F:$F,$B74,'30_NGAN_HANG'!$D:$D,"漢字の表記",'30_NGAN_HANG'!$Y:$Y,"Approved")</f>
        <v/>
      </c>
      <c r="G74">
        <f>COUNTIFS('30_NGAN_HANG'!$E:$E,$A74,'30_NGAN_HANG'!$F:$F,$B74,'30_NGAN_HANG'!$D:$D,"表現",'30_NGAN_HANG'!$Y:$Y,"Approved")</f>
        <v/>
      </c>
      <c r="H74">
        <f>COUNTIFS('30_NGAN_HANG'!$E:$E,$A74,'30_NGAN_HANG'!$F:$F,$B74,'30_NGAN_HANG'!$D:$D,"文法",'30_NGAN_HANG'!$Y:$Y,"Approved")</f>
        <v/>
      </c>
      <c r="I74">
        <f>COUNTIFS('30_NGAN_HANG'!$E:$E,$A74,'30_NGAN_HANG'!$F:$F,$B74,'30_NGAN_HANG'!$D:$D,"会話の聴解",'30_NGAN_HANG'!$Y:$Y,"Approved")</f>
        <v/>
      </c>
      <c r="J74">
        <f>COUNTIFS('30_NGAN_HANG'!$E:$E,$A74,'30_NGAN_HANG'!$F:$F,$B74,'30_NGAN_HANG'!$D:$D,"アナウンス",'30_NGAN_HANG'!$Y:$Y,"Approved")</f>
        <v/>
      </c>
      <c r="K74">
        <f>COUNTIFS('30_NGAN_HANG'!$E:$E,$A74,'30_NGAN_HANG'!$F:$F,$B74,'30_NGAN_HANG'!$D:$D,"指示の聴解",'30_NGAN_HANG'!$Y:$Y,"Approved")</f>
        <v/>
      </c>
      <c r="L74">
        <f>COUNTIFS('30_NGAN_HANG'!$E:$E,$A74,'30_NGAN_HANG'!$F:$F,$B74,'30_NGAN_HANG'!$D:$D,"掲示の読解",'30_NGAN_HANG'!$Y:$Y,"Approved")</f>
        <v/>
      </c>
      <c r="M74">
        <f>COUNTIFS('30_NGAN_HANG'!$E:$E,$A74,'30_NGAN_HANG'!$F:$F,$B74,'30_NGAN_HANG'!$D:$D,"文章の読解",'30_NGAN_HANG'!$Y:$Y,"Approved")</f>
        <v/>
      </c>
      <c r="N74">
        <f>SUM(C74:M74)</f>
        <v/>
      </c>
    </row>
    <row r="75">
      <c r="A75" t="inlineStr">
        <is>
          <t>初級2</t>
        </is>
      </c>
      <c r="B75" t="n">
        <v>6</v>
      </c>
      <c r="C75">
        <f>COUNTIFS('30_NGAN_HANG'!$E:$E,$A75,'30_NGAN_HANG'!$F:$F,$B75,'30_NGAN_HANG'!$D:$D,"語の意味",'30_NGAN_HANG'!$Y:$Y,"Approved")</f>
        <v/>
      </c>
      <c r="D75">
        <f>COUNTIFS('30_NGAN_HANG'!$E:$E,$A75,'30_NGAN_HANG'!$F:$F,$B75,'30_NGAN_HANG'!$D:$D,"語の使い方",'30_NGAN_HANG'!$Y:$Y,"Approved")</f>
        <v/>
      </c>
      <c r="E75">
        <f>COUNTIFS('30_NGAN_HANG'!$E:$E,$A75,'30_NGAN_HANG'!$F:$F,$B75,'30_NGAN_HANG'!$D:$D,"漢字の読み",'30_NGAN_HANG'!$Y:$Y,"Approved")</f>
        <v/>
      </c>
      <c r="F75">
        <f>COUNTIFS('30_NGAN_HANG'!$E:$E,$A75,'30_NGAN_HANG'!$F:$F,$B75,'30_NGAN_HANG'!$D:$D,"漢字の表記",'30_NGAN_HANG'!$Y:$Y,"Approved")</f>
        <v/>
      </c>
      <c r="G75">
        <f>COUNTIFS('30_NGAN_HANG'!$E:$E,$A75,'30_NGAN_HANG'!$F:$F,$B75,'30_NGAN_HANG'!$D:$D,"表現",'30_NGAN_HANG'!$Y:$Y,"Approved")</f>
        <v/>
      </c>
      <c r="H75">
        <f>COUNTIFS('30_NGAN_HANG'!$E:$E,$A75,'30_NGAN_HANG'!$F:$F,$B75,'30_NGAN_HANG'!$D:$D,"文法",'30_NGAN_HANG'!$Y:$Y,"Approved")</f>
        <v/>
      </c>
      <c r="I75">
        <f>COUNTIFS('30_NGAN_HANG'!$E:$E,$A75,'30_NGAN_HANG'!$F:$F,$B75,'30_NGAN_HANG'!$D:$D,"会話の聴解",'30_NGAN_HANG'!$Y:$Y,"Approved")</f>
        <v/>
      </c>
      <c r="J75">
        <f>COUNTIFS('30_NGAN_HANG'!$E:$E,$A75,'30_NGAN_HANG'!$F:$F,$B75,'30_NGAN_HANG'!$D:$D,"アナウンス",'30_NGAN_HANG'!$Y:$Y,"Approved")</f>
        <v/>
      </c>
      <c r="K75">
        <f>COUNTIFS('30_NGAN_HANG'!$E:$E,$A75,'30_NGAN_HANG'!$F:$F,$B75,'30_NGAN_HANG'!$D:$D,"指示の聴解",'30_NGAN_HANG'!$Y:$Y,"Approved")</f>
        <v/>
      </c>
      <c r="L75">
        <f>COUNTIFS('30_NGAN_HANG'!$E:$E,$A75,'30_NGAN_HANG'!$F:$F,$B75,'30_NGAN_HANG'!$D:$D,"掲示の読解",'30_NGAN_HANG'!$Y:$Y,"Approved")</f>
        <v/>
      </c>
      <c r="M75">
        <f>COUNTIFS('30_NGAN_HANG'!$E:$E,$A75,'30_NGAN_HANG'!$F:$F,$B75,'30_NGAN_HANG'!$D:$D,"文章の読解",'30_NGAN_HANG'!$Y:$Y,"Approved")</f>
        <v/>
      </c>
      <c r="N75">
        <f>SUM(C75:M75)</f>
        <v/>
      </c>
    </row>
    <row r="76">
      <c r="A76" t="inlineStr">
        <is>
          <t>初級2</t>
        </is>
      </c>
      <c r="B76" t="n">
        <v>7</v>
      </c>
      <c r="C76">
        <f>COUNTIFS('30_NGAN_HANG'!$E:$E,$A76,'30_NGAN_HANG'!$F:$F,$B76,'30_NGAN_HANG'!$D:$D,"語の意味",'30_NGAN_HANG'!$Y:$Y,"Approved")</f>
        <v/>
      </c>
      <c r="D76">
        <f>COUNTIFS('30_NGAN_HANG'!$E:$E,$A76,'30_NGAN_HANG'!$F:$F,$B76,'30_NGAN_HANG'!$D:$D,"語の使い方",'30_NGAN_HANG'!$Y:$Y,"Approved")</f>
        <v/>
      </c>
      <c r="E76">
        <f>COUNTIFS('30_NGAN_HANG'!$E:$E,$A76,'30_NGAN_HANG'!$F:$F,$B76,'30_NGAN_HANG'!$D:$D,"漢字の読み",'30_NGAN_HANG'!$Y:$Y,"Approved")</f>
        <v/>
      </c>
      <c r="F76">
        <f>COUNTIFS('30_NGAN_HANG'!$E:$E,$A76,'30_NGAN_HANG'!$F:$F,$B76,'30_NGAN_HANG'!$D:$D,"漢字の表記",'30_NGAN_HANG'!$Y:$Y,"Approved")</f>
        <v/>
      </c>
      <c r="G76">
        <f>COUNTIFS('30_NGAN_HANG'!$E:$E,$A76,'30_NGAN_HANG'!$F:$F,$B76,'30_NGAN_HANG'!$D:$D,"表現",'30_NGAN_HANG'!$Y:$Y,"Approved")</f>
        <v/>
      </c>
      <c r="H76">
        <f>COUNTIFS('30_NGAN_HANG'!$E:$E,$A76,'30_NGAN_HANG'!$F:$F,$B76,'30_NGAN_HANG'!$D:$D,"文法",'30_NGAN_HANG'!$Y:$Y,"Approved")</f>
        <v/>
      </c>
      <c r="I76">
        <f>COUNTIFS('30_NGAN_HANG'!$E:$E,$A76,'30_NGAN_HANG'!$F:$F,$B76,'30_NGAN_HANG'!$D:$D,"会話の聴解",'30_NGAN_HANG'!$Y:$Y,"Approved")</f>
        <v/>
      </c>
      <c r="J76">
        <f>COUNTIFS('30_NGAN_HANG'!$E:$E,$A76,'30_NGAN_HANG'!$F:$F,$B76,'30_NGAN_HANG'!$D:$D,"アナウンス",'30_NGAN_HANG'!$Y:$Y,"Approved")</f>
        <v/>
      </c>
      <c r="K76">
        <f>COUNTIFS('30_NGAN_HANG'!$E:$E,$A76,'30_NGAN_HANG'!$F:$F,$B76,'30_NGAN_HANG'!$D:$D,"指示の聴解",'30_NGAN_HANG'!$Y:$Y,"Approved")</f>
        <v/>
      </c>
      <c r="L76">
        <f>COUNTIFS('30_NGAN_HANG'!$E:$E,$A76,'30_NGAN_HANG'!$F:$F,$B76,'30_NGAN_HANG'!$D:$D,"掲示の読解",'30_NGAN_HANG'!$Y:$Y,"Approved")</f>
        <v/>
      </c>
      <c r="M76">
        <f>COUNTIFS('30_NGAN_HANG'!$E:$E,$A76,'30_NGAN_HANG'!$F:$F,$B76,'30_NGAN_HANG'!$D:$D,"文章の読解",'30_NGAN_HANG'!$Y:$Y,"Approved")</f>
        <v/>
      </c>
      <c r="N76">
        <f>SUM(C76:M76)</f>
        <v/>
      </c>
    </row>
    <row r="77">
      <c r="A77" t="inlineStr">
        <is>
          <t>初級2</t>
        </is>
      </c>
      <c r="B77" t="n">
        <v>8</v>
      </c>
      <c r="C77">
        <f>COUNTIFS('30_NGAN_HANG'!$E:$E,$A77,'30_NGAN_HANG'!$F:$F,$B77,'30_NGAN_HANG'!$D:$D,"語の意味",'30_NGAN_HANG'!$Y:$Y,"Approved")</f>
        <v/>
      </c>
      <c r="D77">
        <f>COUNTIFS('30_NGAN_HANG'!$E:$E,$A77,'30_NGAN_HANG'!$F:$F,$B77,'30_NGAN_HANG'!$D:$D,"語の使い方",'30_NGAN_HANG'!$Y:$Y,"Approved")</f>
        <v/>
      </c>
      <c r="E77">
        <f>COUNTIFS('30_NGAN_HANG'!$E:$E,$A77,'30_NGAN_HANG'!$F:$F,$B77,'30_NGAN_HANG'!$D:$D,"漢字の読み",'30_NGAN_HANG'!$Y:$Y,"Approved")</f>
        <v/>
      </c>
      <c r="F77">
        <f>COUNTIFS('30_NGAN_HANG'!$E:$E,$A77,'30_NGAN_HANG'!$F:$F,$B77,'30_NGAN_HANG'!$D:$D,"漢字の表記",'30_NGAN_HANG'!$Y:$Y,"Approved")</f>
        <v/>
      </c>
      <c r="G77">
        <f>COUNTIFS('30_NGAN_HANG'!$E:$E,$A77,'30_NGAN_HANG'!$F:$F,$B77,'30_NGAN_HANG'!$D:$D,"表現",'30_NGAN_HANG'!$Y:$Y,"Approved")</f>
        <v/>
      </c>
      <c r="H77">
        <f>COUNTIFS('30_NGAN_HANG'!$E:$E,$A77,'30_NGAN_HANG'!$F:$F,$B77,'30_NGAN_HANG'!$D:$D,"文法",'30_NGAN_HANG'!$Y:$Y,"Approved")</f>
        <v/>
      </c>
      <c r="I77">
        <f>COUNTIFS('30_NGAN_HANG'!$E:$E,$A77,'30_NGAN_HANG'!$F:$F,$B77,'30_NGAN_HANG'!$D:$D,"会話の聴解",'30_NGAN_HANG'!$Y:$Y,"Approved")</f>
        <v/>
      </c>
      <c r="J77">
        <f>COUNTIFS('30_NGAN_HANG'!$E:$E,$A77,'30_NGAN_HANG'!$F:$F,$B77,'30_NGAN_HANG'!$D:$D,"アナウンス",'30_NGAN_HANG'!$Y:$Y,"Approved")</f>
        <v/>
      </c>
      <c r="K77">
        <f>COUNTIFS('30_NGAN_HANG'!$E:$E,$A77,'30_NGAN_HANG'!$F:$F,$B77,'30_NGAN_HANG'!$D:$D,"指示の聴解",'30_NGAN_HANG'!$Y:$Y,"Approved")</f>
        <v/>
      </c>
      <c r="L77">
        <f>COUNTIFS('30_NGAN_HANG'!$E:$E,$A77,'30_NGAN_HANG'!$F:$F,$B77,'30_NGAN_HANG'!$D:$D,"掲示の読解",'30_NGAN_HANG'!$Y:$Y,"Approved")</f>
        <v/>
      </c>
      <c r="M77">
        <f>COUNTIFS('30_NGAN_HANG'!$E:$E,$A77,'30_NGAN_HANG'!$F:$F,$B77,'30_NGAN_HANG'!$D:$D,"文章の読解",'30_NGAN_HANG'!$Y:$Y,"Approved")</f>
        <v/>
      </c>
      <c r="N77">
        <f>SUM(C77:M77)</f>
        <v/>
      </c>
    </row>
    <row r="78">
      <c r="A78" t="inlineStr">
        <is>
          <t>初級2</t>
        </is>
      </c>
      <c r="B78" t="n">
        <v>9</v>
      </c>
      <c r="C78">
        <f>COUNTIFS('30_NGAN_HANG'!$E:$E,$A78,'30_NGAN_HANG'!$F:$F,$B78,'30_NGAN_HANG'!$D:$D,"語の意味",'30_NGAN_HANG'!$Y:$Y,"Approved")</f>
        <v/>
      </c>
      <c r="D78">
        <f>COUNTIFS('30_NGAN_HANG'!$E:$E,$A78,'30_NGAN_HANG'!$F:$F,$B78,'30_NGAN_HANG'!$D:$D,"語の使い方",'30_NGAN_HANG'!$Y:$Y,"Approved")</f>
        <v/>
      </c>
      <c r="E78">
        <f>COUNTIFS('30_NGAN_HANG'!$E:$E,$A78,'30_NGAN_HANG'!$F:$F,$B78,'30_NGAN_HANG'!$D:$D,"漢字の読み",'30_NGAN_HANG'!$Y:$Y,"Approved")</f>
        <v/>
      </c>
      <c r="F78">
        <f>COUNTIFS('30_NGAN_HANG'!$E:$E,$A78,'30_NGAN_HANG'!$F:$F,$B78,'30_NGAN_HANG'!$D:$D,"漢字の表記",'30_NGAN_HANG'!$Y:$Y,"Approved")</f>
        <v/>
      </c>
      <c r="G78">
        <f>COUNTIFS('30_NGAN_HANG'!$E:$E,$A78,'30_NGAN_HANG'!$F:$F,$B78,'30_NGAN_HANG'!$D:$D,"表現",'30_NGAN_HANG'!$Y:$Y,"Approved")</f>
        <v/>
      </c>
      <c r="H78">
        <f>COUNTIFS('30_NGAN_HANG'!$E:$E,$A78,'30_NGAN_HANG'!$F:$F,$B78,'30_NGAN_HANG'!$D:$D,"文法",'30_NGAN_HANG'!$Y:$Y,"Approved")</f>
        <v/>
      </c>
      <c r="I78">
        <f>COUNTIFS('30_NGAN_HANG'!$E:$E,$A78,'30_NGAN_HANG'!$F:$F,$B78,'30_NGAN_HANG'!$D:$D,"会話の聴解",'30_NGAN_HANG'!$Y:$Y,"Approved")</f>
        <v/>
      </c>
      <c r="J78">
        <f>COUNTIFS('30_NGAN_HANG'!$E:$E,$A78,'30_NGAN_HANG'!$F:$F,$B78,'30_NGAN_HANG'!$D:$D,"アナウンス",'30_NGAN_HANG'!$Y:$Y,"Approved")</f>
        <v/>
      </c>
      <c r="K78">
        <f>COUNTIFS('30_NGAN_HANG'!$E:$E,$A78,'30_NGAN_HANG'!$F:$F,$B78,'30_NGAN_HANG'!$D:$D,"指示の聴解",'30_NGAN_HANG'!$Y:$Y,"Approved")</f>
        <v/>
      </c>
      <c r="L78">
        <f>COUNTIFS('30_NGAN_HANG'!$E:$E,$A78,'30_NGAN_HANG'!$F:$F,$B78,'30_NGAN_HANG'!$D:$D,"掲示の読解",'30_NGAN_HANG'!$Y:$Y,"Approved")</f>
        <v/>
      </c>
      <c r="M78">
        <f>COUNTIFS('30_NGAN_HANG'!$E:$E,$A78,'30_NGAN_HANG'!$F:$F,$B78,'30_NGAN_HANG'!$D:$D,"文章の読解",'30_NGAN_HANG'!$Y:$Y,"Approved")</f>
        <v/>
      </c>
      <c r="N78">
        <f>SUM(C78:M78)</f>
        <v/>
      </c>
    </row>
    <row r="79">
      <c r="A79" t="inlineStr">
        <is>
          <t>初級2</t>
        </is>
      </c>
      <c r="B79" t="n">
        <v>10</v>
      </c>
      <c r="C79">
        <f>COUNTIFS('30_NGAN_HANG'!$E:$E,$A79,'30_NGAN_HANG'!$F:$F,$B79,'30_NGAN_HANG'!$D:$D,"語の意味",'30_NGAN_HANG'!$Y:$Y,"Approved")</f>
        <v/>
      </c>
      <c r="D79">
        <f>COUNTIFS('30_NGAN_HANG'!$E:$E,$A79,'30_NGAN_HANG'!$F:$F,$B79,'30_NGAN_HANG'!$D:$D,"語の使い方",'30_NGAN_HANG'!$Y:$Y,"Approved")</f>
        <v/>
      </c>
      <c r="E79">
        <f>COUNTIFS('30_NGAN_HANG'!$E:$E,$A79,'30_NGAN_HANG'!$F:$F,$B79,'30_NGAN_HANG'!$D:$D,"漢字の読み",'30_NGAN_HANG'!$Y:$Y,"Approved")</f>
        <v/>
      </c>
      <c r="F79">
        <f>COUNTIFS('30_NGAN_HANG'!$E:$E,$A79,'30_NGAN_HANG'!$F:$F,$B79,'30_NGAN_HANG'!$D:$D,"漢字の表記",'30_NGAN_HANG'!$Y:$Y,"Approved")</f>
        <v/>
      </c>
      <c r="G79">
        <f>COUNTIFS('30_NGAN_HANG'!$E:$E,$A79,'30_NGAN_HANG'!$F:$F,$B79,'30_NGAN_HANG'!$D:$D,"表現",'30_NGAN_HANG'!$Y:$Y,"Approved")</f>
        <v/>
      </c>
      <c r="H79">
        <f>COUNTIFS('30_NGAN_HANG'!$E:$E,$A79,'30_NGAN_HANG'!$F:$F,$B79,'30_NGAN_HANG'!$D:$D,"文法",'30_NGAN_HANG'!$Y:$Y,"Approved")</f>
        <v/>
      </c>
      <c r="I79">
        <f>COUNTIFS('30_NGAN_HANG'!$E:$E,$A79,'30_NGAN_HANG'!$F:$F,$B79,'30_NGAN_HANG'!$D:$D,"会話の聴解",'30_NGAN_HANG'!$Y:$Y,"Approved")</f>
        <v/>
      </c>
      <c r="J79">
        <f>COUNTIFS('30_NGAN_HANG'!$E:$E,$A79,'30_NGAN_HANG'!$F:$F,$B79,'30_NGAN_HANG'!$D:$D,"アナウンス",'30_NGAN_HANG'!$Y:$Y,"Approved")</f>
        <v/>
      </c>
      <c r="K79">
        <f>COUNTIFS('30_NGAN_HANG'!$E:$E,$A79,'30_NGAN_HANG'!$F:$F,$B79,'30_NGAN_HANG'!$D:$D,"指示の聴解",'30_NGAN_HANG'!$Y:$Y,"Approved")</f>
        <v/>
      </c>
      <c r="L79">
        <f>COUNTIFS('30_NGAN_HANG'!$E:$E,$A79,'30_NGAN_HANG'!$F:$F,$B79,'30_NGAN_HANG'!$D:$D,"掲示の読解",'30_NGAN_HANG'!$Y:$Y,"Approved")</f>
        <v/>
      </c>
      <c r="M79">
        <f>COUNTIFS('30_NGAN_HANG'!$E:$E,$A79,'30_NGAN_HANG'!$F:$F,$B79,'30_NGAN_HANG'!$D:$D,"文章の読解",'30_NGAN_HANG'!$Y:$Y,"Approved")</f>
        <v/>
      </c>
      <c r="N79">
        <f>SUM(C79:M79)</f>
        <v/>
      </c>
    </row>
    <row r="80">
      <c r="A80" t="inlineStr">
        <is>
          <t>初級2</t>
        </is>
      </c>
      <c r="B80" t="n">
        <v>11</v>
      </c>
      <c r="C80">
        <f>COUNTIFS('30_NGAN_HANG'!$E:$E,$A80,'30_NGAN_HANG'!$F:$F,$B80,'30_NGAN_HANG'!$D:$D,"語の意味",'30_NGAN_HANG'!$Y:$Y,"Approved")</f>
        <v/>
      </c>
      <c r="D80">
        <f>COUNTIFS('30_NGAN_HANG'!$E:$E,$A80,'30_NGAN_HANG'!$F:$F,$B80,'30_NGAN_HANG'!$D:$D,"語の使い方",'30_NGAN_HANG'!$Y:$Y,"Approved")</f>
        <v/>
      </c>
      <c r="E80">
        <f>COUNTIFS('30_NGAN_HANG'!$E:$E,$A80,'30_NGAN_HANG'!$F:$F,$B80,'30_NGAN_HANG'!$D:$D,"漢字の読み",'30_NGAN_HANG'!$Y:$Y,"Approved")</f>
        <v/>
      </c>
      <c r="F80">
        <f>COUNTIFS('30_NGAN_HANG'!$E:$E,$A80,'30_NGAN_HANG'!$F:$F,$B80,'30_NGAN_HANG'!$D:$D,"漢字の表記",'30_NGAN_HANG'!$Y:$Y,"Approved")</f>
        <v/>
      </c>
      <c r="G80">
        <f>COUNTIFS('30_NGAN_HANG'!$E:$E,$A80,'30_NGAN_HANG'!$F:$F,$B80,'30_NGAN_HANG'!$D:$D,"表現",'30_NGAN_HANG'!$Y:$Y,"Approved")</f>
        <v/>
      </c>
      <c r="H80">
        <f>COUNTIFS('30_NGAN_HANG'!$E:$E,$A80,'30_NGAN_HANG'!$F:$F,$B80,'30_NGAN_HANG'!$D:$D,"文法",'30_NGAN_HANG'!$Y:$Y,"Approved")</f>
        <v/>
      </c>
      <c r="I80">
        <f>COUNTIFS('30_NGAN_HANG'!$E:$E,$A80,'30_NGAN_HANG'!$F:$F,$B80,'30_NGAN_HANG'!$D:$D,"会話の聴解",'30_NGAN_HANG'!$Y:$Y,"Approved")</f>
        <v/>
      </c>
      <c r="J80">
        <f>COUNTIFS('30_NGAN_HANG'!$E:$E,$A80,'30_NGAN_HANG'!$F:$F,$B80,'30_NGAN_HANG'!$D:$D,"アナウンス",'30_NGAN_HANG'!$Y:$Y,"Approved")</f>
        <v/>
      </c>
      <c r="K80">
        <f>COUNTIFS('30_NGAN_HANG'!$E:$E,$A80,'30_NGAN_HANG'!$F:$F,$B80,'30_NGAN_HANG'!$D:$D,"指示の聴解",'30_NGAN_HANG'!$Y:$Y,"Approved")</f>
        <v/>
      </c>
      <c r="L80">
        <f>COUNTIFS('30_NGAN_HANG'!$E:$E,$A80,'30_NGAN_HANG'!$F:$F,$B80,'30_NGAN_HANG'!$D:$D,"掲示の読解",'30_NGAN_HANG'!$Y:$Y,"Approved")</f>
        <v/>
      </c>
      <c r="M80">
        <f>COUNTIFS('30_NGAN_HANG'!$E:$E,$A80,'30_NGAN_HANG'!$F:$F,$B80,'30_NGAN_HANG'!$D:$D,"文章の読解",'30_NGAN_HANG'!$Y:$Y,"Approved")</f>
        <v/>
      </c>
      <c r="N80">
        <f>SUM(C80:M80)</f>
        <v/>
      </c>
    </row>
    <row r="81">
      <c r="A81" t="inlineStr">
        <is>
          <t>初級2</t>
        </is>
      </c>
      <c r="B81" t="n">
        <v>12</v>
      </c>
      <c r="C81">
        <f>COUNTIFS('30_NGAN_HANG'!$E:$E,$A81,'30_NGAN_HANG'!$F:$F,$B81,'30_NGAN_HANG'!$D:$D,"語の意味",'30_NGAN_HANG'!$Y:$Y,"Approved")</f>
        <v/>
      </c>
      <c r="D81">
        <f>COUNTIFS('30_NGAN_HANG'!$E:$E,$A81,'30_NGAN_HANG'!$F:$F,$B81,'30_NGAN_HANG'!$D:$D,"語の使い方",'30_NGAN_HANG'!$Y:$Y,"Approved")</f>
        <v/>
      </c>
      <c r="E81">
        <f>COUNTIFS('30_NGAN_HANG'!$E:$E,$A81,'30_NGAN_HANG'!$F:$F,$B81,'30_NGAN_HANG'!$D:$D,"漢字の読み",'30_NGAN_HANG'!$Y:$Y,"Approved")</f>
        <v/>
      </c>
      <c r="F81">
        <f>COUNTIFS('30_NGAN_HANG'!$E:$E,$A81,'30_NGAN_HANG'!$F:$F,$B81,'30_NGAN_HANG'!$D:$D,"漢字の表記",'30_NGAN_HANG'!$Y:$Y,"Approved")</f>
        <v/>
      </c>
      <c r="G81">
        <f>COUNTIFS('30_NGAN_HANG'!$E:$E,$A81,'30_NGAN_HANG'!$F:$F,$B81,'30_NGAN_HANG'!$D:$D,"表現",'30_NGAN_HANG'!$Y:$Y,"Approved")</f>
        <v/>
      </c>
      <c r="H81">
        <f>COUNTIFS('30_NGAN_HANG'!$E:$E,$A81,'30_NGAN_HANG'!$F:$F,$B81,'30_NGAN_HANG'!$D:$D,"文法",'30_NGAN_HANG'!$Y:$Y,"Approved")</f>
        <v/>
      </c>
      <c r="I81">
        <f>COUNTIFS('30_NGAN_HANG'!$E:$E,$A81,'30_NGAN_HANG'!$F:$F,$B81,'30_NGAN_HANG'!$D:$D,"会話の聴解",'30_NGAN_HANG'!$Y:$Y,"Approved")</f>
        <v/>
      </c>
      <c r="J81">
        <f>COUNTIFS('30_NGAN_HANG'!$E:$E,$A81,'30_NGAN_HANG'!$F:$F,$B81,'30_NGAN_HANG'!$D:$D,"アナウンス",'30_NGAN_HANG'!$Y:$Y,"Approved")</f>
        <v/>
      </c>
      <c r="K81">
        <f>COUNTIFS('30_NGAN_HANG'!$E:$E,$A81,'30_NGAN_HANG'!$F:$F,$B81,'30_NGAN_HANG'!$D:$D,"指示の聴解",'30_NGAN_HANG'!$Y:$Y,"Approved")</f>
        <v/>
      </c>
      <c r="L81">
        <f>COUNTIFS('30_NGAN_HANG'!$E:$E,$A81,'30_NGAN_HANG'!$F:$F,$B81,'30_NGAN_HANG'!$D:$D,"掲示の読解",'30_NGAN_HANG'!$Y:$Y,"Approved")</f>
        <v/>
      </c>
      <c r="M81">
        <f>COUNTIFS('30_NGAN_HANG'!$E:$E,$A81,'30_NGAN_HANG'!$F:$F,$B81,'30_NGAN_HANG'!$D:$D,"文章の読解",'30_NGAN_HANG'!$Y:$Y,"Approved")</f>
        <v/>
      </c>
      <c r="N81">
        <f>SUM(C81:M81)</f>
        <v/>
      </c>
    </row>
    <row r="82">
      <c r="A82" t="inlineStr">
        <is>
          <t>初級2</t>
        </is>
      </c>
      <c r="B82" t="n">
        <v>13</v>
      </c>
      <c r="C82">
        <f>COUNTIFS('30_NGAN_HANG'!$E:$E,$A82,'30_NGAN_HANG'!$F:$F,$B82,'30_NGAN_HANG'!$D:$D,"語の意味",'30_NGAN_HANG'!$Y:$Y,"Approved")</f>
        <v/>
      </c>
      <c r="D82">
        <f>COUNTIFS('30_NGAN_HANG'!$E:$E,$A82,'30_NGAN_HANG'!$F:$F,$B82,'30_NGAN_HANG'!$D:$D,"語の使い方",'30_NGAN_HANG'!$Y:$Y,"Approved")</f>
        <v/>
      </c>
      <c r="E82">
        <f>COUNTIFS('30_NGAN_HANG'!$E:$E,$A82,'30_NGAN_HANG'!$F:$F,$B82,'30_NGAN_HANG'!$D:$D,"漢字の読み",'30_NGAN_HANG'!$Y:$Y,"Approved")</f>
        <v/>
      </c>
      <c r="F82">
        <f>COUNTIFS('30_NGAN_HANG'!$E:$E,$A82,'30_NGAN_HANG'!$F:$F,$B82,'30_NGAN_HANG'!$D:$D,"漢字の表記",'30_NGAN_HANG'!$Y:$Y,"Approved")</f>
        <v/>
      </c>
      <c r="G82">
        <f>COUNTIFS('30_NGAN_HANG'!$E:$E,$A82,'30_NGAN_HANG'!$F:$F,$B82,'30_NGAN_HANG'!$D:$D,"表現",'30_NGAN_HANG'!$Y:$Y,"Approved")</f>
        <v/>
      </c>
      <c r="H82">
        <f>COUNTIFS('30_NGAN_HANG'!$E:$E,$A82,'30_NGAN_HANG'!$F:$F,$B82,'30_NGAN_HANG'!$D:$D,"文法",'30_NGAN_HANG'!$Y:$Y,"Approved")</f>
        <v/>
      </c>
      <c r="I82">
        <f>COUNTIFS('30_NGAN_HANG'!$E:$E,$A82,'30_NGAN_HANG'!$F:$F,$B82,'30_NGAN_HANG'!$D:$D,"会話の聴解",'30_NGAN_HANG'!$Y:$Y,"Approved")</f>
        <v/>
      </c>
      <c r="J82">
        <f>COUNTIFS('30_NGAN_HANG'!$E:$E,$A82,'30_NGAN_HANG'!$F:$F,$B82,'30_NGAN_HANG'!$D:$D,"アナウンス",'30_NGAN_HANG'!$Y:$Y,"Approved")</f>
        <v/>
      </c>
      <c r="K82">
        <f>COUNTIFS('30_NGAN_HANG'!$E:$E,$A82,'30_NGAN_HANG'!$F:$F,$B82,'30_NGAN_HANG'!$D:$D,"指示の聴解",'30_NGAN_HANG'!$Y:$Y,"Approved")</f>
        <v/>
      </c>
      <c r="L82">
        <f>COUNTIFS('30_NGAN_HANG'!$E:$E,$A82,'30_NGAN_HANG'!$F:$F,$B82,'30_NGAN_HANG'!$D:$D,"掲示の読解",'30_NGAN_HANG'!$Y:$Y,"Approved")</f>
        <v/>
      </c>
      <c r="M82">
        <f>COUNTIFS('30_NGAN_HANG'!$E:$E,$A82,'30_NGAN_HANG'!$F:$F,$B82,'30_NGAN_HANG'!$D:$D,"文章の読解",'30_NGAN_HANG'!$Y:$Y,"Approved")</f>
        <v/>
      </c>
      <c r="N82">
        <f>SUM(C82:M82)</f>
        <v/>
      </c>
    </row>
    <row r="83">
      <c r="A83" t="inlineStr">
        <is>
          <t>初級2</t>
        </is>
      </c>
      <c r="B83" t="n">
        <v>14</v>
      </c>
      <c r="C83">
        <f>COUNTIFS('30_NGAN_HANG'!$E:$E,$A83,'30_NGAN_HANG'!$F:$F,$B83,'30_NGAN_HANG'!$D:$D,"語の意味",'30_NGAN_HANG'!$Y:$Y,"Approved")</f>
        <v/>
      </c>
      <c r="D83">
        <f>COUNTIFS('30_NGAN_HANG'!$E:$E,$A83,'30_NGAN_HANG'!$F:$F,$B83,'30_NGAN_HANG'!$D:$D,"語の使い方",'30_NGAN_HANG'!$Y:$Y,"Approved")</f>
        <v/>
      </c>
      <c r="E83">
        <f>COUNTIFS('30_NGAN_HANG'!$E:$E,$A83,'30_NGAN_HANG'!$F:$F,$B83,'30_NGAN_HANG'!$D:$D,"漢字の読み",'30_NGAN_HANG'!$Y:$Y,"Approved")</f>
        <v/>
      </c>
      <c r="F83">
        <f>COUNTIFS('30_NGAN_HANG'!$E:$E,$A83,'30_NGAN_HANG'!$F:$F,$B83,'30_NGAN_HANG'!$D:$D,"漢字の表記",'30_NGAN_HANG'!$Y:$Y,"Approved")</f>
        <v/>
      </c>
      <c r="G83">
        <f>COUNTIFS('30_NGAN_HANG'!$E:$E,$A83,'30_NGAN_HANG'!$F:$F,$B83,'30_NGAN_HANG'!$D:$D,"表現",'30_NGAN_HANG'!$Y:$Y,"Approved")</f>
        <v/>
      </c>
      <c r="H83">
        <f>COUNTIFS('30_NGAN_HANG'!$E:$E,$A83,'30_NGAN_HANG'!$F:$F,$B83,'30_NGAN_HANG'!$D:$D,"文法",'30_NGAN_HANG'!$Y:$Y,"Approved")</f>
        <v/>
      </c>
      <c r="I83">
        <f>COUNTIFS('30_NGAN_HANG'!$E:$E,$A83,'30_NGAN_HANG'!$F:$F,$B83,'30_NGAN_HANG'!$D:$D,"会話の聴解",'30_NGAN_HANG'!$Y:$Y,"Approved")</f>
        <v/>
      </c>
      <c r="J83">
        <f>COUNTIFS('30_NGAN_HANG'!$E:$E,$A83,'30_NGAN_HANG'!$F:$F,$B83,'30_NGAN_HANG'!$D:$D,"アナウンス",'30_NGAN_HANG'!$Y:$Y,"Approved")</f>
        <v/>
      </c>
      <c r="K83">
        <f>COUNTIFS('30_NGAN_HANG'!$E:$E,$A83,'30_NGAN_HANG'!$F:$F,$B83,'30_NGAN_HANG'!$D:$D,"指示の聴解",'30_NGAN_HANG'!$Y:$Y,"Approved")</f>
        <v/>
      </c>
      <c r="L83">
        <f>COUNTIFS('30_NGAN_HANG'!$E:$E,$A83,'30_NGAN_HANG'!$F:$F,$B83,'30_NGAN_HANG'!$D:$D,"掲示の読解",'30_NGAN_HANG'!$Y:$Y,"Approved")</f>
        <v/>
      </c>
      <c r="M83">
        <f>COUNTIFS('30_NGAN_HANG'!$E:$E,$A83,'30_NGAN_HANG'!$F:$F,$B83,'30_NGAN_HANG'!$D:$D,"文章の読解",'30_NGAN_HANG'!$Y:$Y,"Approved")</f>
        <v/>
      </c>
      <c r="N83">
        <f>SUM(C83:M83)</f>
        <v/>
      </c>
    </row>
    <row r="84">
      <c r="A84" t="inlineStr">
        <is>
          <t>初級2</t>
        </is>
      </c>
      <c r="B84" t="n">
        <v>15</v>
      </c>
      <c r="C84">
        <f>COUNTIFS('30_NGAN_HANG'!$E:$E,$A84,'30_NGAN_HANG'!$F:$F,$B84,'30_NGAN_HANG'!$D:$D,"語の意味",'30_NGAN_HANG'!$Y:$Y,"Approved")</f>
        <v/>
      </c>
      <c r="D84">
        <f>COUNTIFS('30_NGAN_HANG'!$E:$E,$A84,'30_NGAN_HANG'!$F:$F,$B84,'30_NGAN_HANG'!$D:$D,"語の使い方",'30_NGAN_HANG'!$Y:$Y,"Approved")</f>
        <v/>
      </c>
      <c r="E84">
        <f>COUNTIFS('30_NGAN_HANG'!$E:$E,$A84,'30_NGAN_HANG'!$F:$F,$B84,'30_NGAN_HANG'!$D:$D,"漢字の読み",'30_NGAN_HANG'!$Y:$Y,"Approved")</f>
        <v/>
      </c>
      <c r="F84">
        <f>COUNTIFS('30_NGAN_HANG'!$E:$E,$A84,'30_NGAN_HANG'!$F:$F,$B84,'30_NGAN_HANG'!$D:$D,"漢字の表記",'30_NGAN_HANG'!$Y:$Y,"Approved")</f>
        <v/>
      </c>
      <c r="G84">
        <f>COUNTIFS('30_NGAN_HANG'!$E:$E,$A84,'30_NGAN_HANG'!$F:$F,$B84,'30_NGAN_HANG'!$D:$D,"表現",'30_NGAN_HANG'!$Y:$Y,"Approved")</f>
        <v/>
      </c>
      <c r="H84">
        <f>COUNTIFS('30_NGAN_HANG'!$E:$E,$A84,'30_NGAN_HANG'!$F:$F,$B84,'30_NGAN_HANG'!$D:$D,"文法",'30_NGAN_HANG'!$Y:$Y,"Approved")</f>
        <v/>
      </c>
      <c r="I84">
        <f>COUNTIFS('30_NGAN_HANG'!$E:$E,$A84,'30_NGAN_HANG'!$F:$F,$B84,'30_NGAN_HANG'!$D:$D,"会話の聴解",'30_NGAN_HANG'!$Y:$Y,"Approved")</f>
        <v/>
      </c>
      <c r="J84">
        <f>COUNTIFS('30_NGAN_HANG'!$E:$E,$A84,'30_NGAN_HANG'!$F:$F,$B84,'30_NGAN_HANG'!$D:$D,"アナウンス",'30_NGAN_HANG'!$Y:$Y,"Approved")</f>
        <v/>
      </c>
      <c r="K84">
        <f>COUNTIFS('30_NGAN_HANG'!$E:$E,$A84,'30_NGAN_HANG'!$F:$F,$B84,'30_NGAN_HANG'!$D:$D,"指示の聴解",'30_NGAN_HANG'!$Y:$Y,"Approved")</f>
        <v/>
      </c>
      <c r="L84">
        <f>COUNTIFS('30_NGAN_HANG'!$E:$E,$A84,'30_NGAN_HANG'!$F:$F,$B84,'30_NGAN_HANG'!$D:$D,"掲示の読解",'30_NGAN_HANG'!$Y:$Y,"Approved")</f>
        <v/>
      </c>
      <c r="M84">
        <f>COUNTIFS('30_NGAN_HANG'!$E:$E,$A84,'30_NGAN_HANG'!$F:$F,$B84,'30_NGAN_HANG'!$D:$D,"文章の読解",'30_NGAN_HANG'!$Y:$Y,"Approved")</f>
        <v/>
      </c>
      <c r="N84">
        <f>SUM(C84:M84)</f>
        <v/>
      </c>
    </row>
    <row r="85">
      <c r="A85" t="inlineStr">
        <is>
          <t>初級2</t>
        </is>
      </c>
      <c r="B85" t="n">
        <v>16</v>
      </c>
      <c r="C85">
        <f>COUNTIFS('30_NGAN_HANG'!$E:$E,$A85,'30_NGAN_HANG'!$F:$F,$B85,'30_NGAN_HANG'!$D:$D,"語の意味",'30_NGAN_HANG'!$Y:$Y,"Approved")</f>
        <v/>
      </c>
      <c r="D85">
        <f>COUNTIFS('30_NGAN_HANG'!$E:$E,$A85,'30_NGAN_HANG'!$F:$F,$B85,'30_NGAN_HANG'!$D:$D,"語の使い方",'30_NGAN_HANG'!$Y:$Y,"Approved")</f>
        <v/>
      </c>
      <c r="E85">
        <f>COUNTIFS('30_NGAN_HANG'!$E:$E,$A85,'30_NGAN_HANG'!$F:$F,$B85,'30_NGAN_HANG'!$D:$D,"漢字の読み",'30_NGAN_HANG'!$Y:$Y,"Approved")</f>
        <v/>
      </c>
      <c r="F85">
        <f>COUNTIFS('30_NGAN_HANG'!$E:$E,$A85,'30_NGAN_HANG'!$F:$F,$B85,'30_NGAN_HANG'!$D:$D,"漢字の表記",'30_NGAN_HANG'!$Y:$Y,"Approved")</f>
        <v/>
      </c>
      <c r="G85">
        <f>COUNTIFS('30_NGAN_HANG'!$E:$E,$A85,'30_NGAN_HANG'!$F:$F,$B85,'30_NGAN_HANG'!$D:$D,"表現",'30_NGAN_HANG'!$Y:$Y,"Approved")</f>
        <v/>
      </c>
      <c r="H85">
        <f>COUNTIFS('30_NGAN_HANG'!$E:$E,$A85,'30_NGAN_HANG'!$F:$F,$B85,'30_NGAN_HANG'!$D:$D,"文法",'30_NGAN_HANG'!$Y:$Y,"Approved")</f>
        <v/>
      </c>
      <c r="I85">
        <f>COUNTIFS('30_NGAN_HANG'!$E:$E,$A85,'30_NGAN_HANG'!$F:$F,$B85,'30_NGAN_HANG'!$D:$D,"会話の聴解",'30_NGAN_HANG'!$Y:$Y,"Approved")</f>
        <v/>
      </c>
      <c r="J85">
        <f>COUNTIFS('30_NGAN_HANG'!$E:$E,$A85,'30_NGAN_HANG'!$F:$F,$B85,'30_NGAN_HANG'!$D:$D,"アナウンス",'30_NGAN_HANG'!$Y:$Y,"Approved")</f>
        <v/>
      </c>
      <c r="K85">
        <f>COUNTIFS('30_NGAN_HANG'!$E:$E,$A85,'30_NGAN_HANG'!$F:$F,$B85,'30_NGAN_HANG'!$D:$D,"指示の聴解",'30_NGAN_HANG'!$Y:$Y,"Approved")</f>
        <v/>
      </c>
      <c r="L85">
        <f>COUNTIFS('30_NGAN_HANG'!$E:$E,$A85,'30_NGAN_HANG'!$F:$F,$B85,'30_NGAN_HANG'!$D:$D,"掲示の読解",'30_NGAN_HANG'!$Y:$Y,"Approved")</f>
        <v/>
      </c>
      <c r="M85">
        <f>COUNTIFS('30_NGAN_HANG'!$E:$E,$A85,'30_NGAN_HANG'!$F:$F,$B85,'30_NGAN_HANG'!$D:$D,"文章の読解",'30_NGAN_HANG'!$Y:$Y,"Approved")</f>
        <v/>
      </c>
      <c r="N85">
        <f>SUM(C85:M85)</f>
        <v/>
      </c>
    </row>
    <row r="86">
      <c r="A86" t="inlineStr">
        <is>
          <t>初級2</t>
        </is>
      </c>
      <c r="B86" t="n">
        <v>17</v>
      </c>
      <c r="C86">
        <f>COUNTIFS('30_NGAN_HANG'!$E:$E,$A86,'30_NGAN_HANG'!$F:$F,$B86,'30_NGAN_HANG'!$D:$D,"語の意味",'30_NGAN_HANG'!$Y:$Y,"Approved")</f>
        <v/>
      </c>
      <c r="D86">
        <f>COUNTIFS('30_NGAN_HANG'!$E:$E,$A86,'30_NGAN_HANG'!$F:$F,$B86,'30_NGAN_HANG'!$D:$D,"語の使い方",'30_NGAN_HANG'!$Y:$Y,"Approved")</f>
        <v/>
      </c>
      <c r="E86">
        <f>COUNTIFS('30_NGAN_HANG'!$E:$E,$A86,'30_NGAN_HANG'!$F:$F,$B86,'30_NGAN_HANG'!$D:$D,"漢字の読み",'30_NGAN_HANG'!$Y:$Y,"Approved")</f>
        <v/>
      </c>
      <c r="F86">
        <f>COUNTIFS('30_NGAN_HANG'!$E:$E,$A86,'30_NGAN_HANG'!$F:$F,$B86,'30_NGAN_HANG'!$D:$D,"漢字の表記",'30_NGAN_HANG'!$Y:$Y,"Approved")</f>
        <v/>
      </c>
      <c r="G86">
        <f>COUNTIFS('30_NGAN_HANG'!$E:$E,$A86,'30_NGAN_HANG'!$F:$F,$B86,'30_NGAN_HANG'!$D:$D,"表現",'30_NGAN_HANG'!$Y:$Y,"Approved")</f>
        <v/>
      </c>
      <c r="H86">
        <f>COUNTIFS('30_NGAN_HANG'!$E:$E,$A86,'30_NGAN_HANG'!$F:$F,$B86,'30_NGAN_HANG'!$D:$D,"文法",'30_NGAN_HANG'!$Y:$Y,"Approved")</f>
        <v/>
      </c>
      <c r="I86">
        <f>COUNTIFS('30_NGAN_HANG'!$E:$E,$A86,'30_NGAN_HANG'!$F:$F,$B86,'30_NGAN_HANG'!$D:$D,"会話の聴解",'30_NGAN_HANG'!$Y:$Y,"Approved")</f>
        <v/>
      </c>
      <c r="J86">
        <f>COUNTIFS('30_NGAN_HANG'!$E:$E,$A86,'30_NGAN_HANG'!$F:$F,$B86,'30_NGAN_HANG'!$D:$D,"アナウンス",'30_NGAN_HANG'!$Y:$Y,"Approved")</f>
        <v/>
      </c>
      <c r="K86">
        <f>COUNTIFS('30_NGAN_HANG'!$E:$E,$A86,'30_NGAN_HANG'!$F:$F,$B86,'30_NGAN_HANG'!$D:$D,"指示の聴解",'30_NGAN_HANG'!$Y:$Y,"Approved")</f>
        <v/>
      </c>
      <c r="L86">
        <f>COUNTIFS('30_NGAN_HANG'!$E:$E,$A86,'30_NGAN_HANG'!$F:$F,$B86,'30_NGAN_HANG'!$D:$D,"掲示の読解",'30_NGAN_HANG'!$Y:$Y,"Approved")</f>
        <v/>
      </c>
      <c r="M86">
        <f>COUNTIFS('30_NGAN_HANG'!$E:$E,$A86,'30_NGAN_HANG'!$F:$F,$B86,'30_NGAN_HANG'!$D:$D,"文章の読解",'30_NGAN_HANG'!$Y:$Y,"Approved")</f>
        <v/>
      </c>
      <c r="N86">
        <f>SUM(C86:M86)</f>
        <v/>
      </c>
    </row>
    <row r="87">
      <c r="A87" t="inlineStr">
        <is>
          <t>初級2</t>
        </is>
      </c>
      <c r="B87" t="n">
        <v>18</v>
      </c>
      <c r="C87">
        <f>COUNTIFS('30_NGAN_HANG'!$E:$E,$A87,'30_NGAN_HANG'!$F:$F,$B87,'30_NGAN_HANG'!$D:$D,"語の意味",'30_NGAN_HANG'!$Y:$Y,"Approved")</f>
        <v/>
      </c>
      <c r="D87">
        <f>COUNTIFS('30_NGAN_HANG'!$E:$E,$A87,'30_NGAN_HANG'!$F:$F,$B87,'30_NGAN_HANG'!$D:$D,"語の使い方",'30_NGAN_HANG'!$Y:$Y,"Approved")</f>
        <v/>
      </c>
      <c r="E87">
        <f>COUNTIFS('30_NGAN_HANG'!$E:$E,$A87,'30_NGAN_HANG'!$F:$F,$B87,'30_NGAN_HANG'!$D:$D,"漢字の読み",'30_NGAN_HANG'!$Y:$Y,"Approved")</f>
        <v/>
      </c>
      <c r="F87">
        <f>COUNTIFS('30_NGAN_HANG'!$E:$E,$A87,'30_NGAN_HANG'!$F:$F,$B87,'30_NGAN_HANG'!$D:$D,"漢字の表記",'30_NGAN_HANG'!$Y:$Y,"Approved")</f>
        <v/>
      </c>
      <c r="G87">
        <f>COUNTIFS('30_NGAN_HANG'!$E:$E,$A87,'30_NGAN_HANG'!$F:$F,$B87,'30_NGAN_HANG'!$D:$D,"表現",'30_NGAN_HANG'!$Y:$Y,"Approved")</f>
        <v/>
      </c>
      <c r="H87">
        <f>COUNTIFS('30_NGAN_HANG'!$E:$E,$A87,'30_NGAN_HANG'!$F:$F,$B87,'30_NGAN_HANG'!$D:$D,"文法",'30_NGAN_HANG'!$Y:$Y,"Approved")</f>
        <v/>
      </c>
      <c r="I87">
        <f>COUNTIFS('30_NGAN_HANG'!$E:$E,$A87,'30_NGAN_HANG'!$F:$F,$B87,'30_NGAN_HANG'!$D:$D,"会話の聴解",'30_NGAN_HANG'!$Y:$Y,"Approved")</f>
        <v/>
      </c>
      <c r="J87">
        <f>COUNTIFS('30_NGAN_HANG'!$E:$E,$A87,'30_NGAN_HANG'!$F:$F,$B87,'30_NGAN_HANG'!$D:$D,"アナウンス",'30_NGAN_HANG'!$Y:$Y,"Approved")</f>
        <v/>
      </c>
      <c r="K87">
        <f>COUNTIFS('30_NGAN_HANG'!$E:$E,$A87,'30_NGAN_HANG'!$F:$F,$B87,'30_NGAN_HANG'!$D:$D,"指示の聴解",'30_NGAN_HANG'!$Y:$Y,"Approved")</f>
        <v/>
      </c>
      <c r="L87">
        <f>COUNTIFS('30_NGAN_HANG'!$E:$E,$A87,'30_NGAN_HANG'!$F:$F,$B87,'30_NGAN_HANG'!$D:$D,"掲示の読解",'30_NGAN_HANG'!$Y:$Y,"Approved")</f>
        <v/>
      </c>
      <c r="M87">
        <f>COUNTIFS('30_NGAN_HANG'!$E:$E,$A87,'30_NGAN_HANG'!$F:$F,$B87,'30_NGAN_HANG'!$D:$D,"文章の読解",'30_NGAN_HANG'!$Y:$Y,"Approved")</f>
        <v/>
      </c>
      <c r="N87">
        <f>SUM(C87:M87)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K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40" customWidth="1" min="4" max="4"/>
    <col width="40" customWidth="1" min="5" max="5"/>
    <col width="36" customWidth="1" min="6" max="6"/>
    <col width="18" customWidth="1" min="7" max="7"/>
    <col width="24" customWidth="1" min="8" max="8"/>
    <col width="30" customWidth="1" min="9" max="9"/>
    <col width="24" customWidth="1" min="10" max="10"/>
    <col width="30" customWidth="1" min="11" max="11"/>
  </cols>
  <sheetData>
    <row r="1" ht="42" customHeight="1">
      <c r="A1" s="8" t="inlineStr">
        <is>
          <t>Quyển</t>
        </is>
      </c>
      <c r="B1" s="8" t="inlineStr">
        <is>
          <t>Bài</t>
        </is>
      </c>
      <c r="C1" s="8" t="inlineStr">
        <is>
          <t>Chủ đề bài</t>
        </is>
      </c>
      <c r="D1" s="9" t="inlineStr">
        <is>
          <t>Từ (dạng xuất hiện trong sách)</t>
        </is>
      </c>
      <c r="E1" s="9" t="inlineStr">
        <is>
          <t>Cách đọc (hiragana)</t>
        </is>
      </c>
      <c r="F1" s="9" t="inlineStr">
        <is>
          <t>Nghĩa tiếng Việt</t>
        </is>
      </c>
      <c r="G1" s="9" t="inlineStr">
        <is>
          <t>Từ loại</t>
        </is>
      </c>
      <c r="H1" s="9" t="inlineStr">
        <is>
          <t>Nhóm nghĩa</t>
        </is>
      </c>
      <c r="I1" s="9" t="inlineStr">
        <is>
          <t>Vẽ hình được?</t>
        </is>
      </c>
      <c r="J1" s="9" t="inlineStr">
        <is>
          <t>Từ dễ nhầm</t>
        </is>
      </c>
      <c r="K1" s="10" t="inlineStr">
        <is>
          <t>Đã dùng (lần)</t>
        </is>
      </c>
    </row>
    <row r="2"/>
  </sheetData>
  <dataValidations count="1">
    <dataValidation sqref="A2:A500" showDropDown="0" showInputMessage="0" showErrorMessage="0" allowBlank="1" type="list">
      <formula1>='99_DANH_MUC'!$A$2:$A$4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J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4" customWidth="1" min="4" max="4"/>
    <col width="40" customWidth="1" min="5" max="5"/>
    <col width="40" customWidth="1" min="6" max="6"/>
    <col width="14" customWidth="1" min="7" max="7"/>
    <col width="16" customWidth="1" min="8" max="8"/>
    <col width="36" customWidth="1" min="9" max="9"/>
    <col width="30" customWidth="1" min="10" max="10"/>
  </cols>
  <sheetData>
    <row r="1" ht="42" customHeight="1">
      <c r="A1" s="8" t="inlineStr">
        <is>
          <t>Quyển</t>
        </is>
      </c>
      <c r="B1" s="8" t="inlineStr">
        <is>
          <t>Bài</t>
        </is>
      </c>
      <c r="C1" s="8" t="inlineStr">
        <is>
          <t>Chủ đề bài</t>
        </is>
      </c>
      <c r="D1" s="9" t="inlineStr">
        <is>
          <t>Kanji</t>
        </is>
      </c>
      <c r="E1" s="9" t="inlineStr">
        <is>
          <t>Từ chứa kanji (trong sách)</t>
        </is>
      </c>
      <c r="F1" s="9" t="inlineStr">
        <is>
          <t>Cách đọc đúng của từ</t>
        </is>
      </c>
      <c r="G1" s="9" t="inlineStr">
        <is>
          <t>Âm On</t>
        </is>
      </c>
      <c r="H1" s="9" t="inlineStr">
        <is>
          <t>Âm Kun</t>
        </is>
      </c>
      <c r="I1" s="9" t="inlineStr">
        <is>
          <t>Kanji giống hình</t>
        </is>
      </c>
      <c r="J1" s="10" t="inlineStr">
        <is>
          <t>Đã dùng (lần)</t>
        </is>
      </c>
    </row>
    <row r="2"/>
  </sheetData>
  <dataValidations count="1">
    <dataValidation sqref="A2:A500" showDropDown="0" showInputMessage="0" showErrorMessage="0" allowBlank="1" type="list">
      <formula1>='99_DANH_MUC'!$A$2:$A$4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H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28" customWidth="1" min="4" max="4"/>
    <col width="22" customWidth="1" min="5" max="5"/>
    <col width="40" customWidth="1" min="6" max="6"/>
    <col width="40" customWidth="1" min="7" max="7"/>
    <col width="30" customWidth="1" min="8" max="8"/>
  </cols>
  <sheetData>
    <row r="1" ht="42" customHeight="1">
      <c r="A1" s="8" t="inlineStr">
        <is>
          <t>Quyển</t>
        </is>
      </c>
      <c r="B1" s="8" t="inlineStr">
        <is>
          <t>Bài</t>
        </is>
      </c>
      <c r="C1" s="8" t="inlineStr">
        <is>
          <t>Chủ đề bài</t>
        </is>
      </c>
      <c r="D1" s="9" t="inlineStr">
        <is>
          <t>Mẫu ngữ pháp</t>
        </is>
      </c>
      <c r="E1" s="9" t="inlineStr">
        <is>
          <t>Chức năng</t>
        </is>
      </c>
      <c r="F1" s="9" t="inlineStr">
        <is>
          <t>Câu ví dụ trong sách</t>
        </is>
      </c>
      <c r="G1" s="9" t="inlineStr">
        <is>
          <t>Trợ từ / mẫu dễ nhầm</t>
        </is>
      </c>
      <c r="H1" s="10" t="inlineStr">
        <is>
          <t>Đã dùng (lần)</t>
        </is>
      </c>
    </row>
    <row r="2"/>
  </sheetData>
  <dataValidations count="1">
    <dataValidation sqref="A2:A500" showDropDown="0" showInputMessage="0" showErrorMessage="0" allowBlank="1" type="list">
      <formula1>='99_DANH_MUC'!$A$2:$A$4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J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30" customWidth="1" min="4" max="4"/>
    <col width="30" customWidth="1" min="5" max="5"/>
    <col width="20" customWidth="1" min="6" max="6"/>
    <col width="40" customWidth="1" min="7" max="7"/>
    <col width="40" customWidth="1" min="8" max="8"/>
    <col width="30" customWidth="1" min="9" max="9"/>
    <col width="30" customWidth="1" min="10" max="10"/>
  </cols>
  <sheetData>
    <row r="1" ht="42" customHeight="1">
      <c r="A1" s="8" t="inlineStr">
        <is>
          <t>Quyển</t>
        </is>
      </c>
      <c r="B1" s="8" t="inlineStr">
        <is>
          <t>Bài</t>
        </is>
      </c>
      <c r="C1" s="8" t="inlineStr">
        <is>
          <t>Chủ đề bài</t>
        </is>
      </c>
      <c r="D1" s="9" t="inlineStr">
        <is>
          <t>Mã tình huống</t>
        </is>
      </c>
      <c r="E1" s="9" t="inlineStr">
        <is>
          <t>Can-do (いろどり)</t>
        </is>
      </c>
      <c r="F1" s="9" t="inlineStr">
        <is>
          <t>Địa điểm</t>
        </is>
      </c>
      <c r="G1" s="9" t="inlineStr">
        <is>
          <t>Nhân vật / quan hệ</t>
        </is>
      </c>
      <c r="H1" s="9" t="inlineStr">
        <is>
          <t>Từ khoá / mẫu câu chính</t>
        </is>
      </c>
      <c r="I1" s="9" t="inlineStr">
        <is>
          <t>Dùng cho dạng</t>
        </is>
      </c>
      <c r="J1" s="10" t="inlineStr">
        <is>
          <t>Đã dùng (lần)</t>
        </is>
      </c>
    </row>
    <row r="2"/>
  </sheetData>
  <dataValidations count="1">
    <dataValidation sqref="A2:A500" showDropDown="0" showInputMessage="0" showErrorMessage="0" allowBlank="1" type="list">
      <formula1>='99_DANH_MUC'!$A$2:$A$4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/>
  </sheetPr>
  <dimension ref="A1:P30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12" customWidth="1" min="4" max="4"/>
    <col width="34" customWidth="1" min="5" max="5"/>
    <col width="18" customWidth="1" min="6" max="6"/>
    <col width="36" customWidth="1" min="7" max="7"/>
    <col width="26" customWidth="1" min="8" max="8"/>
    <col width="36" customWidth="1" min="9" max="9"/>
    <col width="32" customWidth="1" min="10" max="10"/>
    <col width="32" customWidth="1" min="11" max="11"/>
    <col width="28" customWidth="1" min="12" max="12"/>
    <col width="24" customWidth="1" min="13" max="13"/>
    <col width="24" customWidth="1" min="14" max="14"/>
    <col width="32" customWidth="1" min="15" max="15"/>
    <col width="34" customWidth="1" min="16" max="16"/>
  </cols>
  <sheetData>
    <row r="1">
      <c r="A1" s="7" t="inlineStr">
        <is>
          <t>文字と語彙 › 語の意味  |  1 dòng = 1 yêu cầu sinh câu. Cam = bắt buộc, vàng = gợi ý cho AI.</t>
        </is>
      </c>
    </row>
    <row r="2" ht="42" customHeight="1">
      <c r="A2" s="8" t="inlineStr">
        <is>
          <t>Mã yêu cầu</t>
        </is>
      </c>
      <c r="B2" s="8" t="inlineStr">
        <is>
          <t>Mã đề (kế hoạch)</t>
        </is>
      </c>
      <c r="C2" s="8" t="inlineStr">
        <is>
          <t>Quyển</t>
        </is>
      </c>
      <c r="D2" s="8" t="inlineStr">
        <is>
          <t>Bài</t>
        </is>
      </c>
      <c r="E2" s="8" t="inlineStr">
        <is>
          <t>Số câu cần sinh</t>
        </is>
      </c>
      <c r="F2" s="9" t="inlineStr">
        <is>
          <t>Từ đích</t>
        </is>
      </c>
      <c r="G2" s="9" t="inlineStr">
        <is>
          <t>Nghĩa tiếng Việt</t>
        </is>
      </c>
      <c r="H2" s="13" t="inlineStr">
        <is>
          <t>Kiểu đáp án</t>
        </is>
      </c>
      <c r="I2" s="13" t="inlineStr">
        <is>
          <t>Ngữ cảnh câu hỏi</t>
        </is>
      </c>
      <c r="J2" s="13" t="inlineStr">
        <is>
          <t>Từ nhiễu gợi ý</t>
        </is>
      </c>
      <c r="K2" s="8" t="inlineStr">
        <is>
          <t>Ghi chú cho AI</t>
        </is>
      </c>
      <c r="L2" s="8" t="inlineStr">
        <is>
          <t>Công cụ sinh</t>
        </is>
      </c>
      <c r="M2" s="8" t="inlineStr">
        <is>
          <t>Người nhập</t>
        </is>
      </c>
      <c r="N2" s="8" t="inlineStr">
        <is>
          <t>Trạng thái</t>
        </is>
      </c>
      <c r="O2" s="10" t="inlineStr">
        <is>
          <t>Số câu đã sinh</t>
        </is>
      </c>
      <c r="P2" s="10" t="inlineStr">
        <is>
          <t>Số câu Approved</t>
        </is>
      </c>
    </row>
    <row r="3">
      <c r="A3" t="inlineStr">
        <is>
          <t>IN_01-0001</t>
        </is>
      </c>
      <c r="C3" t="inlineStr">
        <is>
          <t>入門</t>
        </is>
      </c>
      <c r="D3" t="n">
        <v>1</v>
      </c>
      <c r="E3" t="n">
        <v>3</v>
      </c>
      <c r="F3" t="inlineStr">
        <is>
          <t>会社</t>
        </is>
      </c>
      <c r="G3" t="inlineStr">
        <is>
          <t>công ty</t>
        </is>
      </c>
      <c r="H3" t="inlineStr">
        <is>
          <t>Hình 4 ô</t>
        </is>
      </c>
      <c r="I3" t="inlineStr">
        <is>
          <t>わたしの ___ は 大きいです。</t>
        </is>
      </c>
      <c r="J3" t="inlineStr">
        <is>
          <t>学校;病院;銀行</t>
        </is>
      </c>
      <c r="K3" t="inlineStr">
        <is>
          <t>VÍ DỤ — xoá dòng này khi dùng thật</t>
        </is>
      </c>
      <c r="L3" t="inlineStr">
        <is>
          <t>ChatGPT</t>
        </is>
      </c>
      <c r="N3" t="inlineStr">
        <is>
          <t>Nháp</t>
        </is>
      </c>
      <c r="O3">
        <f>IF(A3="","",COUNTIF('30_NGAN_HANG'!$B:$B,A3))</f>
        <v/>
      </c>
      <c r="P3">
        <f>IF(A3="","",COUNTIFS('30_NGAN_HANG'!$B:$B,A3,'30_NGAN_HANG'!$Y:$Y,"Approved"))</f>
        <v/>
      </c>
    </row>
    <row r="4">
      <c r="O4">
        <f>IF(A4="","",COUNTIF('30_NGAN_HANG'!$B:$B,A4))</f>
        <v/>
      </c>
      <c r="P4">
        <f>IF(A4="","",COUNTIFS('30_NGAN_HANG'!$B:$B,A4,'30_NGAN_HANG'!$Y:$Y,"Approved"))</f>
        <v/>
      </c>
    </row>
    <row r="5">
      <c r="O5">
        <f>IF(A5="","",COUNTIF('30_NGAN_HANG'!$B:$B,A5))</f>
        <v/>
      </c>
      <c r="P5">
        <f>IF(A5="","",COUNTIFS('30_NGAN_HANG'!$B:$B,A5,'30_NGAN_HANG'!$Y:$Y,"Approved"))</f>
        <v/>
      </c>
    </row>
    <row r="6">
      <c r="O6">
        <f>IF(A6="","",COUNTIF('30_NGAN_HANG'!$B:$B,A6))</f>
        <v/>
      </c>
      <c r="P6">
        <f>IF(A6="","",COUNTIFS('30_NGAN_HANG'!$B:$B,A6,'30_NGAN_HANG'!$Y:$Y,"Approved"))</f>
        <v/>
      </c>
    </row>
    <row r="7">
      <c r="O7">
        <f>IF(A7="","",COUNTIF('30_NGAN_HANG'!$B:$B,A7))</f>
        <v/>
      </c>
      <c r="P7">
        <f>IF(A7="","",COUNTIFS('30_NGAN_HANG'!$B:$B,A7,'30_NGAN_HANG'!$Y:$Y,"Approved"))</f>
        <v/>
      </c>
    </row>
    <row r="8">
      <c r="O8">
        <f>IF(A8="","",COUNTIF('30_NGAN_HANG'!$B:$B,A8))</f>
        <v/>
      </c>
      <c r="P8">
        <f>IF(A8="","",COUNTIFS('30_NGAN_HANG'!$B:$B,A8,'30_NGAN_HANG'!$Y:$Y,"Approved"))</f>
        <v/>
      </c>
    </row>
    <row r="9">
      <c r="O9">
        <f>IF(A9="","",COUNTIF('30_NGAN_HANG'!$B:$B,A9))</f>
        <v/>
      </c>
      <c r="P9">
        <f>IF(A9="","",COUNTIFS('30_NGAN_HANG'!$B:$B,A9,'30_NGAN_HANG'!$Y:$Y,"Approved"))</f>
        <v/>
      </c>
    </row>
    <row r="10">
      <c r="O10">
        <f>IF(A10="","",COUNTIF('30_NGAN_HANG'!$B:$B,A10))</f>
        <v/>
      </c>
      <c r="P10">
        <f>IF(A10="","",COUNTIFS('30_NGAN_HANG'!$B:$B,A10,'30_NGAN_HANG'!$Y:$Y,"Approved"))</f>
        <v/>
      </c>
    </row>
    <row r="11">
      <c r="O11">
        <f>IF(A11="","",COUNTIF('30_NGAN_HANG'!$B:$B,A11))</f>
        <v/>
      </c>
      <c r="P11">
        <f>IF(A11="","",COUNTIFS('30_NGAN_HANG'!$B:$B,A11,'30_NGAN_HANG'!$Y:$Y,"Approved"))</f>
        <v/>
      </c>
    </row>
    <row r="12">
      <c r="O12">
        <f>IF(A12="","",COUNTIF('30_NGAN_HANG'!$B:$B,A12))</f>
        <v/>
      </c>
      <c r="P12">
        <f>IF(A12="","",COUNTIFS('30_NGAN_HANG'!$B:$B,A12,'30_NGAN_HANG'!$Y:$Y,"Approved"))</f>
        <v/>
      </c>
    </row>
    <row r="13">
      <c r="O13">
        <f>IF(A13="","",COUNTIF('30_NGAN_HANG'!$B:$B,A13))</f>
        <v/>
      </c>
      <c r="P13">
        <f>IF(A13="","",COUNTIFS('30_NGAN_HANG'!$B:$B,A13,'30_NGAN_HANG'!$Y:$Y,"Approved"))</f>
        <v/>
      </c>
    </row>
    <row r="14">
      <c r="O14">
        <f>IF(A14="","",COUNTIF('30_NGAN_HANG'!$B:$B,A14))</f>
        <v/>
      </c>
      <c r="P14">
        <f>IF(A14="","",COUNTIFS('30_NGAN_HANG'!$B:$B,A14,'30_NGAN_HANG'!$Y:$Y,"Approved"))</f>
        <v/>
      </c>
    </row>
    <row r="15">
      <c r="O15">
        <f>IF(A15="","",COUNTIF('30_NGAN_HANG'!$B:$B,A15))</f>
        <v/>
      </c>
      <c r="P15">
        <f>IF(A15="","",COUNTIFS('30_NGAN_HANG'!$B:$B,A15,'30_NGAN_HANG'!$Y:$Y,"Approved"))</f>
        <v/>
      </c>
    </row>
    <row r="16">
      <c r="O16">
        <f>IF(A16="","",COUNTIF('30_NGAN_HANG'!$B:$B,A16))</f>
        <v/>
      </c>
      <c r="P16">
        <f>IF(A16="","",COUNTIFS('30_NGAN_HANG'!$B:$B,A16,'30_NGAN_HANG'!$Y:$Y,"Approved"))</f>
        <v/>
      </c>
    </row>
    <row r="17">
      <c r="O17">
        <f>IF(A17="","",COUNTIF('30_NGAN_HANG'!$B:$B,A17))</f>
        <v/>
      </c>
      <c r="P17">
        <f>IF(A17="","",COUNTIFS('30_NGAN_HANG'!$B:$B,A17,'30_NGAN_HANG'!$Y:$Y,"Approved"))</f>
        <v/>
      </c>
    </row>
    <row r="18">
      <c r="O18">
        <f>IF(A18="","",COUNTIF('30_NGAN_HANG'!$B:$B,A18))</f>
        <v/>
      </c>
      <c r="P18">
        <f>IF(A18="","",COUNTIFS('30_NGAN_HANG'!$B:$B,A18,'30_NGAN_HANG'!$Y:$Y,"Approved"))</f>
        <v/>
      </c>
    </row>
    <row r="19">
      <c r="O19">
        <f>IF(A19="","",COUNTIF('30_NGAN_HANG'!$B:$B,A19))</f>
        <v/>
      </c>
      <c r="P19">
        <f>IF(A19="","",COUNTIFS('30_NGAN_HANG'!$B:$B,A19,'30_NGAN_HANG'!$Y:$Y,"Approved"))</f>
        <v/>
      </c>
    </row>
    <row r="20">
      <c r="O20">
        <f>IF(A20="","",COUNTIF('30_NGAN_HANG'!$B:$B,A20))</f>
        <v/>
      </c>
      <c r="P20">
        <f>IF(A20="","",COUNTIFS('30_NGAN_HANG'!$B:$B,A20,'30_NGAN_HANG'!$Y:$Y,"Approved"))</f>
        <v/>
      </c>
    </row>
    <row r="21">
      <c r="O21">
        <f>IF(A21="","",COUNTIF('30_NGAN_HANG'!$B:$B,A21))</f>
        <v/>
      </c>
      <c r="P21">
        <f>IF(A21="","",COUNTIFS('30_NGAN_HANG'!$B:$B,A21,'30_NGAN_HANG'!$Y:$Y,"Approved"))</f>
        <v/>
      </c>
    </row>
    <row r="22">
      <c r="O22">
        <f>IF(A22="","",COUNTIF('30_NGAN_HANG'!$B:$B,A22))</f>
        <v/>
      </c>
      <c r="P22">
        <f>IF(A22="","",COUNTIFS('30_NGAN_HANG'!$B:$B,A22,'30_NGAN_HANG'!$Y:$Y,"Approved"))</f>
        <v/>
      </c>
    </row>
    <row r="23">
      <c r="O23">
        <f>IF(A23="","",COUNTIF('30_NGAN_HANG'!$B:$B,A23))</f>
        <v/>
      </c>
      <c r="P23">
        <f>IF(A23="","",COUNTIFS('30_NGAN_HANG'!$B:$B,A23,'30_NGAN_HANG'!$Y:$Y,"Approved"))</f>
        <v/>
      </c>
    </row>
    <row r="24">
      <c r="O24">
        <f>IF(A24="","",COUNTIF('30_NGAN_HANG'!$B:$B,A24))</f>
        <v/>
      </c>
      <c r="P24">
        <f>IF(A24="","",COUNTIFS('30_NGAN_HANG'!$B:$B,A24,'30_NGAN_HANG'!$Y:$Y,"Approved"))</f>
        <v/>
      </c>
    </row>
    <row r="25">
      <c r="O25">
        <f>IF(A25="","",COUNTIF('30_NGAN_HANG'!$B:$B,A25))</f>
        <v/>
      </c>
      <c r="P25">
        <f>IF(A25="","",COUNTIFS('30_NGAN_HANG'!$B:$B,A25,'30_NGAN_HANG'!$Y:$Y,"Approved"))</f>
        <v/>
      </c>
    </row>
    <row r="26">
      <c r="O26">
        <f>IF(A26="","",COUNTIF('30_NGAN_HANG'!$B:$B,A26))</f>
        <v/>
      </c>
      <c r="P26">
        <f>IF(A26="","",COUNTIFS('30_NGAN_HANG'!$B:$B,A26,'30_NGAN_HANG'!$Y:$Y,"Approved"))</f>
        <v/>
      </c>
    </row>
    <row r="27">
      <c r="O27">
        <f>IF(A27="","",COUNTIF('30_NGAN_HANG'!$B:$B,A27))</f>
        <v/>
      </c>
      <c r="P27">
        <f>IF(A27="","",COUNTIFS('30_NGAN_HANG'!$B:$B,A27,'30_NGAN_HANG'!$Y:$Y,"Approved"))</f>
        <v/>
      </c>
    </row>
    <row r="28">
      <c r="O28">
        <f>IF(A28="","",COUNTIF('30_NGAN_HANG'!$B:$B,A28))</f>
        <v/>
      </c>
      <c r="P28">
        <f>IF(A28="","",COUNTIFS('30_NGAN_HANG'!$B:$B,A28,'30_NGAN_HANG'!$Y:$Y,"Approved"))</f>
        <v/>
      </c>
    </row>
    <row r="29">
      <c r="O29">
        <f>IF(A29="","",COUNTIF('30_NGAN_HANG'!$B:$B,A29))</f>
        <v/>
      </c>
      <c r="P29">
        <f>IF(A29="","",COUNTIFS('30_NGAN_HANG'!$B:$B,A29,'30_NGAN_HANG'!$Y:$Y,"Approved"))</f>
        <v/>
      </c>
    </row>
    <row r="30">
      <c r="O30">
        <f>IF(A30="","",COUNTIF('30_NGAN_HANG'!$B:$B,A30))</f>
        <v/>
      </c>
      <c r="P30">
        <f>IF(A30="","",COUNTIFS('30_NGAN_HANG'!$B:$B,A30,'30_NGAN_HANG'!$Y:$Y,"Approved"))</f>
        <v/>
      </c>
    </row>
    <row r="31">
      <c r="O31">
        <f>IF(A31="","",COUNTIF('30_NGAN_HANG'!$B:$B,A31))</f>
        <v/>
      </c>
      <c r="P31">
        <f>IF(A31="","",COUNTIFS('30_NGAN_HANG'!$B:$B,A31,'30_NGAN_HANG'!$Y:$Y,"Approved"))</f>
        <v/>
      </c>
    </row>
    <row r="32">
      <c r="O32">
        <f>IF(A32="","",COUNTIF('30_NGAN_HANG'!$B:$B,A32))</f>
        <v/>
      </c>
      <c r="P32">
        <f>IF(A32="","",COUNTIFS('30_NGAN_HANG'!$B:$B,A32,'30_NGAN_HANG'!$Y:$Y,"Approved"))</f>
        <v/>
      </c>
    </row>
    <row r="33">
      <c r="O33">
        <f>IF(A33="","",COUNTIF('30_NGAN_HANG'!$B:$B,A33))</f>
        <v/>
      </c>
      <c r="P33">
        <f>IF(A33="","",COUNTIFS('30_NGAN_HANG'!$B:$B,A33,'30_NGAN_HANG'!$Y:$Y,"Approved"))</f>
        <v/>
      </c>
    </row>
    <row r="34">
      <c r="O34">
        <f>IF(A34="","",COUNTIF('30_NGAN_HANG'!$B:$B,A34))</f>
        <v/>
      </c>
      <c r="P34">
        <f>IF(A34="","",COUNTIFS('30_NGAN_HANG'!$B:$B,A34,'30_NGAN_HANG'!$Y:$Y,"Approved"))</f>
        <v/>
      </c>
    </row>
    <row r="35">
      <c r="O35">
        <f>IF(A35="","",COUNTIF('30_NGAN_HANG'!$B:$B,A35))</f>
        <v/>
      </c>
      <c r="P35">
        <f>IF(A35="","",COUNTIFS('30_NGAN_HANG'!$B:$B,A35,'30_NGAN_HANG'!$Y:$Y,"Approved"))</f>
        <v/>
      </c>
    </row>
    <row r="36">
      <c r="O36">
        <f>IF(A36="","",COUNTIF('30_NGAN_HANG'!$B:$B,A36))</f>
        <v/>
      </c>
      <c r="P36">
        <f>IF(A36="","",COUNTIFS('30_NGAN_HANG'!$B:$B,A36,'30_NGAN_HANG'!$Y:$Y,"Approved"))</f>
        <v/>
      </c>
    </row>
    <row r="37">
      <c r="O37">
        <f>IF(A37="","",COUNTIF('30_NGAN_HANG'!$B:$B,A37))</f>
        <v/>
      </c>
      <c r="P37">
        <f>IF(A37="","",COUNTIFS('30_NGAN_HANG'!$B:$B,A37,'30_NGAN_HANG'!$Y:$Y,"Approved"))</f>
        <v/>
      </c>
    </row>
    <row r="38">
      <c r="O38">
        <f>IF(A38="","",COUNTIF('30_NGAN_HANG'!$B:$B,A38))</f>
        <v/>
      </c>
      <c r="P38">
        <f>IF(A38="","",COUNTIFS('30_NGAN_HANG'!$B:$B,A38,'30_NGAN_HANG'!$Y:$Y,"Approved"))</f>
        <v/>
      </c>
    </row>
    <row r="39">
      <c r="O39">
        <f>IF(A39="","",COUNTIF('30_NGAN_HANG'!$B:$B,A39))</f>
        <v/>
      </c>
      <c r="P39">
        <f>IF(A39="","",COUNTIFS('30_NGAN_HANG'!$B:$B,A39,'30_NGAN_HANG'!$Y:$Y,"Approved"))</f>
        <v/>
      </c>
    </row>
    <row r="40">
      <c r="O40">
        <f>IF(A40="","",COUNTIF('30_NGAN_HANG'!$B:$B,A40))</f>
        <v/>
      </c>
      <c r="P40">
        <f>IF(A40="","",COUNTIFS('30_NGAN_HANG'!$B:$B,A40,'30_NGAN_HANG'!$Y:$Y,"Approved"))</f>
        <v/>
      </c>
    </row>
    <row r="41">
      <c r="O41">
        <f>IF(A41="","",COUNTIF('30_NGAN_HANG'!$B:$B,A41))</f>
        <v/>
      </c>
      <c r="P41">
        <f>IF(A41="","",COUNTIFS('30_NGAN_HANG'!$B:$B,A41,'30_NGAN_HANG'!$Y:$Y,"Approved"))</f>
        <v/>
      </c>
    </row>
    <row r="42">
      <c r="O42">
        <f>IF(A42="","",COUNTIF('30_NGAN_HANG'!$B:$B,A42))</f>
        <v/>
      </c>
      <c r="P42">
        <f>IF(A42="","",COUNTIFS('30_NGAN_HANG'!$B:$B,A42,'30_NGAN_HANG'!$Y:$Y,"Approved"))</f>
        <v/>
      </c>
    </row>
    <row r="43">
      <c r="O43">
        <f>IF(A43="","",COUNTIF('30_NGAN_HANG'!$B:$B,A43))</f>
        <v/>
      </c>
      <c r="P43">
        <f>IF(A43="","",COUNTIFS('30_NGAN_HANG'!$B:$B,A43,'30_NGAN_HANG'!$Y:$Y,"Approved"))</f>
        <v/>
      </c>
    </row>
    <row r="44">
      <c r="O44">
        <f>IF(A44="","",COUNTIF('30_NGAN_HANG'!$B:$B,A44))</f>
        <v/>
      </c>
      <c r="P44">
        <f>IF(A44="","",COUNTIFS('30_NGAN_HANG'!$B:$B,A44,'30_NGAN_HANG'!$Y:$Y,"Approved"))</f>
        <v/>
      </c>
    </row>
    <row r="45">
      <c r="O45">
        <f>IF(A45="","",COUNTIF('30_NGAN_HANG'!$B:$B,A45))</f>
        <v/>
      </c>
      <c r="P45">
        <f>IF(A45="","",COUNTIFS('30_NGAN_HANG'!$B:$B,A45,'30_NGAN_HANG'!$Y:$Y,"Approved"))</f>
        <v/>
      </c>
    </row>
    <row r="46">
      <c r="O46">
        <f>IF(A46="","",COUNTIF('30_NGAN_HANG'!$B:$B,A46))</f>
        <v/>
      </c>
      <c r="P46">
        <f>IF(A46="","",COUNTIFS('30_NGAN_HANG'!$B:$B,A46,'30_NGAN_HANG'!$Y:$Y,"Approved"))</f>
        <v/>
      </c>
    </row>
    <row r="47">
      <c r="O47">
        <f>IF(A47="","",COUNTIF('30_NGAN_HANG'!$B:$B,A47))</f>
        <v/>
      </c>
      <c r="P47">
        <f>IF(A47="","",COUNTIFS('30_NGAN_HANG'!$B:$B,A47,'30_NGAN_HANG'!$Y:$Y,"Approved"))</f>
        <v/>
      </c>
    </row>
    <row r="48">
      <c r="O48">
        <f>IF(A48="","",COUNTIF('30_NGAN_HANG'!$B:$B,A48))</f>
        <v/>
      </c>
      <c r="P48">
        <f>IF(A48="","",COUNTIFS('30_NGAN_HANG'!$B:$B,A48,'30_NGAN_HANG'!$Y:$Y,"Approved"))</f>
        <v/>
      </c>
    </row>
    <row r="49">
      <c r="O49">
        <f>IF(A49="","",COUNTIF('30_NGAN_HANG'!$B:$B,A49))</f>
        <v/>
      </c>
      <c r="P49">
        <f>IF(A49="","",COUNTIFS('30_NGAN_HANG'!$B:$B,A49,'30_NGAN_HANG'!$Y:$Y,"Approved"))</f>
        <v/>
      </c>
    </row>
    <row r="50">
      <c r="O50">
        <f>IF(A50="","",COUNTIF('30_NGAN_HANG'!$B:$B,A50))</f>
        <v/>
      </c>
      <c r="P50">
        <f>IF(A50="","",COUNTIFS('30_NGAN_HANG'!$B:$B,A50,'30_NGAN_HANG'!$Y:$Y,"Approved"))</f>
        <v/>
      </c>
    </row>
    <row r="51">
      <c r="O51">
        <f>IF(A51="","",COUNTIF('30_NGAN_HANG'!$B:$B,A51))</f>
        <v/>
      </c>
      <c r="P51">
        <f>IF(A51="","",COUNTIFS('30_NGAN_HANG'!$B:$B,A51,'30_NGAN_HANG'!$Y:$Y,"Approved"))</f>
        <v/>
      </c>
    </row>
    <row r="52">
      <c r="O52">
        <f>IF(A52="","",COUNTIF('30_NGAN_HANG'!$B:$B,A52))</f>
        <v/>
      </c>
      <c r="P52">
        <f>IF(A52="","",COUNTIFS('30_NGAN_HANG'!$B:$B,A52,'30_NGAN_HANG'!$Y:$Y,"Approved"))</f>
        <v/>
      </c>
    </row>
    <row r="53">
      <c r="O53">
        <f>IF(A53="","",COUNTIF('30_NGAN_HANG'!$B:$B,A53))</f>
        <v/>
      </c>
      <c r="P53">
        <f>IF(A53="","",COUNTIFS('30_NGAN_HANG'!$B:$B,A53,'30_NGAN_HANG'!$Y:$Y,"Approved"))</f>
        <v/>
      </c>
    </row>
    <row r="54">
      <c r="O54">
        <f>IF(A54="","",COUNTIF('30_NGAN_HANG'!$B:$B,A54))</f>
        <v/>
      </c>
      <c r="P54">
        <f>IF(A54="","",COUNTIFS('30_NGAN_HANG'!$B:$B,A54,'30_NGAN_HANG'!$Y:$Y,"Approved"))</f>
        <v/>
      </c>
    </row>
    <row r="55">
      <c r="O55">
        <f>IF(A55="","",COUNTIF('30_NGAN_HANG'!$B:$B,A55))</f>
        <v/>
      </c>
      <c r="P55">
        <f>IF(A55="","",COUNTIFS('30_NGAN_HANG'!$B:$B,A55,'30_NGAN_HANG'!$Y:$Y,"Approved"))</f>
        <v/>
      </c>
    </row>
    <row r="56">
      <c r="O56">
        <f>IF(A56="","",COUNTIF('30_NGAN_HANG'!$B:$B,A56))</f>
        <v/>
      </c>
      <c r="P56">
        <f>IF(A56="","",COUNTIFS('30_NGAN_HANG'!$B:$B,A56,'30_NGAN_HANG'!$Y:$Y,"Approved"))</f>
        <v/>
      </c>
    </row>
    <row r="57">
      <c r="O57">
        <f>IF(A57="","",COUNTIF('30_NGAN_HANG'!$B:$B,A57))</f>
        <v/>
      </c>
      <c r="P57">
        <f>IF(A57="","",COUNTIFS('30_NGAN_HANG'!$B:$B,A57,'30_NGAN_HANG'!$Y:$Y,"Approved"))</f>
        <v/>
      </c>
    </row>
    <row r="58">
      <c r="O58">
        <f>IF(A58="","",COUNTIF('30_NGAN_HANG'!$B:$B,A58))</f>
        <v/>
      </c>
      <c r="P58">
        <f>IF(A58="","",COUNTIFS('30_NGAN_HANG'!$B:$B,A58,'30_NGAN_HANG'!$Y:$Y,"Approved"))</f>
        <v/>
      </c>
    </row>
    <row r="59">
      <c r="O59">
        <f>IF(A59="","",COUNTIF('30_NGAN_HANG'!$B:$B,A59))</f>
        <v/>
      </c>
      <c r="P59">
        <f>IF(A59="","",COUNTIFS('30_NGAN_HANG'!$B:$B,A59,'30_NGAN_HANG'!$Y:$Y,"Approved"))</f>
        <v/>
      </c>
    </row>
    <row r="60">
      <c r="O60">
        <f>IF(A60="","",COUNTIF('30_NGAN_HANG'!$B:$B,A60))</f>
        <v/>
      </c>
      <c r="P60">
        <f>IF(A60="","",COUNTIFS('30_NGAN_HANG'!$B:$B,A60,'30_NGAN_HANG'!$Y:$Y,"Approved"))</f>
        <v/>
      </c>
    </row>
    <row r="61">
      <c r="O61">
        <f>IF(A61="","",COUNTIF('30_NGAN_HANG'!$B:$B,A61))</f>
        <v/>
      </c>
      <c r="P61">
        <f>IF(A61="","",COUNTIFS('30_NGAN_HANG'!$B:$B,A61,'30_NGAN_HANG'!$Y:$Y,"Approved"))</f>
        <v/>
      </c>
    </row>
    <row r="62">
      <c r="O62">
        <f>IF(A62="","",COUNTIF('30_NGAN_HANG'!$B:$B,A62))</f>
        <v/>
      </c>
      <c r="P62">
        <f>IF(A62="","",COUNTIFS('30_NGAN_HANG'!$B:$B,A62,'30_NGAN_HANG'!$Y:$Y,"Approved"))</f>
        <v/>
      </c>
    </row>
    <row r="63">
      <c r="O63">
        <f>IF(A63="","",COUNTIF('30_NGAN_HANG'!$B:$B,A63))</f>
        <v/>
      </c>
      <c r="P63">
        <f>IF(A63="","",COUNTIFS('30_NGAN_HANG'!$B:$B,A63,'30_NGAN_HANG'!$Y:$Y,"Approved"))</f>
        <v/>
      </c>
    </row>
    <row r="64">
      <c r="O64">
        <f>IF(A64="","",COUNTIF('30_NGAN_HANG'!$B:$B,A64))</f>
        <v/>
      </c>
      <c r="P64">
        <f>IF(A64="","",COUNTIFS('30_NGAN_HANG'!$B:$B,A64,'30_NGAN_HANG'!$Y:$Y,"Approved"))</f>
        <v/>
      </c>
    </row>
    <row r="65">
      <c r="O65">
        <f>IF(A65="","",COUNTIF('30_NGAN_HANG'!$B:$B,A65))</f>
        <v/>
      </c>
      <c r="P65">
        <f>IF(A65="","",COUNTIFS('30_NGAN_HANG'!$B:$B,A65,'30_NGAN_HANG'!$Y:$Y,"Approved"))</f>
        <v/>
      </c>
    </row>
    <row r="66">
      <c r="O66">
        <f>IF(A66="","",COUNTIF('30_NGAN_HANG'!$B:$B,A66))</f>
        <v/>
      </c>
      <c r="P66">
        <f>IF(A66="","",COUNTIFS('30_NGAN_HANG'!$B:$B,A66,'30_NGAN_HANG'!$Y:$Y,"Approved"))</f>
        <v/>
      </c>
    </row>
    <row r="67">
      <c r="O67">
        <f>IF(A67="","",COUNTIF('30_NGAN_HANG'!$B:$B,A67))</f>
        <v/>
      </c>
      <c r="P67">
        <f>IF(A67="","",COUNTIFS('30_NGAN_HANG'!$B:$B,A67,'30_NGAN_HANG'!$Y:$Y,"Approved"))</f>
        <v/>
      </c>
    </row>
    <row r="68">
      <c r="O68">
        <f>IF(A68="","",COUNTIF('30_NGAN_HANG'!$B:$B,A68))</f>
        <v/>
      </c>
      <c r="P68">
        <f>IF(A68="","",COUNTIFS('30_NGAN_HANG'!$B:$B,A68,'30_NGAN_HANG'!$Y:$Y,"Approved"))</f>
        <v/>
      </c>
    </row>
    <row r="69">
      <c r="O69">
        <f>IF(A69="","",COUNTIF('30_NGAN_HANG'!$B:$B,A69))</f>
        <v/>
      </c>
      <c r="P69">
        <f>IF(A69="","",COUNTIFS('30_NGAN_HANG'!$B:$B,A69,'30_NGAN_HANG'!$Y:$Y,"Approved"))</f>
        <v/>
      </c>
    </row>
    <row r="70">
      <c r="O70">
        <f>IF(A70="","",COUNTIF('30_NGAN_HANG'!$B:$B,A70))</f>
        <v/>
      </c>
      <c r="P70">
        <f>IF(A70="","",COUNTIFS('30_NGAN_HANG'!$B:$B,A70,'30_NGAN_HANG'!$Y:$Y,"Approved"))</f>
        <v/>
      </c>
    </row>
    <row r="71">
      <c r="O71">
        <f>IF(A71="","",COUNTIF('30_NGAN_HANG'!$B:$B,A71))</f>
        <v/>
      </c>
      <c r="P71">
        <f>IF(A71="","",COUNTIFS('30_NGAN_HANG'!$B:$B,A71,'30_NGAN_HANG'!$Y:$Y,"Approved"))</f>
        <v/>
      </c>
    </row>
    <row r="72">
      <c r="O72">
        <f>IF(A72="","",COUNTIF('30_NGAN_HANG'!$B:$B,A72))</f>
        <v/>
      </c>
      <c r="P72">
        <f>IF(A72="","",COUNTIFS('30_NGAN_HANG'!$B:$B,A72,'30_NGAN_HANG'!$Y:$Y,"Approved"))</f>
        <v/>
      </c>
    </row>
    <row r="73">
      <c r="O73">
        <f>IF(A73="","",COUNTIF('30_NGAN_HANG'!$B:$B,A73))</f>
        <v/>
      </c>
      <c r="P73">
        <f>IF(A73="","",COUNTIFS('30_NGAN_HANG'!$B:$B,A73,'30_NGAN_HANG'!$Y:$Y,"Approved"))</f>
        <v/>
      </c>
    </row>
    <row r="74">
      <c r="O74">
        <f>IF(A74="","",COUNTIF('30_NGAN_HANG'!$B:$B,A74))</f>
        <v/>
      </c>
      <c r="P74">
        <f>IF(A74="","",COUNTIFS('30_NGAN_HANG'!$B:$B,A74,'30_NGAN_HANG'!$Y:$Y,"Approved"))</f>
        <v/>
      </c>
    </row>
    <row r="75">
      <c r="O75">
        <f>IF(A75="","",COUNTIF('30_NGAN_HANG'!$B:$B,A75))</f>
        <v/>
      </c>
      <c r="P75">
        <f>IF(A75="","",COUNTIFS('30_NGAN_HANG'!$B:$B,A75,'30_NGAN_HANG'!$Y:$Y,"Approved"))</f>
        <v/>
      </c>
    </row>
    <row r="76">
      <c r="O76">
        <f>IF(A76="","",COUNTIF('30_NGAN_HANG'!$B:$B,A76))</f>
        <v/>
      </c>
      <c r="P76">
        <f>IF(A76="","",COUNTIFS('30_NGAN_HANG'!$B:$B,A76,'30_NGAN_HANG'!$Y:$Y,"Approved"))</f>
        <v/>
      </c>
    </row>
    <row r="77">
      <c r="O77">
        <f>IF(A77="","",COUNTIF('30_NGAN_HANG'!$B:$B,A77))</f>
        <v/>
      </c>
      <c r="P77">
        <f>IF(A77="","",COUNTIFS('30_NGAN_HANG'!$B:$B,A77,'30_NGAN_HANG'!$Y:$Y,"Approved"))</f>
        <v/>
      </c>
    </row>
    <row r="78">
      <c r="O78">
        <f>IF(A78="","",COUNTIF('30_NGAN_HANG'!$B:$B,A78))</f>
        <v/>
      </c>
      <c r="P78">
        <f>IF(A78="","",COUNTIFS('30_NGAN_HANG'!$B:$B,A78,'30_NGAN_HANG'!$Y:$Y,"Approved"))</f>
        <v/>
      </c>
    </row>
    <row r="79">
      <c r="O79">
        <f>IF(A79="","",COUNTIF('30_NGAN_HANG'!$B:$B,A79))</f>
        <v/>
      </c>
      <c r="P79">
        <f>IF(A79="","",COUNTIFS('30_NGAN_HANG'!$B:$B,A79,'30_NGAN_HANG'!$Y:$Y,"Approved"))</f>
        <v/>
      </c>
    </row>
    <row r="80">
      <c r="O80">
        <f>IF(A80="","",COUNTIF('30_NGAN_HANG'!$B:$B,A80))</f>
        <v/>
      </c>
      <c r="P80">
        <f>IF(A80="","",COUNTIFS('30_NGAN_HANG'!$B:$B,A80,'30_NGAN_HANG'!$Y:$Y,"Approved"))</f>
        <v/>
      </c>
    </row>
    <row r="81">
      <c r="O81">
        <f>IF(A81="","",COUNTIF('30_NGAN_HANG'!$B:$B,A81))</f>
        <v/>
      </c>
      <c r="P81">
        <f>IF(A81="","",COUNTIFS('30_NGAN_HANG'!$B:$B,A81,'30_NGAN_HANG'!$Y:$Y,"Approved"))</f>
        <v/>
      </c>
    </row>
    <row r="82">
      <c r="O82">
        <f>IF(A82="","",COUNTIF('30_NGAN_HANG'!$B:$B,A82))</f>
        <v/>
      </c>
      <c r="P82">
        <f>IF(A82="","",COUNTIFS('30_NGAN_HANG'!$B:$B,A82,'30_NGAN_HANG'!$Y:$Y,"Approved"))</f>
        <v/>
      </c>
    </row>
    <row r="83">
      <c r="O83">
        <f>IF(A83="","",COUNTIF('30_NGAN_HANG'!$B:$B,A83))</f>
        <v/>
      </c>
      <c r="P83">
        <f>IF(A83="","",COUNTIFS('30_NGAN_HANG'!$B:$B,A83,'30_NGAN_HANG'!$Y:$Y,"Approved"))</f>
        <v/>
      </c>
    </row>
    <row r="84">
      <c r="O84">
        <f>IF(A84="","",COUNTIF('30_NGAN_HANG'!$B:$B,A84))</f>
        <v/>
      </c>
      <c r="P84">
        <f>IF(A84="","",COUNTIFS('30_NGAN_HANG'!$B:$B,A84,'30_NGAN_HANG'!$Y:$Y,"Approved"))</f>
        <v/>
      </c>
    </row>
    <row r="85">
      <c r="O85">
        <f>IF(A85="","",COUNTIF('30_NGAN_HANG'!$B:$B,A85))</f>
        <v/>
      </c>
      <c r="P85">
        <f>IF(A85="","",COUNTIFS('30_NGAN_HANG'!$B:$B,A85,'30_NGAN_HANG'!$Y:$Y,"Approved"))</f>
        <v/>
      </c>
    </row>
    <row r="86">
      <c r="O86">
        <f>IF(A86="","",COUNTIF('30_NGAN_HANG'!$B:$B,A86))</f>
        <v/>
      </c>
      <c r="P86">
        <f>IF(A86="","",COUNTIFS('30_NGAN_HANG'!$B:$B,A86,'30_NGAN_HANG'!$Y:$Y,"Approved"))</f>
        <v/>
      </c>
    </row>
    <row r="87">
      <c r="O87">
        <f>IF(A87="","",COUNTIF('30_NGAN_HANG'!$B:$B,A87))</f>
        <v/>
      </c>
      <c r="P87">
        <f>IF(A87="","",COUNTIFS('30_NGAN_HANG'!$B:$B,A87,'30_NGAN_HANG'!$Y:$Y,"Approved"))</f>
        <v/>
      </c>
    </row>
    <row r="88">
      <c r="O88">
        <f>IF(A88="","",COUNTIF('30_NGAN_HANG'!$B:$B,A88))</f>
        <v/>
      </c>
      <c r="P88">
        <f>IF(A88="","",COUNTIFS('30_NGAN_HANG'!$B:$B,A88,'30_NGAN_HANG'!$Y:$Y,"Approved"))</f>
        <v/>
      </c>
    </row>
    <row r="89">
      <c r="O89">
        <f>IF(A89="","",COUNTIF('30_NGAN_HANG'!$B:$B,A89))</f>
        <v/>
      </c>
      <c r="P89">
        <f>IF(A89="","",COUNTIFS('30_NGAN_HANG'!$B:$B,A89,'30_NGAN_HANG'!$Y:$Y,"Approved"))</f>
        <v/>
      </c>
    </row>
    <row r="90">
      <c r="O90">
        <f>IF(A90="","",COUNTIF('30_NGAN_HANG'!$B:$B,A90))</f>
        <v/>
      </c>
      <c r="P90">
        <f>IF(A90="","",COUNTIFS('30_NGAN_HANG'!$B:$B,A90,'30_NGAN_HANG'!$Y:$Y,"Approved"))</f>
        <v/>
      </c>
    </row>
    <row r="91">
      <c r="O91">
        <f>IF(A91="","",COUNTIF('30_NGAN_HANG'!$B:$B,A91))</f>
        <v/>
      </c>
      <c r="P91">
        <f>IF(A91="","",COUNTIFS('30_NGAN_HANG'!$B:$B,A91,'30_NGAN_HANG'!$Y:$Y,"Approved"))</f>
        <v/>
      </c>
    </row>
    <row r="92">
      <c r="O92">
        <f>IF(A92="","",COUNTIF('30_NGAN_HANG'!$B:$B,A92))</f>
        <v/>
      </c>
      <c r="P92">
        <f>IF(A92="","",COUNTIFS('30_NGAN_HANG'!$B:$B,A92,'30_NGAN_HANG'!$Y:$Y,"Approved"))</f>
        <v/>
      </c>
    </row>
    <row r="93">
      <c r="O93">
        <f>IF(A93="","",COUNTIF('30_NGAN_HANG'!$B:$B,A93))</f>
        <v/>
      </c>
      <c r="P93">
        <f>IF(A93="","",COUNTIFS('30_NGAN_HANG'!$B:$B,A93,'30_NGAN_HANG'!$Y:$Y,"Approved"))</f>
        <v/>
      </c>
    </row>
    <row r="94">
      <c r="O94">
        <f>IF(A94="","",COUNTIF('30_NGAN_HANG'!$B:$B,A94))</f>
        <v/>
      </c>
      <c r="P94">
        <f>IF(A94="","",COUNTIFS('30_NGAN_HANG'!$B:$B,A94,'30_NGAN_HANG'!$Y:$Y,"Approved"))</f>
        <v/>
      </c>
    </row>
    <row r="95">
      <c r="O95">
        <f>IF(A95="","",COUNTIF('30_NGAN_HANG'!$B:$B,A95))</f>
        <v/>
      </c>
      <c r="P95">
        <f>IF(A95="","",COUNTIFS('30_NGAN_HANG'!$B:$B,A95,'30_NGAN_HANG'!$Y:$Y,"Approved"))</f>
        <v/>
      </c>
    </row>
    <row r="96">
      <c r="O96">
        <f>IF(A96="","",COUNTIF('30_NGAN_HANG'!$B:$B,A96))</f>
        <v/>
      </c>
      <c r="P96">
        <f>IF(A96="","",COUNTIFS('30_NGAN_HANG'!$B:$B,A96,'30_NGAN_HANG'!$Y:$Y,"Approved"))</f>
        <v/>
      </c>
    </row>
    <row r="97">
      <c r="O97">
        <f>IF(A97="","",COUNTIF('30_NGAN_HANG'!$B:$B,A97))</f>
        <v/>
      </c>
      <c r="P97">
        <f>IF(A97="","",COUNTIFS('30_NGAN_HANG'!$B:$B,A97,'30_NGAN_HANG'!$Y:$Y,"Approved"))</f>
        <v/>
      </c>
    </row>
    <row r="98">
      <c r="O98">
        <f>IF(A98="","",COUNTIF('30_NGAN_HANG'!$B:$B,A98))</f>
        <v/>
      </c>
      <c r="P98">
        <f>IF(A98="","",COUNTIFS('30_NGAN_HANG'!$B:$B,A98,'30_NGAN_HANG'!$Y:$Y,"Approved"))</f>
        <v/>
      </c>
    </row>
    <row r="99">
      <c r="O99">
        <f>IF(A99="","",COUNTIF('30_NGAN_HANG'!$B:$B,A99))</f>
        <v/>
      </c>
      <c r="P99">
        <f>IF(A99="","",COUNTIFS('30_NGAN_HANG'!$B:$B,A99,'30_NGAN_HANG'!$Y:$Y,"Approved"))</f>
        <v/>
      </c>
    </row>
    <row r="100">
      <c r="O100">
        <f>IF(A100="","",COUNTIF('30_NGAN_HANG'!$B:$B,A100))</f>
        <v/>
      </c>
      <c r="P100">
        <f>IF(A100="","",COUNTIFS('30_NGAN_HANG'!$B:$B,A100,'30_NGAN_HANG'!$Y:$Y,"Approved"))</f>
        <v/>
      </c>
    </row>
    <row r="101">
      <c r="O101">
        <f>IF(A101="","",COUNTIF('30_NGAN_HANG'!$B:$B,A101))</f>
        <v/>
      </c>
      <c r="P101">
        <f>IF(A101="","",COUNTIFS('30_NGAN_HANG'!$B:$B,A101,'30_NGAN_HANG'!$Y:$Y,"Approved"))</f>
        <v/>
      </c>
    </row>
    <row r="102">
      <c r="O102">
        <f>IF(A102="","",COUNTIF('30_NGAN_HANG'!$B:$B,A102))</f>
        <v/>
      </c>
      <c r="P102">
        <f>IF(A102="","",COUNTIFS('30_NGAN_HANG'!$B:$B,A102,'30_NGAN_HANG'!$Y:$Y,"Approved"))</f>
        <v/>
      </c>
    </row>
    <row r="103">
      <c r="O103">
        <f>IF(A103="","",COUNTIF('30_NGAN_HANG'!$B:$B,A103))</f>
        <v/>
      </c>
      <c r="P103">
        <f>IF(A103="","",COUNTIFS('30_NGAN_HANG'!$B:$B,A103,'30_NGAN_HANG'!$Y:$Y,"Approved"))</f>
        <v/>
      </c>
    </row>
    <row r="104">
      <c r="O104">
        <f>IF(A104="","",COUNTIF('30_NGAN_HANG'!$B:$B,A104))</f>
        <v/>
      </c>
      <c r="P104">
        <f>IF(A104="","",COUNTIFS('30_NGAN_HANG'!$B:$B,A104,'30_NGAN_HANG'!$Y:$Y,"Approved"))</f>
        <v/>
      </c>
    </row>
    <row r="105">
      <c r="O105">
        <f>IF(A105="","",COUNTIF('30_NGAN_HANG'!$B:$B,A105))</f>
        <v/>
      </c>
      <c r="P105">
        <f>IF(A105="","",COUNTIFS('30_NGAN_HANG'!$B:$B,A105,'30_NGAN_HANG'!$Y:$Y,"Approved"))</f>
        <v/>
      </c>
    </row>
    <row r="106">
      <c r="O106">
        <f>IF(A106="","",COUNTIF('30_NGAN_HANG'!$B:$B,A106))</f>
        <v/>
      </c>
      <c r="P106">
        <f>IF(A106="","",COUNTIFS('30_NGAN_HANG'!$B:$B,A106,'30_NGAN_HANG'!$Y:$Y,"Approved"))</f>
        <v/>
      </c>
    </row>
    <row r="107">
      <c r="O107">
        <f>IF(A107="","",COUNTIF('30_NGAN_HANG'!$B:$B,A107))</f>
        <v/>
      </c>
      <c r="P107">
        <f>IF(A107="","",COUNTIFS('30_NGAN_HANG'!$B:$B,A107,'30_NGAN_HANG'!$Y:$Y,"Approved"))</f>
        <v/>
      </c>
    </row>
    <row r="108">
      <c r="O108">
        <f>IF(A108="","",COUNTIF('30_NGAN_HANG'!$B:$B,A108))</f>
        <v/>
      </c>
      <c r="P108">
        <f>IF(A108="","",COUNTIFS('30_NGAN_HANG'!$B:$B,A108,'30_NGAN_HANG'!$Y:$Y,"Approved"))</f>
        <v/>
      </c>
    </row>
    <row r="109">
      <c r="O109">
        <f>IF(A109="","",COUNTIF('30_NGAN_HANG'!$B:$B,A109))</f>
        <v/>
      </c>
      <c r="P109">
        <f>IF(A109="","",COUNTIFS('30_NGAN_HANG'!$B:$B,A109,'30_NGAN_HANG'!$Y:$Y,"Approved"))</f>
        <v/>
      </c>
    </row>
    <row r="110">
      <c r="O110">
        <f>IF(A110="","",COUNTIF('30_NGAN_HANG'!$B:$B,A110))</f>
        <v/>
      </c>
      <c r="P110">
        <f>IF(A110="","",COUNTIFS('30_NGAN_HANG'!$B:$B,A110,'30_NGAN_HANG'!$Y:$Y,"Approved"))</f>
        <v/>
      </c>
    </row>
    <row r="111">
      <c r="O111">
        <f>IF(A111="","",COUNTIF('30_NGAN_HANG'!$B:$B,A111))</f>
        <v/>
      </c>
      <c r="P111">
        <f>IF(A111="","",COUNTIFS('30_NGAN_HANG'!$B:$B,A111,'30_NGAN_HANG'!$Y:$Y,"Approved"))</f>
        <v/>
      </c>
    </row>
    <row r="112">
      <c r="O112">
        <f>IF(A112="","",COUNTIF('30_NGAN_HANG'!$B:$B,A112))</f>
        <v/>
      </c>
      <c r="P112">
        <f>IF(A112="","",COUNTIFS('30_NGAN_HANG'!$B:$B,A112,'30_NGAN_HANG'!$Y:$Y,"Approved"))</f>
        <v/>
      </c>
    </row>
    <row r="113">
      <c r="O113">
        <f>IF(A113="","",COUNTIF('30_NGAN_HANG'!$B:$B,A113))</f>
        <v/>
      </c>
      <c r="P113">
        <f>IF(A113="","",COUNTIFS('30_NGAN_HANG'!$B:$B,A113,'30_NGAN_HANG'!$Y:$Y,"Approved"))</f>
        <v/>
      </c>
    </row>
    <row r="114">
      <c r="O114">
        <f>IF(A114="","",COUNTIF('30_NGAN_HANG'!$B:$B,A114))</f>
        <v/>
      </c>
      <c r="P114">
        <f>IF(A114="","",COUNTIFS('30_NGAN_HANG'!$B:$B,A114,'30_NGAN_HANG'!$Y:$Y,"Approved"))</f>
        <v/>
      </c>
    </row>
    <row r="115">
      <c r="O115">
        <f>IF(A115="","",COUNTIF('30_NGAN_HANG'!$B:$B,A115))</f>
        <v/>
      </c>
      <c r="P115">
        <f>IF(A115="","",COUNTIFS('30_NGAN_HANG'!$B:$B,A115,'30_NGAN_HANG'!$Y:$Y,"Approved"))</f>
        <v/>
      </c>
    </row>
    <row r="116">
      <c r="O116">
        <f>IF(A116="","",COUNTIF('30_NGAN_HANG'!$B:$B,A116))</f>
        <v/>
      </c>
      <c r="P116">
        <f>IF(A116="","",COUNTIFS('30_NGAN_HANG'!$B:$B,A116,'30_NGAN_HANG'!$Y:$Y,"Approved"))</f>
        <v/>
      </c>
    </row>
    <row r="117">
      <c r="O117">
        <f>IF(A117="","",COUNTIF('30_NGAN_HANG'!$B:$B,A117))</f>
        <v/>
      </c>
      <c r="P117">
        <f>IF(A117="","",COUNTIFS('30_NGAN_HANG'!$B:$B,A117,'30_NGAN_HANG'!$Y:$Y,"Approved"))</f>
        <v/>
      </c>
    </row>
    <row r="118">
      <c r="O118">
        <f>IF(A118="","",COUNTIF('30_NGAN_HANG'!$B:$B,A118))</f>
        <v/>
      </c>
      <c r="P118">
        <f>IF(A118="","",COUNTIFS('30_NGAN_HANG'!$B:$B,A118,'30_NGAN_HANG'!$Y:$Y,"Approved"))</f>
        <v/>
      </c>
    </row>
    <row r="119">
      <c r="O119">
        <f>IF(A119="","",COUNTIF('30_NGAN_HANG'!$B:$B,A119))</f>
        <v/>
      </c>
      <c r="P119">
        <f>IF(A119="","",COUNTIFS('30_NGAN_HANG'!$B:$B,A119,'30_NGAN_HANG'!$Y:$Y,"Approved"))</f>
        <v/>
      </c>
    </row>
    <row r="120">
      <c r="O120">
        <f>IF(A120="","",COUNTIF('30_NGAN_HANG'!$B:$B,A120))</f>
        <v/>
      </c>
      <c r="P120">
        <f>IF(A120="","",COUNTIFS('30_NGAN_HANG'!$B:$B,A120,'30_NGAN_HANG'!$Y:$Y,"Approved"))</f>
        <v/>
      </c>
    </row>
    <row r="121">
      <c r="O121">
        <f>IF(A121="","",COUNTIF('30_NGAN_HANG'!$B:$B,A121))</f>
        <v/>
      </c>
      <c r="P121">
        <f>IF(A121="","",COUNTIFS('30_NGAN_HANG'!$B:$B,A121,'30_NGAN_HANG'!$Y:$Y,"Approved"))</f>
        <v/>
      </c>
    </row>
    <row r="122">
      <c r="O122">
        <f>IF(A122="","",COUNTIF('30_NGAN_HANG'!$B:$B,A122))</f>
        <v/>
      </c>
      <c r="P122">
        <f>IF(A122="","",COUNTIFS('30_NGAN_HANG'!$B:$B,A122,'30_NGAN_HANG'!$Y:$Y,"Approved"))</f>
        <v/>
      </c>
    </row>
    <row r="123">
      <c r="O123">
        <f>IF(A123="","",COUNTIF('30_NGAN_HANG'!$B:$B,A123))</f>
        <v/>
      </c>
      <c r="P123">
        <f>IF(A123="","",COUNTIFS('30_NGAN_HANG'!$B:$B,A123,'30_NGAN_HANG'!$Y:$Y,"Approved"))</f>
        <v/>
      </c>
    </row>
    <row r="124">
      <c r="O124">
        <f>IF(A124="","",COUNTIF('30_NGAN_HANG'!$B:$B,A124))</f>
        <v/>
      </c>
      <c r="P124">
        <f>IF(A124="","",COUNTIFS('30_NGAN_HANG'!$B:$B,A124,'30_NGAN_HANG'!$Y:$Y,"Approved"))</f>
        <v/>
      </c>
    </row>
    <row r="125">
      <c r="O125">
        <f>IF(A125="","",COUNTIF('30_NGAN_HANG'!$B:$B,A125))</f>
        <v/>
      </c>
      <c r="P125">
        <f>IF(A125="","",COUNTIFS('30_NGAN_HANG'!$B:$B,A125,'30_NGAN_HANG'!$Y:$Y,"Approved"))</f>
        <v/>
      </c>
    </row>
    <row r="126">
      <c r="O126">
        <f>IF(A126="","",COUNTIF('30_NGAN_HANG'!$B:$B,A126))</f>
        <v/>
      </c>
      <c r="P126">
        <f>IF(A126="","",COUNTIFS('30_NGAN_HANG'!$B:$B,A126,'30_NGAN_HANG'!$Y:$Y,"Approved"))</f>
        <v/>
      </c>
    </row>
    <row r="127">
      <c r="O127">
        <f>IF(A127="","",COUNTIF('30_NGAN_HANG'!$B:$B,A127))</f>
        <v/>
      </c>
      <c r="P127">
        <f>IF(A127="","",COUNTIFS('30_NGAN_HANG'!$B:$B,A127,'30_NGAN_HANG'!$Y:$Y,"Approved"))</f>
        <v/>
      </c>
    </row>
    <row r="128">
      <c r="O128">
        <f>IF(A128="","",COUNTIF('30_NGAN_HANG'!$B:$B,A128))</f>
        <v/>
      </c>
      <c r="P128">
        <f>IF(A128="","",COUNTIFS('30_NGAN_HANG'!$B:$B,A128,'30_NGAN_HANG'!$Y:$Y,"Approved"))</f>
        <v/>
      </c>
    </row>
    <row r="129">
      <c r="O129">
        <f>IF(A129="","",COUNTIF('30_NGAN_HANG'!$B:$B,A129))</f>
        <v/>
      </c>
      <c r="P129">
        <f>IF(A129="","",COUNTIFS('30_NGAN_HANG'!$B:$B,A129,'30_NGAN_HANG'!$Y:$Y,"Approved"))</f>
        <v/>
      </c>
    </row>
    <row r="130">
      <c r="O130">
        <f>IF(A130="","",COUNTIF('30_NGAN_HANG'!$B:$B,A130))</f>
        <v/>
      </c>
      <c r="P130">
        <f>IF(A130="","",COUNTIFS('30_NGAN_HANG'!$B:$B,A130,'30_NGAN_HANG'!$Y:$Y,"Approved"))</f>
        <v/>
      </c>
    </row>
    <row r="131">
      <c r="O131">
        <f>IF(A131="","",COUNTIF('30_NGAN_HANG'!$B:$B,A131))</f>
        <v/>
      </c>
      <c r="P131">
        <f>IF(A131="","",COUNTIFS('30_NGAN_HANG'!$B:$B,A131,'30_NGAN_HANG'!$Y:$Y,"Approved"))</f>
        <v/>
      </c>
    </row>
    <row r="132">
      <c r="O132">
        <f>IF(A132="","",COUNTIF('30_NGAN_HANG'!$B:$B,A132))</f>
        <v/>
      </c>
      <c r="P132">
        <f>IF(A132="","",COUNTIFS('30_NGAN_HANG'!$B:$B,A132,'30_NGAN_HANG'!$Y:$Y,"Approved"))</f>
        <v/>
      </c>
    </row>
    <row r="133">
      <c r="O133">
        <f>IF(A133="","",COUNTIF('30_NGAN_HANG'!$B:$B,A133))</f>
        <v/>
      </c>
      <c r="P133">
        <f>IF(A133="","",COUNTIFS('30_NGAN_HANG'!$B:$B,A133,'30_NGAN_HANG'!$Y:$Y,"Approved"))</f>
        <v/>
      </c>
    </row>
    <row r="134">
      <c r="O134">
        <f>IF(A134="","",COUNTIF('30_NGAN_HANG'!$B:$B,A134))</f>
        <v/>
      </c>
      <c r="P134">
        <f>IF(A134="","",COUNTIFS('30_NGAN_HANG'!$B:$B,A134,'30_NGAN_HANG'!$Y:$Y,"Approved"))</f>
        <v/>
      </c>
    </row>
    <row r="135">
      <c r="O135">
        <f>IF(A135="","",COUNTIF('30_NGAN_HANG'!$B:$B,A135))</f>
        <v/>
      </c>
      <c r="P135">
        <f>IF(A135="","",COUNTIFS('30_NGAN_HANG'!$B:$B,A135,'30_NGAN_HANG'!$Y:$Y,"Approved"))</f>
        <v/>
      </c>
    </row>
    <row r="136">
      <c r="O136">
        <f>IF(A136="","",COUNTIF('30_NGAN_HANG'!$B:$B,A136))</f>
        <v/>
      </c>
      <c r="P136">
        <f>IF(A136="","",COUNTIFS('30_NGAN_HANG'!$B:$B,A136,'30_NGAN_HANG'!$Y:$Y,"Approved"))</f>
        <v/>
      </c>
    </row>
    <row r="137">
      <c r="O137">
        <f>IF(A137="","",COUNTIF('30_NGAN_HANG'!$B:$B,A137))</f>
        <v/>
      </c>
      <c r="P137">
        <f>IF(A137="","",COUNTIFS('30_NGAN_HANG'!$B:$B,A137,'30_NGAN_HANG'!$Y:$Y,"Approved"))</f>
        <v/>
      </c>
    </row>
    <row r="138">
      <c r="O138">
        <f>IF(A138="","",COUNTIF('30_NGAN_HANG'!$B:$B,A138))</f>
        <v/>
      </c>
      <c r="P138">
        <f>IF(A138="","",COUNTIFS('30_NGAN_HANG'!$B:$B,A138,'30_NGAN_HANG'!$Y:$Y,"Approved"))</f>
        <v/>
      </c>
    </row>
    <row r="139">
      <c r="O139">
        <f>IF(A139="","",COUNTIF('30_NGAN_HANG'!$B:$B,A139))</f>
        <v/>
      </c>
      <c r="P139">
        <f>IF(A139="","",COUNTIFS('30_NGAN_HANG'!$B:$B,A139,'30_NGAN_HANG'!$Y:$Y,"Approved"))</f>
        <v/>
      </c>
    </row>
    <row r="140">
      <c r="O140">
        <f>IF(A140="","",COUNTIF('30_NGAN_HANG'!$B:$B,A140))</f>
        <v/>
      </c>
      <c r="P140">
        <f>IF(A140="","",COUNTIFS('30_NGAN_HANG'!$B:$B,A140,'30_NGAN_HANG'!$Y:$Y,"Approved"))</f>
        <v/>
      </c>
    </row>
    <row r="141">
      <c r="O141">
        <f>IF(A141="","",COUNTIF('30_NGAN_HANG'!$B:$B,A141))</f>
        <v/>
      </c>
      <c r="P141">
        <f>IF(A141="","",COUNTIFS('30_NGAN_HANG'!$B:$B,A141,'30_NGAN_HANG'!$Y:$Y,"Approved"))</f>
        <v/>
      </c>
    </row>
    <row r="142">
      <c r="O142">
        <f>IF(A142="","",COUNTIF('30_NGAN_HANG'!$B:$B,A142))</f>
        <v/>
      </c>
      <c r="P142">
        <f>IF(A142="","",COUNTIFS('30_NGAN_HANG'!$B:$B,A142,'30_NGAN_HANG'!$Y:$Y,"Approved"))</f>
        <v/>
      </c>
    </row>
    <row r="143">
      <c r="O143">
        <f>IF(A143="","",COUNTIF('30_NGAN_HANG'!$B:$B,A143))</f>
        <v/>
      </c>
      <c r="P143">
        <f>IF(A143="","",COUNTIFS('30_NGAN_HANG'!$B:$B,A143,'30_NGAN_HANG'!$Y:$Y,"Approved"))</f>
        <v/>
      </c>
    </row>
    <row r="144">
      <c r="O144">
        <f>IF(A144="","",COUNTIF('30_NGAN_HANG'!$B:$B,A144))</f>
        <v/>
      </c>
      <c r="P144">
        <f>IF(A144="","",COUNTIFS('30_NGAN_HANG'!$B:$B,A144,'30_NGAN_HANG'!$Y:$Y,"Approved"))</f>
        <v/>
      </c>
    </row>
    <row r="145">
      <c r="O145">
        <f>IF(A145="","",COUNTIF('30_NGAN_HANG'!$B:$B,A145))</f>
        <v/>
      </c>
      <c r="P145">
        <f>IF(A145="","",COUNTIFS('30_NGAN_HANG'!$B:$B,A145,'30_NGAN_HANG'!$Y:$Y,"Approved"))</f>
        <v/>
      </c>
    </row>
    <row r="146">
      <c r="O146">
        <f>IF(A146="","",COUNTIF('30_NGAN_HANG'!$B:$B,A146))</f>
        <v/>
      </c>
      <c r="P146">
        <f>IF(A146="","",COUNTIFS('30_NGAN_HANG'!$B:$B,A146,'30_NGAN_HANG'!$Y:$Y,"Approved"))</f>
        <v/>
      </c>
    </row>
    <row r="147">
      <c r="O147">
        <f>IF(A147="","",COUNTIF('30_NGAN_HANG'!$B:$B,A147))</f>
        <v/>
      </c>
      <c r="P147">
        <f>IF(A147="","",COUNTIFS('30_NGAN_HANG'!$B:$B,A147,'30_NGAN_HANG'!$Y:$Y,"Approved"))</f>
        <v/>
      </c>
    </row>
    <row r="148">
      <c r="O148">
        <f>IF(A148="","",COUNTIF('30_NGAN_HANG'!$B:$B,A148))</f>
        <v/>
      </c>
      <c r="P148">
        <f>IF(A148="","",COUNTIFS('30_NGAN_HANG'!$B:$B,A148,'30_NGAN_HANG'!$Y:$Y,"Approved"))</f>
        <v/>
      </c>
    </row>
    <row r="149">
      <c r="O149">
        <f>IF(A149="","",COUNTIF('30_NGAN_HANG'!$B:$B,A149))</f>
        <v/>
      </c>
      <c r="P149">
        <f>IF(A149="","",COUNTIFS('30_NGAN_HANG'!$B:$B,A149,'30_NGAN_HANG'!$Y:$Y,"Approved"))</f>
        <v/>
      </c>
    </row>
    <row r="150">
      <c r="O150">
        <f>IF(A150="","",COUNTIF('30_NGAN_HANG'!$B:$B,A150))</f>
        <v/>
      </c>
      <c r="P150">
        <f>IF(A150="","",COUNTIFS('30_NGAN_HANG'!$B:$B,A150,'30_NGAN_HANG'!$Y:$Y,"Approved"))</f>
        <v/>
      </c>
    </row>
    <row r="151">
      <c r="O151">
        <f>IF(A151="","",COUNTIF('30_NGAN_HANG'!$B:$B,A151))</f>
        <v/>
      </c>
      <c r="P151">
        <f>IF(A151="","",COUNTIFS('30_NGAN_HANG'!$B:$B,A151,'30_NGAN_HANG'!$Y:$Y,"Approved"))</f>
        <v/>
      </c>
    </row>
    <row r="152">
      <c r="O152">
        <f>IF(A152="","",COUNTIF('30_NGAN_HANG'!$B:$B,A152))</f>
        <v/>
      </c>
      <c r="P152">
        <f>IF(A152="","",COUNTIFS('30_NGAN_HANG'!$B:$B,A152,'30_NGAN_HANG'!$Y:$Y,"Approved"))</f>
        <v/>
      </c>
    </row>
    <row r="153">
      <c r="O153">
        <f>IF(A153="","",COUNTIF('30_NGAN_HANG'!$B:$B,A153))</f>
        <v/>
      </c>
      <c r="P153">
        <f>IF(A153="","",COUNTIFS('30_NGAN_HANG'!$B:$B,A153,'30_NGAN_HANG'!$Y:$Y,"Approved"))</f>
        <v/>
      </c>
    </row>
    <row r="154">
      <c r="O154">
        <f>IF(A154="","",COUNTIF('30_NGAN_HANG'!$B:$B,A154))</f>
        <v/>
      </c>
      <c r="P154">
        <f>IF(A154="","",COUNTIFS('30_NGAN_HANG'!$B:$B,A154,'30_NGAN_HANG'!$Y:$Y,"Approved"))</f>
        <v/>
      </c>
    </row>
    <row r="155">
      <c r="O155">
        <f>IF(A155="","",COUNTIF('30_NGAN_HANG'!$B:$B,A155))</f>
        <v/>
      </c>
      <c r="P155">
        <f>IF(A155="","",COUNTIFS('30_NGAN_HANG'!$B:$B,A155,'30_NGAN_HANG'!$Y:$Y,"Approved"))</f>
        <v/>
      </c>
    </row>
    <row r="156">
      <c r="O156">
        <f>IF(A156="","",COUNTIF('30_NGAN_HANG'!$B:$B,A156))</f>
        <v/>
      </c>
      <c r="P156">
        <f>IF(A156="","",COUNTIFS('30_NGAN_HANG'!$B:$B,A156,'30_NGAN_HANG'!$Y:$Y,"Approved"))</f>
        <v/>
      </c>
    </row>
    <row r="157">
      <c r="O157">
        <f>IF(A157="","",COUNTIF('30_NGAN_HANG'!$B:$B,A157))</f>
        <v/>
      </c>
      <c r="P157">
        <f>IF(A157="","",COUNTIFS('30_NGAN_HANG'!$B:$B,A157,'30_NGAN_HANG'!$Y:$Y,"Approved"))</f>
        <v/>
      </c>
    </row>
    <row r="158">
      <c r="O158">
        <f>IF(A158="","",COUNTIF('30_NGAN_HANG'!$B:$B,A158))</f>
        <v/>
      </c>
      <c r="P158">
        <f>IF(A158="","",COUNTIFS('30_NGAN_HANG'!$B:$B,A158,'30_NGAN_HANG'!$Y:$Y,"Approved"))</f>
        <v/>
      </c>
    </row>
    <row r="159">
      <c r="O159">
        <f>IF(A159="","",COUNTIF('30_NGAN_HANG'!$B:$B,A159))</f>
        <v/>
      </c>
      <c r="P159">
        <f>IF(A159="","",COUNTIFS('30_NGAN_HANG'!$B:$B,A159,'30_NGAN_HANG'!$Y:$Y,"Approved"))</f>
        <v/>
      </c>
    </row>
    <row r="160">
      <c r="O160">
        <f>IF(A160="","",COUNTIF('30_NGAN_HANG'!$B:$B,A160))</f>
        <v/>
      </c>
      <c r="P160">
        <f>IF(A160="","",COUNTIFS('30_NGAN_HANG'!$B:$B,A160,'30_NGAN_HANG'!$Y:$Y,"Approved"))</f>
        <v/>
      </c>
    </row>
    <row r="161">
      <c r="O161">
        <f>IF(A161="","",COUNTIF('30_NGAN_HANG'!$B:$B,A161))</f>
        <v/>
      </c>
      <c r="P161">
        <f>IF(A161="","",COUNTIFS('30_NGAN_HANG'!$B:$B,A161,'30_NGAN_HANG'!$Y:$Y,"Approved"))</f>
        <v/>
      </c>
    </row>
    <row r="162">
      <c r="O162">
        <f>IF(A162="","",COUNTIF('30_NGAN_HANG'!$B:$B,A162))</f>
        <v/>
      </c>
      <c r="P162">
        <f>IF(A162="","",COUNTIFS('30_NGAN_HANG'!$B:$B,A162,'30_NGAN_HANG'!$Y:$Y,"Approved"))</f>
        <v/>
      </c>
    </row>
    <row r="163">
      <c r="O163">
        <f>IF(A163="","",COUNTIF('30_NGAN_HANG'!$B:$B,A163))</f>
        <v/>
      </c>
      <c r="P163">
        <f>IF(A163="","",COUNTIFS('30_NGAN_HANG'!$B:$B,A163,'30_NGAN_HANG'!$Y:$Y,"Approved"))</f>
        <v/>
      </c>
    </row>
    <row r="164">
      <c r="O164">
        <f>IF(A164="","",COUNTIF('30_NGAN_HANG'!$B:$B,A164))</f>
        <v/>
      </c>
      <c r="P164">
        <f>IF(A164="","",COUNTIFS('30_NGAN_HANG'!$B:$B,A164,'30_NGAN_HANG'!$Y:$Y,"Approved"))</f>
        <v/>
      </c>
    </row>
    <row r="165">
      <c r="O165">
        <f>IF(A165="","",COUNTIF('30_NGAN_HANG'!$B:$B,A165))</f>
        <v/>
      </c>
      <c r="P165">
        <f>IF(A165="","",COUNTIFS('30_NGAN_HANG'!$B:$B,A165,'30_NGAN_HANG'!$Y:$Y,"Approved"))</f>
        <v/>
      </c>
    </row>
    <row r="166">
      <c r="O166">
        <f>IF(A166="","",COUNTIF('30_NGAN_HANG'!$B:$B,A166))</f>
        <v/>
      </c>
      <c r="P166">
        <f>IF(A166="","",COUNTIFS('30_NGAN_HANG'!$B:$B,A166,'30_NGAN_HANG'!$Y:$Y,"Approved"))</f>
        <v/>
      </c>
    </row>
    <row r="167">
      <c r="O167">
        <f>IF(A167="","",COUNTIF('30_NGAN_HANG'!$B:$B,A167))</f>
        <v/>
      </c>
      <c r="P167">
        <f>IF(A167="","",COUNTIFS('30_NGAN_HANG'!$B:$B,A167,'30_NGAN_HANG'!$Y:$Y,"Approved"))</f>
        <v/>
      </c>
    </row>
    <row r="168">
      <c r="O168">
        <f>IF(A168="","",COUNTIF('30_NGAN_HANG'!$B:$B,A168))</f>
        <v/>
      </c>
      <c r="P168">
        <f>IF(A168="","",COUNTIFS('30_NGAN_HANG'!$B:$B,A168,'30_NGAN_HANG'!$Y:$Y,"Approved"))</f>
        <v/>
      </c>
    </row>
    <row r="169">
      <c r="O169">
        <f>IF(A169="","",COUNTIF('30_NGAN_HANG'!$B:$B,A169))</f>
        <v/>
      </c>
      <c r="P169">
        <f>IF(A169="","",COUNTIFS('30_NGAN_HANG'!$B:$B,A169,'30_NGAN_HANG'!$Y:$Y,"Approved"))</f>
        <v/>
      </c>
    </row>
    <row r="170">
      <c r="O170">
        <f>IF(A170="","",COUNTIF('30_NGAN_HANG'!$B:$B,A170))</f>
        <v/>
      </c>
      <c r="P170">
        <f>IF(A170="","",COUNTIFS('30_NGAN_HANG'!$B:$B,A170,'30_NGAN_HANG'!$Y:$Y,"Approved"))</f>
        <v/>
      </c>
    </row>
    <row r="171">
      <c r="O171">
        <f>IF(A171="","",COUNTIF('30_NGAN_HANG'!$B:$B,A171))</f>
        <v/>
      </c>
      <c r="P171">
        <f>IF(A171="","",COUNTIFS('30_NGAN_HANG'!$B:$B,A171,'30_NGAN_HANG'!$Y:$Y,"Approved"))</f>
        <v/>
      </c>
    </row>
    <row r="172">
      <c r="O172">
        <f>IF(A172="","",COUNTIF('30_NGAN_HANG'!$B:$B,A172))</f>
        <v/>
      </c>
      <c r="P172">
        <f>IF(A172="","",COUNTIFS('30_NGAN_HANG'!$B:$B,A172,'30_NGAN_HANG'!$Y:$Y,"Approved"))</f>
        <v/>
      </c>
    </row>
    <row r="173">
      <c r="O173">
        <f>IF(A173="","",COUNTIF('30_NGAN_HANG'!$B:$B,A173))</f>
        <v/>
      </c>
      <c r="P173">
        <f>IF(A173="","",COUNTIFS('30_NGAN_HANG'!$B:$B,A173,'30_NGAN_HANG'!$Y:$Y,"Approved"))</f>
        <v/>
      </c>
    </row>
    <row r="174">
      <c r="O174">
        <f>IF(A174="","",COUNTIF('30_NGAN_HANG'!$B:$B,A174))</f>
        <v/>
      </c>
      <c r="P174">
        <f>IF(A174="","",COUNTIFS('30_NGAN_HANG'!$B:$B,A174,'30_NGAN_HANG'!$Y:$Y,"Approved"))</f>
        <v/>
      </c>
    </row>
    <row r="175">
      <c r="O175">
        <f>IF(A175="","",COUNTIF('30_NGAN_HANG'!$B:$B,A175))</f>
        <v/>
      </c>
      <c r="P175">
        <f>IF(A175="","",COUNTIFS('30_NGAN_HANG'!$B:$B,A175,'30_NGAN_HANG'!$Y:$Y,"Approved"))</f>
        <v/>
      </c>
    </row>
    <row r="176">
      <c r="O176">
        <f>IF(A176="","",COUNTIF('30_NGAN_HANG'!$B:$B,A176))</f>
        <v/>
      </c>
      <c r="P176">
        <f>IF(A176="","",COUNTIFS('30_NGAN_HANG'!$B:$B,A176,'30_NGAN_HANG'!$Y:$Y,"Approved"))</f>
        <v/>
      </c>
    </row>
    <row r="177">
      <c r="O177">
        <f>IF(A177="","",COUNTIF('30_NGAN_HANG'!$B:$B,A177))</f>
        <v/>
      </c>
      <c r="P177">
        <f>IF(A177="","",COUNTIFS('30_NGAN_HANG'!$B:$B,A177,'30_NGAN_HANG'!$Y:$Y,"Approved"))</f>
        <v/>
      </c>
    </row>
    <row r="178">
      <c r="O178">
        <f>IF(A178="","",COUNTIF('30_NGAN_HANG'!$B:$B,A178))</f>
        <v/>
      </c>
      <c r="P178">
        <f>IF(A178="","",COUNTIFS('30_NGAN_HANG'!$B:$B,A178,'30_NGAN_HANG'!$Y:$Y,"Approved"))</f>
        <v/>
      </c>
    </row>
    <row r="179">
      <c r="O179">
        <f>IF(A179="","",COUNTIF('30_NGAN_HANG'!$B:$B,A179))</f>
        <v/>
      </c>
      <c r="P179">
        <f>IF(A179="","",COUNTIFS('30_NGAN_HANG'!$B:$B,A179,'30_NGAN_HANG'!$Y:$Y,"Approved"))</f>
        <v/>
      </c>
    </row>
    <row r="180">
      <c r="O180">
        <f>IF(A180="","",COUNTIF('30_NGAN_HANG'!$B:$B,A180))</f>
        <v/>
      </c>
      <c r="P180">
        <f>IF(A180="","",COUNTIFS('30_NGAN_HANG'!$B:$B,A180,'30_NGAN_HANG'!$Y:$Y,"Approved"))</f>
        <v/>
      </c>
    </row>
    <row r="181">
      <c r="O181">
        <f>IF(A181="","",COUNTIF('30_NGAN_HANG'!$B:$B,A181))</f>
        <v/>
      </c>
      <c r="P181">
        <f>IF(A181="","",COUNTIFS('30_NGAN_HANG'!$B:$B,A181,'30_NGAN_HANG'!$Y:$Y,"Approved"))</f>
        <v/>
      </c>
    </row>
    <row r="182">
      <c r="O182">
        <f>IF(A182="","",COUNTIF('30_NGAN_HANG'!$B:$B,A182))</f>
        <v/>
      </c>
      <c r="P182">
        <f>IF(A182="","",COUNTIFS('30_NGAN_HANG'!$B:$B,A182,'30_NGAN_HANG'!$Y:$Y,"Approved"))</f>
        <v/>
      </c>
    </row>
    <row r="183">
      <c r="O183">
        <f>IF(A183="","",COUNTIF('30_NGAN_HANG'!$B:$B,A183))</f>
        <v/>
      </c>
      <c r="P183">
        <f>IF(A183="","",COUNTIFS('30_NGAN_HANG'!$B:$B,A183,'30_NGAN_HANG'!$Y:$Y,"Approved"))</f>
        <v/>
      </c>
    </row>
    <row r="184">
      <c r="O184">
        <f>IF(A184="","",COUNTIF('30_NGAN_HANG'!$B:$B,A184))</f>
        <v/>
      </c>
      <c r="P184">
        <f>IF(A184="","",COUNTIFS('30_NGAN_HANG'!$B:$B,A184,'30_NGAN_HANG'!$Y:$Y,"Approved"))</f>
        <v/>
      </c>
    </row>
    <row r="185">
      <c r="O185">
        <f>IF(A185="","",COUNTIF('30_NGAN_HANG'!$B:$B,A185))</f>
        <v/>
      </c>
      <c r="P185">
        <f>IF(A185="","",COUNTIFS('30_NGAN_HANG'!$B:$B,A185,'30_NGAN_HANG'!$Y:$Y,"Approved"))</f>
        <v/>
      </c>
    </row>
    <row r="186">
      <c r="O186">
        <f>IF(A186="","",COUNTIF('30_NGAN_HANG'!$B:$B,A186))</f>
        <v/>
      </c>
      <c r="P186">
        <f>IF(A186="","",COUNTIFS('30_NGAN_HANG'!$B:$B,A186,'30_NGAN_HANG'!$Y:$Y,"Approved"))</f>
        <v/>
      </c>
    </row>
    <row r="187">
      <c r="O187">
        <f>IF(A187="","",COUNTIF('30_NGAN_HANG'!$B:$B,A187))</f>
        <v/>
      </c>
      <c r="P187">
        <f>IF(A187="","",COUNTIFS('30_NGAN_HANG'!$B:$B,A187,'30_NGAN_HANG'!$Y:$Y,"Approved"))</f>
        <v/>
      </c>
    </row>
    <row r="188">
      <c r="O188">
        <f>IF(A188="","",COUNTIF('30_NGAN_HANG'!$B:$B,A188))</f>
        <v/>
      </c>
      <c r="P188">
        <f>IF(A188="","",COUNTIFS('30_NGAN_HANG'!$B:$B,A188,'30_NGAN_HANG'!$Y:$Y,"Approved"))</f>
        <v/>
      </c>
    </row>
    <row r="189">
      <c r="O189">
        <f>IF(A189="","",COUNTIF('30_NGAN_HANG'!$B:$B,A189))</f>
        <v/>
      </c>
      <c r="P189">
        <f>IF(A189="","",COUNTIFS('30_NGAN_HANG'!$B:$B,A189,'30_NGAN_HANG'!$Y:$Y,"Approved"))</f>
        <v/>
      </c>
    </row>
    <row r="190">
      <c r="O190">
        <f>IF(A190="","",COUNTIF('30_NGAN_HANG'!$B:$B,A190))</f>
        <v/>
      </c>
      <c r="P190">
        <f>IF(A190="","",COUNTIFS('30_NGAN_HANG'!$B:$B,A190,'30_NGAN_HANG'!$Y:$Y,"Approved"))</f>
        <v/>
      </c>
    </row>
    <row r="191">
      <c r="O191">
        <f>IF(A191="","",COUNTIF('30_NGAN_HANG'!$B:$B,A191))</f>
        <v/>
      </c>
      <c r="P191">
        <f>IF(A191="","",COUNTIFS('30_NGAN_HANG'!$B:$B,A191,'30_NGAN_HANG'!$Y:$Y,"Approved"))</f>
        <v/>
      </c>
    </row>
    <row r="192">
      <c r="O192">
        <f>IF(A192="","",COUNTIF('30_NGAN_HANG'!$B:$B,A192))</f>
        <v/>
      </c>
      <c r="P192">
        <f>IF(A192="","",COUNTIFS('30_NGAN_HANG'!$B:$B,A192,'30_NGAN_HANG'!$Y:$Y,"Approved"))</f>
        <v/>
      </c>
    </row>
    <row r="193">
      <c r="O193">
        <f>IF(A193="","",COUNTIF('30_NGAN_HANG'!$B:$B,A193))</f>
        <v/>
      </c>
      <c r="P193">
        <f>IF(A193="","",COUNTIFS('30_NGAN_HANG'!$B:$B,A193,'30_NGAN_HANG'!$Y:$Y,"Approved"))</f>
        <v/>
      </c>
    </row>
    <row r="194">
      <c r="O194">
        <f>IF(A194="","",COUNTIF('30_NGAN_HANG'!$B:$B,A194))</f>
        <v/>
      </c>
      <c r="P194">
        <f>IF(A194="","",COUNTIFS('30_NGAN_HANG'!$B:$B,A194,'30_NGAN_HANG'!$Y:$Y,"Approved"))</f>
        <v/>
      </c>
    </row>
    <row r="195">
      <c r="O195">
        <f>IF(A195="","",COUNTIF('30_NGAN_HANG'!$B:$B,A195))</f>
        <v/>
      </c>
      <c r="P195">
        <f>IF(A195="","",COUNTIFS('30_NGAN_HANG'!$B:$B,A195,'30_NGAN_HANG'!$Y:$Y,"Approved"))</f>
        <v/>
      </c>
    </row>
    <row r="196">
      <c r="O196">
        <f>IF(A196="","",COUNTIF('30_NGAN_HANG'!$B:$B,A196))</f>
        <v/>
      </c>
      <c r="P196">
        <f>IF(A196="","",COUNTIFS('30_NGAN_HANG'!$B:$B,A196,'30_NGAN_HANG'!$Y:$Y,"Approved"))</f>
        <v/>
      </c>
    </row>
    <row r="197">
      <c r="O197">
        <f>IF(A197="","",COUNTIF('30_NGAN_HANG'!$B:$B,A197))</f>
        <v/>
      </c>
      <c r="P197">
        <f>IF(A197="","",COUNTIFS('30_NGAN_HANG'!$B:$B,A197,'30_NGAN_HANG'!$Y:$Y,"Approved"))</f>
        <v/>
      </c>
    </row>
    <row r="198">
      <c r="O198">
        <f>IF(A198="","",COUNTIF('30_NGAN_HANG'!$B:$B,A198))</f>
        <v/>
      </c>
      <c r="P198">
        <f>IF(A198="","",COUNTIFS('30_NGAN_HANG'!$B:$B,A198,'30_NGAN_HANG'!$Y:$Y,"Approved"))</f>
        <v/>
      </c>
    </row>
    <row r="199">
      <c r="O199">
        <f>IF(A199="","",COUNTIF('30_NGAN_HANG'!$B:$B,A199))</f>
        <v/>
      </c>
      <c r="P199">
        <f>IF(A199="","",COUNTIFS('30_NGAN_HANG'!$B:$B,A199,'30_NGAN_HANG'!$Y:$Y,"Approved"))</f>
        <v/>
      </c>
    </row>
    <row r="200">
      <c r="O200">
        <f>IF(A200="","",COUNTIF('30_NGAN_HANG'!$B:$B,A200))</f>
        <v/>
      </c>
      <c r="P200">
        <f>IF(A200="","",COUNTIFS('30_NGAN_HANG'!$B:$B,A200,'30_NGAN_HANG'!$Y:$Y,"Approved"))</f>
        <v/>
      </c>
    </row>
    <row r="201">
      <c r="O201">
        <f>IF(A201="","",COUNTIF('30_NGAN_HANG'!$B:$B,A201))</f>
        <v/>
      </c>
      <c r="P201">
        <f>IF(A201="","",COUNTIFS('30_NGAN_HANG'!$B:$B,A201,'30_NGAN_HANG'!$Y:$Y,"Approved"))</f>
        <v/>
      </c>
    </row>
    <row r="202">
      <c r="O202">
        <f>IF(A202="","",COUNTIF('30_NGAN_HANG'!$B:$B,A202))</f>
        <v/>
      </c>
      <c r="P202">
        <f>IF(A202="","",COUNTIFS('30_NGAN_HANG'!$B:$B,A202,'30_NGAN_HANG'!$Y:$Y,"Approved"))</f>
        <v/>
      </c>
    </row>
    <row r="203">
      <c r="O203">
        <f>IF(A203="","",COUNTIF('30_NGAN_HANG'!$B:$B,A203))</f>
        <v/>
      </c>
      <c r="P203">
        <f>IF(A203="","",COUNTIFS('30_NGAN_HANG'!$B:$B,A203,'30_NGAN_HANG'!$Y:$Y,"Approved"))</f>
        <v/>
      </c>
    </row>
    <row r="204">
      <c r="O204">
        <f>IF(A204="","",COUNTIF('30_NGAN_HANG'!$B:$B,A204))</f>
        <v/>
      </c>
      <c r="P204">
        <f>IF(A204="","",COUNTIFS('30_NGAN_HANG'!$B:$B,A204,'30_NGAN_HANG'!$Y:$Y,"Approved"))</f>
        <v/>
      </c>
    </row>
    <row r="205">
      <c r="O205">
        <f>IF(A205="","",COUNTIF('30_NGAN_HANG'!$B:$B,A205))</f>
        <v/>
      </c>
      <c r="P205">
        <f>IF(A205="","",COUNTIFS('30_NGAN_HANG'!$B:$B,A205,'30_NGAN_HANG'!$Y:$Y,"Approved"))</f>
        <v/>
      </c>
    </row>
    <row r="206">
      <c r="O206">
        <f>IF(A206="","",COUNTIF('30_NGAN_HANG'!$B:$B,A206))</f>
        <v/>
      </c>
      <c r="P206">
        <f>IF(A206="","",COUNTIFS('30_NGAN_HANG'!$B:$B,A206,'30_NGAN_HANG'!$Y:$Y,"Approved"))</f>
        <v/>
      </c>
    </row>
    <row r="207">
      <c r="O207">
        <f>IF(A207="","",COUNTIF('30_NGAN_HANG'!$B:$B,A207))</f>
        <v/>
      </c>
      <c r="P207">
        <f>IF(A207="","",COUNTIFS('30_NGAN_HANG'!$B:$B,A207,'30_NGAN_HANG'!$Y:$Y,"Approved"))</f>
        <v/>
      </c>
    </row>
    <row r="208">
      <c r="O208">
        <f>IF(A208="","",COUNTIF('30_NGAN_HANG'!$B:$B,A208))</f>
        <v/>
      </c>
      <c r="P208">
        <f>IF(A208="","",COUNTIFS('30_NGAN_HANG'!$B:$B,A208,'30_NGAN_HANG'!$Y:$Y,"Approved"))</f>
        <v/>
      </c>
    </row>
    <row r="209">
      <c r="O209">
        <f>IF(A209="","",COUNTIF('30_NGAN_HANG'!$B:$B,A209))</f>
        <v/>
      </c>
      <c r="P209">
        <f>IF(A209="","",COUNTIFS('30_NGAN_HANG'!$B:$B,A209,'30_NGAN_HANG'!$Y:$Y,"Approved"))</f>
        <v/>
      </c>
    </row>
    <row r="210">
      <c r="O210">
        <f>IF(A210="","",COUNTIF('30_NGAN_HANG'!$B:$B,A210))</f>
        <v/>
      </c>
      <c r="P210">
        <f>IF(A210="","",COUNTIFS('30_NGAN_HANG'!$B:$B,A210,'30_NGAN_HANG'!$Y:$Y,"Approved"))</f>
        <v/>
      </c>
    </row>
    <row r="211">
      <c r="O211">
        <f>IF(A211="","",COUNTIF('30_NGAN_HANG'!$B:$B,A211))</f>
        <v/>
      </c>
      <c r="P211">
        <f>IF(A211="","",COUNTIFS('30_NGAN_HANG'!$B:$B,A211,'30_NGAN_HANG'!$Y:$Y,"Approved"))</f>
        <v/>
      </c>
    </row>
    <row r="212">
      <c r="O212">
        <f>IF(A212="","",COUNTIF('30_NGAN_HANG'!$B:$B,A212))</f>
        <v/>
      </c>
      <c r="P212">
        <f>IF(A212="","",COUNTIFS('30_NGAN_HANG'!$B:$B,A212,'30_NGAN_HANG'!$Y:$Y,"Approved"))</f>
        <v/>
      </c>
    </row>
    <row r="213">
      <c r="O213">
        <f>IF(A213="","",COUNTIF('30_NGAN_HANG'!$B:$B,A213))</f>
        <v/>
      </c>
      <c r="P213">
        <f>IF(A213="","",COUNTIFS('30_NGAN_HANG'!$B:$B,A213,'30_NGAN_HANG'!$Y:$Y,"Approved"))</f>
        <v/>
      </c>
    </row>
    <row r="214">
      <c r="O214">
        <f>IF(A214="","",COUNTIF('30_NGAN_HANG'!$B:$B,A214))</f>
        <v/>
      </c>
      <c r="P214">
        <f>IF(A214="","",COUNTIFS('30_NGAN_HANG'!$B:$B,A214,'30_NGAN_HANG'!$Y:$Y,"Approved"))</f>
        <v/>
      </c>
    </row>
    <row r="215">
      <c r="O215">
        <f>IF(A215="","",COUNTIF('30_NGAN_HANG'!$B:$B,A215))</f>
        <v/>
      </c>
      <c r="P215">
        <f>IF(A215="","",COUNTIFS('30_NGAN_HANG'!$B:$B,A215,'30_NGAN_HANG'!$Y:$Y,"Approved"))</f>
        <v/>
      </c>
    </row>
    <row r="216">
      <c r="O216">
        <f>IF(A216="","",COUNTIF('30_NGAN_HANG'!$B:$B,A216))</f>
        <v/>
      </c>
      <c r="P216">
        <f>IF(A216="","",COUNTIFS('30_NGAN_HANG'!$B:$B,A216,'30_NGAN_HANG'!$Y:$Y,"Approved"))</f>
        <v/>
      </c>
    </row>
    <row r="217">
      <c r="O217">
        <f>IF(A217="","",COUNTIF('30_NGAN_HANG'!$B:$B,A217))</f>
        <v/>
      </c>
      <c r="P217">
        <f>IF(A217="","",COUNTIFS('30_NGAN_HANG'!$B:$B,A217,'30_NGAN_HANG'!$Y:$Y,"Approved"))</f>
        <v/>
      </c>
    </row>
    <row r="218">
      <c r="O218">
        <f>IF(A218="","",COUNTIF('30_NGAN_HANG'!$B:$B,A218))</f>
        <v/>
      </c>
      <c r="P218">
        <f>IF(A218="","",COUNTIFS('30_NGAN_HANG'!$B:$B,A218,'30_NGAN_HANG'!$Y:$Y,"Approved"))</f>
        <v/>
      </c>
    </row>
    <row r="219">
      <c r="O219">
        <f>IF(A219="","",COUNTIF('30_NGAN_HANG'!$B:$B,A219))</f>
        <v/>
      </c>
      <c r="P219">
        <f>IF(A219="","",COUNTIFS('30_NGAN_HANG'!$B:$B,A219,'30_NGAN_HANG'!$Y:$Y,"Approved"))</f>
        <v/>
      </c>
    </row>
    <row r="220">
      <c r="O220">
        <f>IF(A220="","",COUNTIF('30_NGAN_HANG'!$B:$B,A220))</f>
        <v/>
      </c>
      <c r="P220">
        <f>IF(A220="","",COUNTIFS('30_NGAN_HANG'!$B:$B,A220,'30_NGAN_HANG'!$Y:$Y,"Approved"))</f>
        <v/>
      </c>
    </row>
    <row r="221">
      <c r="O221">
        <f>IF(A221="","",COUNTIF('30_NGAN_HANG'!$B:$B,A221))</f>
        <v/>
      </c>
      <c r="P221">
        <f>IF(A221="","",COUNTIFS('30_NGAN_HANG'!$B:$B,A221,'30_NGAN_HANG'!$Y:$Y,"Approved"))</f>
        <v/>
      </c>
    </row>
    <row r="222">
      <c r="O222">
        <f>IF(A222="","",COUNTIF('30_NGAN_HANG'!$B:$B,A222))</f>
        <v/>
      </c>
      <c r="P222">
        <f>IF(A222="","",COUNTIFS('30_NGAN_HANG'!$B:$B,A222,'30_NGAN_HANG'!$Y:$Y,"Approved"))</f>
        <v/>
      </c>
    </row>
    <row r="223">
      <c r="O223">
        <f>IF(A223="","",COUNTIF('30_NGAN_HANG'!$B:$B,A223))</f>
        <v/>
      </c>
      <c r="P223">
        <f>IF(A223="","",COUNTIFS('30_NGAN_HANG'!$B:$B,A223,'30_NGAN_HANG'!$Y:$Y,"Approved"))</f>
        <v/>
      </c>
    </row>
    <row r="224">
      <c r="O224">
        <f>IF(A224="","",COUNTIF('30_NGAN_HANG'!$B:$B,A224))</f>
        <v/>
      </c>
      <c r="P224">
        <f>IF(A224="","",COUNTIFS('30_NGAN_HANG'!$B:$B,A224,'30_NGAN_HANG'!$Y:$Y,"Approved"))</f>
        <v/>
      </c>
    </row>
    <row r="225">
      <c r="O225">
        <f>IF(A225="","",COUNTIF('30_NGAN_HANG'!$B:$B,A225))</f>
        <v/>
      </c>
      <c r="P225">
        <f>IF(A225="","",COUNTIFS('30_NGAN_HANG'!$B:$B,A225,'30_NGAN_HANG'!$Y:$Y,"Approved"))</f>
        <v/>
      </c>
    </row>
    <row r="226">
      <c r="O226">
        <f>IF(A226="","",COUNTIF('30_NGAN_HANG'!$B:$B,A226))</f>
        <v/>
      </c>
      <c r="P226">
        <f>IF(A226="","",COUNTIFS('30_NGAN_HANG'!$B:$B,A226,'30_NGAN_HANG'!$Y:$Y,"Approved"))</f>
        <v/>
      </c>
    </row>
    <row r="227">
      <c r="O227">
        <f>IF(A227="","",COUNTIF('30_NGAN_HANG'!$B:$B,A227))</f>
        <v/>
      </c>
      <c r="P227">
        <f>IF(A227="","",COUNTIFS('30_NGAN_HANG'!$B:$B,A227,'30_NGAN_HANG'!$Y:$Y,"Approved"))</f>
        <v/>
      </c>
    </row>
    <row r="228">
      <c r="O228">
        <f>IF(A228="","",COUNTIF('30_NGAN_HANG'!$B:$B,A228))</f>
        <v/>
      </c>
      <c r="P228">
        <f>IF(A228="","",COUNTIFS('30_NGAN_HANG'!$B:$B,A228,'30_NGAN_HANG'!$Y:$Y,"Approved"))</f>
        <v/>
      </c>
    </row>
    <row r="229">
      <c r="O229">
        <f>IF(A229="","",COUNTIF('30_NGAN_HANG'!$B:$B,A229))</f>
        <v/>
      </c>
      <c r="P229">
        <f>IF(A229="","",COUNTIFS('30_NGAN_HANG'!$B:$B,A229,'30_NGAN_HANG'!$Y:$Y,"Approved"))</f>
        <v/>
      </c>
    </row>
    <row r="230">
      <c r="O230">
        <f>IF(A230="","",COUNTIF('30_NGAN_HANG'!$B:$B,A230))</f>
        <v/>
      </c>
      <c r="P230">
        <f>IF(A230="","",COUNTIFS('30_NGAN_HANG'!$B:$B,A230,'30_NGAN_HANG'!$Y:$Y,"Approved"))</f>
        <v/>
      </c>
    </row>
    <row r="231">
      <c r="O231">
        <f>IF(A231="","",COUNTIF('30_NGAN_HANG'!$B:$B,A231))</f>
        <v/>
      </c>
      <c r="P231">
        <f>IF(A231="","",COUNTIFS('30_NGAN_HANG'!$B:$B,A231,'30_NGAN_HANG'!$Y:$Y,"Approved"))</f>
        <v/>
      </c>
    </row>
    <row r="232">
      <c r="O232">
        <f>IF(A232="","",COUNTIF('30_NGAN_HANG'!$B:$B,A232))</f>
        <v/>
      </c>
      <c r="P232">
        <f>IF(A232="","",COUNTIFS('30_NGAN_HANG'!$B:$B,A232,'30_NGAN_HANG'!$Y:$Y,"Approved"))</f>
        <v/>
      </c>
    </row>
    <row r="233">
      <c r="O233">
        <f>IF(A233="","",COUNTIF('30_NGAN_HANG'!$B:$B,A233))</f>
        <v/>
      </c>
      <c r="P233">
        <f>IF(A233="","",COUNTIFS('30_NGAN_HANG'!$B:$B,A233,'30_NGAN_HANG'!$Y:$Y,"Approved"))</f>
        <v/>
      </c>
    </row>
    <row r="234">
      <c r="O234">
        <f>IF(A234="","",COUNTIF('30_NGAN_HANG'!$B:$B,A234))</f>
        <v/>
      </c>
      <c r="P234">
        <f>IF(A234="","",COUNTIFS('30_NGAN_HANG'!$B:$B,A234,'30_NGAN_HANG'!$Y:$Y,"Approved"))</f>
        <v/>
      </c>
    </row>
    <row r="235">
      <c r="O235">
        <f>IF(A235="","",COUNTIF('30_NGAN_HANG'!$B:$B,A235))</f>
        <v/>
      </c>
      <c r="P235">
        <f>IF(A235="","",COUNTIFS('30_NGAN_HANG'!$B:$B,A235,'30_NGAN_HANG'!$Y:$Y,"Approved"))</f>
        <v/>
      </c>
    </row>
    <row r="236">
      <c r="O236">
        <f>IF(A236="","",COUNTIF('30_NGAN_HANG'!$B:$B,A236))</f>
        <v/>
      </c>
      <c r="P236">
        <f>IF(A236="","",COUNTIFS('30_NGAN_HANG'!$B:$B,A236,'30_NGAN_HANG'!$Y:$Y,"Approved"))</f>
        <v/>
      </c>
    </row>
    <row r="237">
      <c r="O237">
        <f>IF(A237="","",COUNTIF('30_NGAN_HANG'!$B:$B,A237))</f>
        <v/>
      </c>
      <c r="P237">
        <f>IF(A237="","",COUNTIFS('30_NGAN_HANG'!$B:$B,A237,'30_NGAN_HANG'!$Y:$Y,"Approved"))</f>
        <v/>
      </c>
    </row>
    <row r="238">
      <c r="O238">
        <f>IF(A238="","",COUNTIF('30_NGAN_HANG'!$B:$B,A238))</f>
        <v/>
      </c>
      <c r="P238">
        <f>IF(A238="","",COUNTIFS('30_NGAN_HANG'!$B:$B,A238,'30_NGAN_HANG'!$Y:$Y,"Approved"))</f>
        <v/>
      </c>
    </row>
    <row r="239">
      <c r="O239">
        <f>IF(A239="","",COUNTIF('30_NGAN_HANG'!$B:$B,A239))</f>
        <v/>
      </c>
      <c r="P239">
        <f>IF(A239="","",COUNTIFS('30_NGAN_HANG'!$B:$B,A239,'30_NGAN_HANG'!$Y:$Y,"Approved"))</f>
        <v/>
      </c>
    </row>
    <row r="240">
      <c r="O240">
        <f>IF(A240="","",COUNTIF('30_NGAN_HANG'!$B:$B,A240))</f>
        <v/>
      </c>
      <c r="P240">
        <f>IF(A240="","",COUNTIFS('30_NGAN_HANG'!$B:$B,A240,'30_NGAN_HANG'!$Y:$Y,"Approved"))</f>
        <v/>
      </c>
    </row>
    <row r="241">
      <c r="O241">
        <f>IF(A241="","",COUNTIF('30_NGAN_HANG'!$B:$B,A241))</f>
        <v/>
      </c>
      <c r="P241">
        <f>IF(A241="","",COUNTIFS('30_NGAN_HANG'!$B:$B,A241,'30_NGAN_HANG'!$Y:$Y,"Approved"))</f>
        <v/>
      </c>
    </row>
    <row r="242">
      <c r="O242">
        <f>IF(A242="","",COUNTIF('30_NGAN_HANG'!$B:$B,A242))</f>
        <v/>
      </c>
      <c r="P242">
        <f>IF(A242="","",COUNTIFS('30_NGAN_HANG'!$B:$B,A242,'30_NGAN_HANG'!$Y:$Y,"Approved"))</f>
        <v/>
      </c>
    </row>
    <row r="243">
      <c r="O243">
        <f>IF(A243="","",COUNTIF('30_NGAN_HANG'!$B:$B,A243))</f>
        <v/>
      </c>
      <c r="P243">
        <f>IF(A243="","",COUNTIFS('30_NGAN_HANG'!$B:$B,A243,'30_NGAN_HANG'!$Y:$Y,"Approved"))</f>
        <v/>
      </c>
    </row>
    <row r="244">
      <c r="O244">
        <f>IF(A244="","",COUNTIF('30_NGAN_HANG'!$B:$B,A244))</f>
        <v/>
      </c>
      <c r="P244">
        <f>IF(A244="","",COUNTIFS('30_NGAN_HANG'!$B:$B,A244,'30_NGAN_HANG'!$Y:$Y,"Approved"))</f>
        <v/>
      </c>
    </row>
    <row r="245">
      <c r="O245">
        <f>IF(A245="","",COUNTIF('30_NGAN_HANG'!$B:$B,A245))</f>
        <v/>
      </c>
      <c r="P245">
        <f>IF(A245="","",COUNTIFS('30_NGAN_HANG'!$B:$B,A245,'30_NGAN_HANG'!$Y:$Y,"Approved"))</f>
        <v/>
      </c>
    </row>
    <row r="246">
      <c r="O246">
        <f>IF(A246="","",COUNTIF('30_NGAN_HANG'!$B:$B,A246))</f>
        <v/>
      </c>
      <c r="P246">
        <f>IF(A246="","",COUNTIFS('30_NGAN_HANG'!$B:$B,A246,'30_NGAN_HANG'!$Y:$Y,"Approved"))</f>
        <v/>
      </c>
    </row>
    <row r="247">
      <c r="O247">
        <f>IF(A247="","",COUNTIF('30_NGAN_HANG'!$B:$B,A247))</f>
        <v/>
      </c>
      <c r="P247">
        <f>IF(A247="","",COUNTIFS('30_NGAN_HANG'!$B:$B,A247,'30_NGAN_HANG'!$Y:$Y,"Approved"))</f>
        <v/>
      </c>
    </row>
    <row r="248">
      <c r="O248">
        <f>IF(A248="","",COUNTIF('30_NGAN_HANG'!$B:$B,A248))</f>
        <v/>
      </c>
      <c r="P248">
        <f>IF(A248="","",COUNTIFS('30_NGAN_HANG'!$B:$B,A248,'30_NGAN_HANG'!$Y:$Y,"Approved"))</f>
        <v/>
      </c>
    </row>
    <row r="249">
      <c r="O249">
        <f>IF(A249="","",COUNTIF('30_NGAN_HANG'!$B:$B,A249))</f>
        <v/>
      </c>
      <c r="P249">
        <f>IF(A249="","",COUNTIFS('30_NGAN_HANG'!$B:$B,A249,'30_NGAN_HANG'!$Y:$Y,"Approved"))</f>
        <v/>
      </c>
    </row>
    <row r="250">
      <c r="O250">
        <f>IF(A250="","",COUNTIF('30_NGAN_HANG'!$B:$B,A250))</f>
        <v/>
      </c>
      <c r="P250">
        <f>IF(A250="","",COUNTIFS('30_NGAN_HANG'!$B:$B,A250,'30_NGAN_HANG'!$Y:$Y,"Approved"))</f>
        <v/>
      </c>
    </row>
    <row r="251">
      <c r="O251">
        <f>IF(A251="","",COUNTIF('30_NGAN_HANG'!$B:$B,A251))</f>
        <v/>
      </c>
      <c r="P251">
        <f>IF(A251="","",COUNTIFS('30_NGAN_HANG'!$B:$B,A251,'30_NGAN_HANG'!$Y:$Y,"Approved"))</f>
        <v/>
      </c>
    </row>
    <row r="252">
      <c r="O252">
        <f>IF(A252="","",COUNTIF('30_NGAN_HANG'!$B:$B,A252))</f>
        <v/>
      </c>
      <c r="P252">
        <f>IF(A252="","",COUNTIFS('30_NGAN_HANG'!$B:$B,A252,'30_NGAN_HANG'!$Y:$Y,"Approved"))</f>
        <v/>
      </c>
    </row>
    <row r="253">
      <c r="O253">
        <f>IF(A253="","",COUNTIF('30_NGAN_HANG'!$B:$B,A253))</f>
        <v/>
      </c>
      <c r="P253">
        <f>IF(A253="","",COUNTIFS('30_NGAN_HANG'!$B:$B,A253,'30_NGAN_HANG'!$Y:$Y,"Approved"))</f>
        <v/>
      </c>
    </row>
    <row r="254">
      <c r="O254">
        <f>IF(A254="","",COUNTIF('30_NGAN_HANG'!$B:$B,A254))</f>
        <v/>
      </c>
      <c r="P254">
        <f>IF(A254="","",COUNTIFS('30_NGAN_HANG'!$B:$B,A254,'30_NGAN_HANG'!$Y:$Y,"Approved"))</f>
        <v/>
      </c>
    </row>
    <row r="255">
      <c r="O255">
        <f>IF(A255="","",COUNTIF('30_NGAN_HANG'!$B:$B,A255))</f>
        <v/>
      </c>
      <c r="P255">
        <f>IF(A255="","",COUNTIFS('30_NGAN_HANG'!$B:$B,A255,'30_NGAN_HANG'!$Y:$Y,"Approved"))</f>
        <v/>
      </c>
    </row>
    <row r="256">
      <c r="O256">
        <f>IF(A256="","",COUNTIF('30_NGAN_HANG'!$B:$B,A256))</f>
        <v/>
      </c>
      <c r="P256">
        <f>IF(A256="","",COUNTIFS('30_NGAN_HANG'!$B:$B,A256,'30_NGAN_HANG'!$Y:$Y,"Approved"))</f>
        <v/>
      </c>
    </row>
    <row r="257">
      <c r="O257">
        <f>IF(A257="","",COUNTIF('30_NGAN_HANG'!$B:$B,A257))</f>
        <v/>
      </c>
      <c r="P257">
        <f>IF(A257="","",COUNTIFS('30_NGAN_HANG'!$B:$B,A257,'30_NGAN_HANG'!$Y:$Y,"Approved"))</f>
        <v/>
      </c>
    </row>
    <row r="258">
      <c r="O258">
        <f>IF(A258="","",COUNTIF('30_NGAN_HANG'!$B:$B,A258))</f>
        <v/>
      </c>
      <c r="P258">
        <f>IF(A258="","",COUNTIFS('30_NGAN_HANG'!$B:$B,A258,'30_NGAN_HANG'!$Y:$Y,"Approved"))</f>
        <v/>
      </c>
    </row>
    <row r="259">
      <c r="O259">
        <f>IF(A259="","",COUNTIF('30_NGAN_HANG'!$B:$B,A259))</f>
        <v/>
      </c>
      <c r="P259">
        <f>IF(A259="","",COUNTIFS('30_NGAN_HANG'!$B:$B,A259,'30_NGAN_HANG'!$Y:$Y,"Approved"))</f>
        <v/>
      </c>
    </row>
    <row r="260">
      <c r="O260">
        <f>IF(A260="","",COUNTIF('30_NGAN_HANG'!$B:$B,A260))</f>
        <v/>
      </c>
      <c r="P260">
        <f>IF(A260="","",COUNTIFS('30_NGAN_HANG'!$B:$B,A260,'30_NGAN_HANG'!$Y:$Y,"Approved"))</f>
        <v/>
      </c>
    </row>
    <row r="261">
      <c r="O261">
        <f>IF(A261="","",COUNTIF('30_NGAN_HANG'!$B:$B,A261))</f>
        <v/>
      </c>
      <c r="P261">
        <f>IF(A261="","",COUNTIFS('30_NGAN_HANG'!$B:$B,A261,'30_NGAN_HANG'!$Y:$Y,"Approved"))</f>
        <v/>
      </c>
    </row>
    <row r="262">
      <c r="O262">
        <f>IF(A262="","",COUNTIF('30_NGAN_HANG'!$B:$B,A262))</f>
        <v/>
      </c>
      <c r="P262">
        <f>IF(A262="","",COUNTIFS('30_NGAN_HANG'!$B:$B,A262,'30_NGAN_HANG'!$Y:$Y,"Approved"))</f>
        <v/>
      </c>
    </row>
    <row r="263">
      <c r="O263">
        <f>IF(A263="","",COUNTIF('30_NGAN_HANG'!$B:$B,A263))</f>
        <v/>
      </c>
      <c r="P263">
        <f>IF(A263="","",COUNTIFS('30_NGAN_HANG'!$B:$B,A263,'30_NGAN_HANG'!$Y:$Y,"Approved"))</f>
        <v/>
      </c>
    </row>
    <row r="264">
      <c r="O264">
        <f>IF(A264="","",COUNTIF('30_NGAN_HANG'!$B:$B,A264))</f>
        <v/>
      </c>
      <c r="P264">
        <f>IF(A264="","",COUNTIFS('30_NGAN_HANG'!$B:$B,A264,'30_NGAN_HANG'!$Y:$Y,"Approved"))</f>
        <v/>
      </c>
    </row>
    <row r="265">
      <c r="O265">
        <f>IF(A265="","",COUNTIF('30_NGAN_HANG'!$B:$B,A265))</f>
        <v/>
      </c>
      <c r="P265">
        <f>IF(A265="","",COUNTIFS('30_NGAN_HANG'!$B:$B,A265,'30_NGAN_HANG'!$Y:$Y,"Approved"))</f>
        <v/>
      </c>
    </row>
    <row r="266">
      <c r="O266">
        <f>IF(A266="","",COUNTIF('30_NGAN_HANG'!$B:$B,A266))</f>
        <v/>
      </c>
      <c r="P266">
        <f>IF(A266="","",COUNTIFS('30_NGAN_HANG'!$B:$B,A266,'30_NGAN_HANG'!$Y:$Y,"Approved"))</f>
        <v/>
      </c>
    </row>
    <row r="267">
      <c r="O267">
        <f>IF(A267="","",COUNTIF('30_NGAN_HANG'!$B:$B,A267))</f>
        <v/>
      </c>
      <c r="P267">
        <f>IF(A267="","",COUNTIFS('30_NGAN_HANG'!$B:$B,A267,'30_NGAN_HANG'!$Y:$Y,"Approved"))</f>
        <v/>
      </c>
    </row>
    <row r="268">
      <c r="O268">
        <f>IF(A268="","",COUNTIF('30_NGAN_HANG'!$B:$B,A268))</f>
        <v/>
      </c>
      <c r="P268">
        <f>IF(A268="","",COUNTIFS('30_NGAN_HANG'!$B:$B,A268,'30_NGAN_HANG'!$Y:$Y,"Approved"))</f>
        <v/>
      </c>
    </row>
    <row r="269">
      <c r="O269">
        <f>IF(A269="","",COUNTIF('30_NGAN_HANG'!$B:$B,A269))</f>
        <v/>
      </c>
      <c r="P269">
        <f>IF(A269="","",COUNTIFS('30_NGAN_HANG'!$B:$B,A269,'30_NGAN_HANG'!$Y:$Y,"Approved"))</f>
        <v/>
      </c>
    </row>
    <row r="270">
      <c r="O270">
        <f>IF(A270="","",COUNTIF('30_NGAN_HANG'!$B:$B,A270))</f>
        <v/>
      </c>
      <c r="P270">
        <f>IF(A270="","",COUNTIFS('30_NGAN_HANG'!$B:$B,A270,'30_NGAN_HANG'!$Y:$Y,"Approved"))</f>
        <v/>
      </c>
    </row>
    <row r="271">
      <c r="O271">
        <f>IF(A271="","",COUNTIF('30_NGAN_HANG'!$B:$B,A271))</f>
        <v/>
      </c>
      <c r="P271">
        <f>IF(A271="","",COUNTIFS('30_NGAN_HANG'!$B:$B,A271,'30_NGAN_HANG'!$Y:$Y,"Approved"))</f>
        <v/>
      </c>
    </row>
    <row r="272">
      <c r="O272">
        <f>IF(A272="","",COUNTIF('30_NGAN_HANG'!$B:$B,A272))</f>
        <v/>
      </c>
      <c r="P272">
        <f>IF(A272="","",COUNTIFS('30_NGAN_HANG'!$B:$B,A272,'30_NGAN_HANG'!$Y:$Y,"Approved"))</f>
        <v/>
      </c>
    </row>
    <row r="273">
      <c r="O273">
        <f>IF(A273="","",COUNTIF('30_NGAN_HANG'!$B:$B,A273))</f>
        <v/>
      </c>
      <c r="P273">
        <f>IF(A273="","",COUNTIFS('30_NGAN_HANG'!$B:$B,A273,'30_NGAN_HANG'!$Y:$Y,"Approved"))</f>
        <v/>
      </c>
    </row>
    <row r="274">
      <c r="O274">
        <f>IF(A274="","",COUNTIF('30_NGAN_HANG'!$B:$B,A274))</f>
        <v/>
      </c>
      <c r="P274">
        <f>IF(A274="","",COUNTIFS('30_NGAN_HANG'!$B:$B,A274,'30_NGAN_HANG'!$Y:$Y,"Approved"))</f>
        <v/>
      </c>
    </row>
    <row r="275">
      <c r="O275">
        <f>IF(A275="","",COUNTIF('30_NGAN_HANG'!$B:$B,A275))</f>
        <v/>
      </c>
      <c r="P275">
        <f>IF(A275="","",COUNTIFS('30_NGAN_HANG'!$B:$B,A275,'30_NGAN_HANG'!$Y:$Y,"Approved"))</f>
        <v/>
      </c>
    </row>
    <row r="276">
      <c r="O276">
        <f>IF(A276="","",COUNTIF('30_NGAN_HANG'!$B:$B,A276))</f>
        <v/>
      </c>
      <c r="P276">
        <f>IF(A276="","",COUNTIFS('30_NGAN_HANG'!$B:$B,A276,'30_NGAN_HANG'!$Y:$Y,"Approved"))</f>
        <v/>
      </c>
    </row>
    <row r="277">
      <c r="O277">
        <f>IF(A277="","",COUNTIF('30_NGAN_HANG'!$B:$B,A277))</f>
        <v/>
      </c>
      <c r="P277">
        <f>IF(A277="","",COUNTIFS('30_NGAN_HANG'!$B:$B,A277,'30_NGAN_HANG'!$Y:$Y,"Approved"))</f>
        <v/>
      </c>
    </row>
    <row r="278">
      <c r="O278">
        <f>IF(A278="","",COUNTIF('30_NGAN_HANG'!$B:$B,A278))</f>
        <v/>
      </c>
      <c r="P278">
        <f>IF(A278="","",COUNTIFS('30_NGAN_HANG'!$B:$B,A278,'30_NGAN_HANG'!$Y:$Y,"Approved"))</f>
        <v/>
      </c>
    </row>
    <row r="279">
      <c r="O279">
        <f>IF(A279="","",COUNTIF('30_NGAN_HANG'!$B:$B,A279))</f>
        <v/>
      </c>
      <c r="P279">
        <f>IF(A279="","",COUNTIFS('30_NGAN_HANG'!$B:$B,A279,'30_NGAN_HANG'!$Y:$Y,"Approved"))</f>
        <v/>
      </c>
    </row>
    <row r="280">
      <c r="O280">
        <f>IF(A280="","",COUNTIF('30_NGAN_HANG'!$B:$B,A280))</f>
        <v/>
      </c>
      <c r="P280">
        <f>IF(A280="","",COUNTIFS('30_NGAN_HANG'!$B:$B,A280,'30_NGAN_HANG'!$Y:$Y,"Approved"))</f>
        <v/>
      </c>
    </row>
    <row r="281">
      <c r="O281">
        <f>IF(A281="","",COUNTIF('30_NGAN_HANG'!$B:$B,A281))</f>
        <v/>
      </c>
      <c r="P281">
        <f>IF(A281="","",COUNTIFS('30_NGAN_HANG'!$B:$B,A281,'30_NGAN_HANG'!$Y:$Y,"Approved"))</f>
        <v/>
      </c>
    </row>
    <row r="282">
      <c r="O282">
        <f>IF(A282="","",COUNTIF('30_NGAN_HANG'!$B:$B,A282))</f>
        <v/>
      </c>
      <c r="P282">
        <f>IF(A282="","",COUNTIFS('30_NGAN_HANG'!$B:$B,A282,'30_NGAN_HANG'!$Y:$Y,"Approved"))</f>
        <v/>
      </c>
    </row>
    <row r="283">
      <c r="O283">
        <f>IF(A283="","",COUNTIF('30_NGAN_HANG'!$B:$B,A283))</f>
        <v/>
      </c>
      <c r="P283">
        <f>IF(A283="","",COUNTIFS('30_NGAN_HANG'!$B:$B,A283,'30_NGAN_HANG'!$Y:$Y,"Approved"))</f>
        <v/>
      </c>
    </row>
    <row r="284">
      <c r="O284">
        <f>IF(A284="","",COUNTIF('30_NGAN_HANG'!$B:$B,A284))</f>
        <v/>
      </c>
      <c r="P284">
        <f>IF(A284="","",COUNTIFS('30_NGAN_HANG'!$B:$B,A284,'30_NGAN_HANG'!$Y:$Y,"Approved"))</f>
        <v/>
      </c>
    </row>
    <row r="285">
      <c r="O285">
        <f>IF(A285="","",COUNTIF('30_NGAN_HANG'!$B:$B,A285))</f>
        <v/>
      </c>
      <c r="P285">
        <f>IF(A285="","",COUNTIFS('30_NGAN_HANG'!$B:$B,A285,'30_NGAN_HANG'!$Y:$Y,"Approved"))</f>
        <v/>
      </c>
    </row>
    <row r="286">
      <c r="O286">
        <f>IF(A286="","",COUNTIF('30_NGAN_HANG'!$B:$B,A286))</f>
        <v/>
      </c>
      <c r="P286">
        <f>IF(A286="","",COUNTIFS('30_NGAN_HANG'!$B:$B,A286,'30_NGAN_HANG'!$Y:$Y,"Approved"))</f>
        <v/>
      </c>
    </row>
    <row r="287">
      <c r="O287">
        <f>IF(A287="","",COUNTIF('30_NGAN_HANG'!$B:$B,A287))</f>
        <v/>
      </c>
      <c r="P287">
        <f>IF(A287="","",COUNTIFS('30_NGAN_HANG'!$B:$B,A287,'30_NGAN_HANG'!$Y:$Y,"Approved"))</f>
        <v/>
      </c>
    </row>
    <row r="288">
      <c r="O288">
        <f>IF(A288="","",COUNTIF('30_NGAN_HANG'!$B:$B,A288))</f>
        <v/>
      </c>
      <c r="P288">
        <f>IF(A288="","",COUNTIFS('30_NGAN_HANG'!$B:$B,A288,'30_NGAN_HANG'!$Y:$Y,"Approved"))</f>
        <v/>
      </c>
    </row>
    <row r="289">
      <c r="O289">
        <f>IF(A289="","",COUNTIF('30_NGAN_HANG'!$B:$B,A289))</f>
        <v/>
      </c>
      <c r="P289">
        <f>IF(A289="","",COUNTIFS('30_NGAN_HANG'!$B:$B,A289,'30_NGAN_HANG'!$Y:$Y,"Approved"))</f>
        <v/>
      </c>
    </row>
    <row r="290">
      <c r="O290">
        <f>IF(A290="","",COUNTIF('30_NGAN_HANG'!$B:$B,A290))</f>
        <v/>
      </c>
      <c r="P290">
        <f>IF(A290="","",COUNTIFS('30_NGAN_HANG'!$B:$B,A290,'30_NGAN_HANG'!$Y:$Y,"Approved"))</f>
        <v/>
      </c>
    </row>
    <row r="291">
      <c r="O291">
        <f>IF(A291="","",COUNTIF('30_NGAN_HANG'!$B:$B,A291))</f>
        <v/>
      </c>
      <c r="P291">
        <f>IF(A291="","",COUNTIFS('30_NGAN_HANG'!$B:$B,A291,'30_NGAN_HANG'!$Y:$Y,"Approved"))</f>
        <v/>
      </c>
    </row>
    <row r="292">
      <c r="O292">
        <f>IF(A292="","",COUNTIF('30_NGAN_HANG'!$B:$B,A292))</f>
        <v/>
      </c>
      <c r="P292">
        <f>IF(A292="","",COUNTIFS('30_NGAN_HANG'!$B:$B,A292,'30_NGAN_HANG'!$Y:$Y,"Approved"))</f>
        <v/>
      </c>
    </row>
    <row r="293">
      <c r="O293">
        <f>IF(A293="","",COUNTIF('30_NGAN_HANG'!$B:$B,A293))</f>
        <v/>
      </c>
      <c r="P293">
        <f>IF(A293="","",COUNTIFS('30_NGAN_HANG'!$B:$B,A293,'30_NGAN_HANG'!$Y:$Y,"Approved"))</f>
        <v/>
      </c>
    </row>
    <row r="294">
      <c r="O294">
        <f>IF(A294="","",COUNTIF('30_NGAN_HANG'!$B:$B,A294))</f>
        <v/>
      </c>
      <c r="P294">
        <f>IF(A294="","",COUNTIFS('30_NGAN_HANG'!$B:$B,A294,'30_NGAN_HANG'!$Y:$Y,"Approved"))</f>
        <v/>
      </c>
    </row>
    <row r="295">
      <c r="O295">
        <f>IF(A295="","",COUNTIF('30_NGAN_HANG'!$B:$B,A295))</f>
        <v/>
      </c>
      <c r="P295">
        <f>IF(A295="","",COUNTIFS('30_NGAN_HANG'!$B:$B,A295,'30_NGAN_HANG'!$Y:$Y,"Approved"))</f>
        <v/>
      </c>
    </row>
    <row r="296">
      <c r="O296">
        <f>IF(A296="","",COUNTIF('30_NGAN_HANG'!$B:$B,A296))</f>
        <v/>
      </c>
      <c r="P296">
        <f>IF(A296="","",COUNTIFS('30_NGAN_HANG'!$B:$B,A296,'30_NGAN_HANG'!$Y:$Y,"Approved"))</f>
        <v/>
      </c>
    </row>
    <row r="297">
      <c r="O297">
        <f>IF(A297="","",COUNTIF('30_NGAN_HANG'!$B:$B,A297))</f>
        <v/>
      </c>
      <c r="P297">
        <f>IF(A297="","",COUNTIFS('30_NGAN_HANG'!$B:$B,A297,'30_NGAN_HANG'!$Y:$Y,"Approved"))</f>
        <v/>
      </c>
    </row>
    <row r="298">
      <c r="O298">
        <f>IF(A298="","",COUNTIF('30_NGAN_HANG'!$B:$B,A298))</f>
        <v/>
      </c>
      <c r="P298">
        <f>IF(A298="","",COUNTIFS('30_NGAN_HANG'!$B:$B,A298,'30_NGAN_HANG'!$Y:$Y,"Approved"))</f>
        <v/>
      </c>
    </row>
    <row r="299">
      <c r="O299">
        <f>IF(A299="","",COUNTIF('30_NGAN_HANG'!$B:$B,A299))</f>
        <v/>
      </c>
      <c r="P299">
        <f>IF(A299="","",COUNTIFS('30_NGAN_HANG'!$B:$B,A299,'30_NGAN_HANG'!$Y:$Y,"Approved"))</f>
        <v/>
      </c>
    </row>
    <row r="300">
      <c r="O300">
        <f>IF(A300="","",COUNTIF('30_NGAN_HANG'!$B:$B,A300))</f>
        <v/>
      </c>
      <c r="P300">
        <f>IF(A300="","",COUNTIFS('30_NGAN_HANG'!$B:$B,A300,'30_NGAN_HANG'!$Y:$Y,"Approved"))</f>
        <v/>
      </c>
    </row>
  </sheetData>
  <dataValidations count="4">
    <dataValidation sqref="C3:C300" showDropDown="0" showInputMessage="0" showErrorMessage="0" allowBlank="1" type="list">
      <formula1>='99_DANH_MUC'!$A$2:$A$4</formula1>
    </dataValidation>
    <dataValidation sqref="L3:L300" showDropDown="0" showInputMessage="0" showErrorMessage="0" allowBlank="1" type="list">
      <formula1>='99_DANH_MUC'!$G$2:$G$4</formula1>
    </dataValidation>
    <dataValidation sqref="N3:N300" showDropDown="0" showInputMessage="0" showErrorMessage="0" allowBlank="1" type="list">
      <formula1>='99_DANH_MUC'!$E$2:$E$5</formula1>
    </dataValidation>
    <dataValidation sqref="H3:H300" showDropDown="0" showInputMessage="0" showErrorMessage="0" allowBlank="1" type="list">
      <formula1>='99_DANH_MUC'!$H$2:$H$3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C55A11"/>
    <outlinePr summaryBelow="1" summaryRight="1"/>
    <pageSetUpPr/>
  </sheetPr>
  <dimension ref="A1:O30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12" customWidth="1" min="4" max="4"/>
    <col width="34" customWidth="1" min="5" max="5"/>
    <col width="18" customWidth="1" min="6" max="6"/>
    <col width="40" customWidth="1" min="7" max="7"/>
    <col width="36" customWidth="1" min="8" max="8"/>
    <col width="40" customWidth="1" min="9" max="9"/>
    <col width="32" customWidth="1" min="10" max="10"/>
    <col width="28" customWidth="1" min="11" max="11"/>
    <col width="24" customWidth="1" min="12" max="12"/>
    <col width="24" customWidth="1" min="13" max="13"/>
    <col width="32" customWidth="1" min="14" max="14"/>
    <col width="34" customWidth="1" min="15" max="15"/>
  </cols>
  <sheetData>
    <row r="1">
      <c r="A1" s="7" t="inlineStr">
        <is>
          <t>文字と語彙 › 語の使い方  |  1 dòng = 1 yêu cầu sinh câu. Cam = bắt buộc, vàng = gợi ý cho AI.</t>
        </is>
      </c>
    </row>
    <row r="2" ht="42" customHeight="1">
      <c r="A2" s="8" t="inlineStr">
        <is>
          <t>Mã yêu cầu</t>
        </is>
      </c>
      <c r="B2" s="8" t="inlineStr">
        <is>
          <t>Mã đề (kế hoạch)</t>
        </is>
      </c>
      <c r="C2" s="8" t="inlineStr">
        <is>
          <t>Quyển</t>
        </is>
      </c>
      <c r="D2" s="8" t="inlineStr">
        <is>
          <t>Bài</t>
        </is>
      </c>
      <c r="E2" s="8" t="inlineStr">
        <is>
          <t>Số câu cần sinh</t>
        </is>
      </c>
      <c r="F2" s="9" t="inlineStr">
        <is>
          <t>Từ đích</t>
        </is>
      </c>
      <c r="G2" s="9" t="inlineStr">
        <is>
          <t>Câu ngữ cảnh (có ___)</t>
        </is>
      </c>
      <c r="H2" s="13" t="inlineStr">
        <is>
          <t>Collocation đúng</t>
        </is>
      </c>
      <c r="I2" s="13" t="inlineStr">
        <is>
          <t>Lỗi dùng từ muốn bẫy</t>
        </is>
      </c>
      <c r="J2" s="8" t="inlineStr">
        <is>
          <t>Ghi chú cho AI</t>
        </is>
      </c>
      <c r="K2" s="8" t="inlineStr">
        <is>
          <t>Công cụ sinh</t>
        </is>
      </c>
      <c r="L2" s="8" t="inlineStr">
        <is>
          <t>Người nhập</t>
        </is>
      </c>
      <c r="M2" s="8" t="inlineStr">
        <is>
          <t>Trạng thái</t>
        </is>
      </c>
      <c r="N2" s="10" t="inlineStr">
        <is>
          <t>Số câu đã sinh</t>
        </is>
      </c>
      <c r="O2" s="10" t="inlineStr">
        <is>
          <t>Số câu Approved</t>
        </is>
      </c>
    </row>
    <row r="3">
      <c r="A3" t="inlineStr">
        <is>
          <t>IN_02-0001</t>
        </is>
      </c>
      <c r="C3" t="inlineStr">
        <is>
          <t>入門</t>
        </is>
      </c>
      <c r="D3" t="n">
        <v>1</v>
      </c>
      <c r="E3" t="n">
        <v>3</v>
      </c>
      <c r="F3" t="inlineStr">
        <is>
          <t>かける</t>
        </is>
      </c>
      <c r="G3" t="inlineStr">
        <is>
          <t>友だちに 電話を ___。</t>
        </is>
      </c>
      <c r="H3" t="inlineStr">
        <is>
          <t>電話を かける</t>
        </is>
      </c>
      <c r="I3" t="inlineStr">
        <is>
          <t>する;とる;いう</t>
        </is>
      </c>
      <c r="J3" t="inlineStr">
        <is>
          <t>VÍ DỤ — xoá dòng này khi dùng thật</t>
        </is>
      </c>
      <c r="K3" t="inlineStr">
        <is>
          <t>ChatGPT</t>
        </is>
      </c>
      <c r="M3" t="inlineStr">
        <is>
          <t>Nháp</t>
        </is>
      </c>
      <c r="N3">
        <f>IF(A3="","",COUNTIF('30_NGAN_HANG'!$B:$B,A3))</f>
        <v/>
      </c>
      <c r="O3">
        <f>IF(A3="","",COUNTIFS('30_NGAN_HANG'!$B:$B,A3,'30_NGAN_HANG'!$Y:$Y,"Approved"))</f>
        <v/>
      </c>
    </row>
    <row r="4">
      <c r="N4">
        <f>IF(A4="","",COUNTIF('30_NGAN_HANG'!$B:$B,A4))</f>
        <v/>
      </c>
      <c r="O4">
        <f>IF(A4="","",COUNTIFS('30_NGAN_HANG'!$B:$B,A4,'30_NGAN_HANG'!$Y:$Y,"Approved"))</f>
        <v/>
      </c>
    </row>
    <row r="5">
      <c r="N5">
        <f>IF(A5="","",COUNTIF('30_NGAN_HANG'!$B:$B,A5))</f>
        <v/>
      </c>
      <c r="O5">
        <f>IF(A5="","",COUNTIFS('30_NGAN_HANG'!$B:$B,A5,'30_NGAN_HANG'!$Y:$Y,"Approved"))</f>
        <v/>
      </c>
    </row>
    <row r="6">
      <c r="N6">
        <f>IF(A6="","",COUNTIF('30_NGAN_HANG'!$B:$B,A6))</f>
        <v/>
      </c>
      <c r="O6">
        <f>IF(A6="","",COUNTIFS('30_NGAN_HANG'!$B:$B,A6,'30_NGAN_HANG'!$Y:$Y,"Approved"))</f>
        <v/>
      </c>
    </row>
    <row r="7">
      <c r="N7">
        <f>IF(A7="","",COUNTIF('30_NGAN_HANG'!$B:$B,A7))</f>
        <v/>
      </c>
      <c r="O7">
        <f>IF(A7="","",COUNTIFS('30_NGAN_HANG'!$B:$B,A7,'30_NGAN_HANG'!$Y:$Y,"Approved"))</f>
        <v/>
      </c>
    </row>
    <row r="8">
      <c r="N8">
        <f>IF(A8="","",COUNTIF('30_NGAN_HANG'!$B:$B,A8))</f>
        <v/>
      </c>
      <c r="O8">
        <f>IF(A8="","",COUNTIFS('30_NGAN_HANG'!$B:$B,A8,'30_NGAN_HANG'!$Y:$Y,"Approved"))</f>
        <v/>
      </c>
    </row>
    <row r="9">
      <c r="N9">
        <f>IF(A9="","",COUNTIF('30_NGAN_HANG'!$B:$B,A9))</f>
        <v/>
      </c>
      <c r="O9">
        <f>IF(A9="","",COUNTIFS('30_NGAN_HANG'!$B:$B,A9,'30_NGAN_HANG'!$Y:$Y,"Approved"))</f>
        <v/>
      </c>
    </row>
    <row r="10">
      <c r="N10">
        <f>IF(A10="","",COUNTIF('30_NGAN_HANG'!$B:$B,A10))</f>
        <v/>
      </c>
      <c r="O10">
        <f>IF(A10="","",COUNTIFS('30_NGAN_HANG'!$B:$B,A10,'30_NGAN_HANG'!$Y:$Y,"Approved"))</f>
        <v/>
      </c>
    </row>
    <row r="11">
      <c r="N11">
        <f>IF(A11="","",COUNTIF('30_NGAN_HANG'!$B:$B,A11))</f>
        <v/>
      </c>
      <c r="O11">
        <f>IF(A11="","",COUNTIFS('30_NGAN_HANG'!$B:$B,A11,'30_NGAN_HANG'!$Y:$Y,"Approved"))</f>
        <v/>
      </c>
    </row>
    <row r="12">
      <c r="N12">
        <f>IF(A12="","",COUNTIF('30_NGAN_HANG'!$B:$B,A12))</f>
        <v/>
      </c>
      <c r="O12">
        <f>IF(A12="","",COUNTIFS('30_NGAN_HANG'!$B:$B,A12,'30_NGAN_HANG'!$Y:$Y,"Approved"))</f>
        <v/>
      </c>
    </row>
    <row r="13">
      <c r="N13">
        <f>IF(A13="","",COUNTIF('30_NGAN_HANG'!$B:$B,A13))</f>
        <v/>
      </c>
      <c r="O13">
        <f>IF(A13="","",COUNTIFS('30_NGAN_HANG'!$B:$B,A13,'30_NGAN_HANG'!$Y:$Y,"Approved"))</f>
        <v/>
      </c>
    </row>
    <row r="14">
      <c r="N14">
        <f>IF(A14="","",COUNTIF('30_NGAN_HANG'!$B:$B,A14))</f>
        <v/>
      </c>
      <c r="O14">
        <f>IF(A14="","",COUNTIFS('30_NGAN_HANG'!$B:$B,A14,'30_NGAN_HANG'!$Y:$Y,"Approved"))</f>
        <v/>
      </c>
    </row>
    <row r="15">
      <c r="N15">
        <f>IF(A15="","",COUNTIF('30_NGAN_HANG'!$B:$B,A15))</f>
        <v/>
      </c>
      <c r="O15">
        <f>IF(A15="","",COUNTIFS('30_NGAN_HANG'!$B:$B,A15,'30_NGAN_HANG'!$Y:$Y,"Approved"))</f>
        <v/>
      </c>
    </row>
    <row r="16">
      <c r="N16">
        <f>IF(A16="","",COUNTIF('30_NGAN_HANG'!$B:$B,A16))</f>
        <v/>
      </c>
      <c r="O16">
        <f>IF(A16="","",COUNTIFS('30_NGAN_HANG'!$B:$B,A16,'30_NGAN_HANG'!$Y:$Y,"Approved"))</f>
        <v/>
      </c>
    </row>
    <row r="17">
      <c r="N17">
        <f>IF(A17="","",COUNTIF('30_NGAN_HANG'!$B:$B,A17))</f>
        <v/>
      </c>
      <c r="O17">
        <f>IF(A17="","",COUNTIFS('30_NGAN_HANG'!$B:$B,A17,'30_NGAN_HANG'!$Y:$Y,"Approved"))</f>
        <v/>
      </c>
    </row>
    <row r="18">
      <c r="N18">
        <f>IF(A18="","",COUNTIF('30_NGAN_HANG'!$B:$B,A18))</f>
        <v/>
      </c>
      <c r="O18">
        <f>IF(A18="","",COUNTIFS('30_NGAN_HANG'!$B:$B,A18,'30_NGAN_HANG'!$Y:$Y,"Approved"))</f>
        <v/>
      </c>
    </row>
    <row r="19">
      <c r="N19">
        <f>IF(A19="","",COUNTIF('30_NGAN_HANG'!$B:$B,A19))</f>
        <v/>
      </c>
      <c r="O19">
        <f>IF(A19="","",COUNTIFS('30_NGAN_HANG'!$B:$B,A19,'30_NGAN_HANG'!$Y:$Y,"Approved"))</f>
        <v/>
      </c>
    </row>
    <row r="20">
      <c r="N20">
        <f>IF(A20="","",COUNTIF('30_NGAN_HANG'!$B:$B,A20))</f>
        <v/>
      </c>
      <c r="O20">
        <f>IF(A20="","",COUNTIFS('30_NGAN_HANG'!$B:$B,A20,'30_NGAN_HANG'!$Y:$Y,"Approved"))</f>
        <v/>
      </c>
    </row>
    <row r="21">
      <c r="N21">
        <f>IF(A21="","",COUNTIF('30_NGAN_HANG'!$B:$B,A21))</f>
        <v/>
      </c>
      <c r="O21">
        <f>IF(A21="","",COUNTIFS('30_NGAN_HANG'!$B:$B,A21,'30_NGAN_HANG'!$Y:$Y,"Approved"))</f>
        <v/>
      </c>
    </row>
    <row r="22">
      <c r="N22">
        <f>IF(A22="","",COUNTIF('30_NGAN_HANG'!$B:$B,A22))</f>
        <v/>
      </c>
      <c r="O22">
        <f>IF(A22="","",COUNTIFS('30_NGAN_HANG'!$B:$B,A22,'30_NGAN_HANG'!$Y:$Y,"Approved"))</f>
        <v/>
      </c>
    </row>
    <row r="23">
      <c r="N23">
        <f>IF(A23="","",COUNTIF('30_NGAN_HANG'!$B:$B,A23))</f>
        <v/>
      </c>
      <c r="O23">
        <f>IF(A23="","",COUNTIFS('30_NGAN_HANG'!$B:$B,A23,'30_NGAN_HANG'!$Y:$Y,"Approved"))</f>
        <v/>
      </c>
    </row>
    <row r="24">
      <c r="N24">
        <f>IF(A24="","",COUNTIF('30_NGAN_HANG'!$B:$B,A24))</f>
        <v/>
      </c>
      <c r="O24">
        <f>IF(A24="","",COUNTIFS('30_NGAN_HANG'!$B:$B,A24,'30_NGAN_HANG'!$Y:$Y,"Approved"))</f>
        <v/>
      </c>
    </row>
    <row r="25">
      <c r="N25">
        <f>IF(A25="","",COUNTIF('30_NGAN_HANG'!$B:$B,A25))</f>
        <v/>
      </c>
      <c r="O25">
        <f>IF(A25="","",COUNTIFS('30_NGAN_HANG'!$B:$B,A25,'30_NGAN_HANG'!$Y:$Y,"Approved"))</f>
        <v/>
      </c>
    </row>
    <row r="26">
      <c r="N26">
        <f>IF(A26="","",COUNTIF('30_NGAN_HANG'!$B:$B,A26))</f>
        <v/>
      </c>
      <c r="O26">
        <f>IF(A26="","",COUNTIFS('30_NGAN_HANG'!$B:$B,A26,'30_NGAN_HANG'!$Y:$Y,"Approved"))</f>
        <v/>
      </c>
    </row>
    <row r="27">
      <c r="N27">
        <f>IF(A27="","",COUNTIF('30_NGAN_HANG'!$B:$B,A27))</f>
        <v/>
      </c>
      <c r="O27">
        <f>IF(A27="","",COUNTIFS('30_NGAN_HANG'!$B:$B,A27,'30_NGAN_HANG'!$Y:$Y,"Approved"))</f>
        <v/>
      </c>
    </row>
    <row r="28">
      <c r="N28">
        <f>IF(A28="","",COUNTIF('30_NGAN_HANG'!$B:$B,A28))</f>
        <v/>
      </c>
      <c r="O28">
        <f>IF(A28="","",COUNTIFS('30_NGAN_HANG'!$B:$B,A28,'30_NGAN_HANG'!$Y:$Y,"Approved"))</f>
        <v/>
      </c>
    </row>
    <row r="29">
      <c r="N29">
        <f>IF(A29="","",COUNTIF('30_NGAN_HANG'!$B:$B,A29))</f>
        <v/>
      </c>
      <c r="O29">
        <f>IF(A29="","",COUNTIFS('30_NGAN_HANG'!$B:$B,A29,'30_NGAN_HANG'!$Y:$Y,"Approved"))</f>
        <v/>
      </c>
    </row>
    <row r="30">
      <c r="N30">
        <f>IF(A30="","",COUNTIF('30_NGAN_HANG'!$B:$B,A30))</f>
        <v/>
      </c>
      <c r="O30">
        <f>IF(A30="","",COUNTIFS('30_NGAN_HANG'!$B:$B,A30,'30_NGAN_HANG'!$Y:$Y,"Approved"))</f>
        <v/>
      </c>
    </row>
    <row r="31">
      <c r="N31">
        <f>IF(A31="","",COUNTIF('30_NGAN_HANG'!$B:$B,A31))</f>
        <v/>
      </c>
      <c r="O31">
        <f>IF(A31="","",COUNTIFS('30_NGAN_HANG'!$B:$B,A31,'30_NGAN_HANG'!$Y:$Y,"Approved"))</f>
        <v/>
      </c>
    </row>
    <row r="32">
      <c r="N32">
        <f>IF(A32="","",COUNTIF('30_NGAN_HANG'!$B:$B,A32))</f>
        <v/>
      </c>
      <c r="O32">
        <f>IF(A32="","",COUNTIFS('30_NGAN_HANG'!$B:$B,A32,'30_NGAN_HANG'!$Y:$Y,"Approved"))</f>
        <v/>
      </c>
    </row>
    <row r="33">
      <c r="N33">
        <f>IF(A33="","",COUNTIF('30_NGAN_HANG'!$B:$B,A33))</f>
        <v/>
      </c>
      <c r="O33">
        <f>IF(A33="","",COUNTIFS('30_NGAN_HANG'!$B:$B,A33,'30_NGAN_HANG'!$Y:$Y,"Approved"))</f>
        <v/>
      </c>
    </row>
    <row r="34">
      <c r="N34">
        <f>IF(A34="","",COUNTIF('30_NGAN_HANG'!$B:$B,A34))</f>
        <v/>
      </c>
      <c r="O34">
        <f>IF(A34="","",COUNTIFS('30_NGAN_HANG'!$B:$B,A34,'30_NGAN_HANG'!$Y:$Y,"Approved"))</f>
        <v/>
      </c>
    </row>
    <row r="35">
      <c r="N35">
        <f>IF(A35="","",COUNTIF('30_NGAN_HANG'!$B:$B,A35))</f>
        <v/>
      </c>
      <c r="O35">
        <f>IF(A35="","",COUNTIFS('30_NGAN_HANG'!$B:$B,A35,'30_NGAN_HANG'!$Y:$Y,"Approved"))</f>
        <v/>
      </c>
    </row>
    <row r="36">
      <c r="N36">
        <f>IF(A36="","",COUNTIF('30_NGAN_HANG'!$B:$B,A36))</f>
        <v/>
      </c>
      <c r="O36">
        <f>IF(A36="","",COUNTIFS('30_NGAN_HANG'!$B:$B,A36,'30_NGAN_HANG'!$Y:$Y,"Approved"))</f>
        <v/>
      </c>
    </row>
    <row r="37">
      <c r="N37">
        <f>IF(A37="","",COUNTIF('30_NGAN_HANG'!$B:$B,A37))</f>
        <v/>
      </c>
      <c r="O37">
        <f>IF(A37="","",COUNTIFS('30_NGAN_HANG'!$B:$B,A37,'30_NGAN_HANG'!$Y:$Y,"Approved"))</f>
        <v/>
      </c>
    </row>
    <row r="38">
      <c r="N38">
        <f>IF(A38="","",COUNTIF('30_NGAN_HANG'!$B:$B,A38))</f>
        <v/>
      </c>
      <c r="O38">
        <f>IF(A38="","",COUNTIFS('30_NGAN_HANG'!$B:$B,A38,'30_NGAN_HANG'!$Y:$Y,"Approved"))</f>
        <v/>
      </c>
    </row>
    <row r="39">
      <c r="N39">
        <f>IF(A39="","",COUNTIF('30_NGAN_HANG'!$B:$B,A39))</f>
        <v/>
      </c>
      <c r="O39">
        <f>IF(A39="","",COUNTIFS('30_NGAN_HANG'!$B:$B,A39,'30_NGAN_HANG'!$Y:$Y,"Approved"))</f>
        <v/>
      </c>
    </row>
    <row r="40">
      <c r="N40">
        <f>IF(A40="","",COUNTIF('30_NGAN_HANG'!$B:$B,A40))</f>
        <v/>
      </c>
      <c r="O40">
        <f>IF(A40="","",COUNTIFS('30_NGAN_HANG'!$B:$B,A40,'30_NGAN_HANG'!$Y:$Y,"Approved"))</f>
        <v/>
      </c>
    </row>
    <row r="41">
      <c r="N41">
        <f>IF(A41="","",COUNTIF('30_NGAN_HANG'!$B:$B,A41))</f>
        <v/>
      </c>
      <c r="O41">
        <f>IF(A41="","",COUNTIFS('30_NGAN_HANG'!$B:$B,A41,'30_NGAN_HANG'!$Y:$Y,"Approved"))</f>
        <v/>
      </c>
    </row>
    <row r="42">
      <c r="N42">
        <f>IF(A42="","",COUNTIF('30_NGAN_HANG'!$B:$B,A42))</f>
        <v/>
      </c>
      <c r="O42">
        <f>IF(A42="","",COUNTIFS('30_NGAN_HANG'!$B:$B,A42,'30_NGAN_HANG'!$Y:$Y,"Approved"))</f>
        <v/>
      </c>
    </row>
    <row r="43">
      <c r="N43">
        <f>IF(A43="","",COUNTIF('30_NGAN_HANG'!$B:$B,A43))</f>
        <v/>
      </c>
      <c r="O43">
        <f>IF(A43="","",COUNTIFS('30_NGAN_HANG'!$B:$B,A43,'30_NGAN_HANG'!$Y:$Y,"Approved"))</f>
        <v/>
      </c>
    </row>
    <row r="44">
      <c r="N44">
        <f>IF(A44="","",COUNTIF('30_NGAN_HANG'!$B:$B,A44))</f>
        <v/>
      </c>
      <c r="O44">
        <f>IF(A44="","",COUNTIFS('30_NGAN_HANG'!$B:$B,A44,'30_NGAN_HANG'!$Y:$Y,"Approved"))</f>
        <v/>
      </c>
    </row>
    <row r="45">
      <c r="N45">
        <f>IF(A45="","",COUNTIF('30_NGAN_HANG'!$B:$B,A45))</f>
        <v/>
      </c>
      <c r="O45">
        <f>IF(A45="","",COUNTIFS('30_NGAN_HANG'!$B:$B,A45,'30_NGAN_HANG'!$Y:$Y,"Approved"))</f>
        <v/>
      </c>
    </row>
    <row r="46">
      <c r="N46">
        <f>IF(A46="","",COUNTIF('30_NGAN_HANG'!$B:$B,A46))</f>
        <v/>
      </c>
      <c r="O46">
        <f>IF(A46="","",COUNTIFS('30_NGAN_HANG'!$B:$B,A46,'30_NGAN_HANG'!$Y:$Y,"Approved"))</f>
        <v/>
      </c>
    </row>
    <row r="47">
      <c r="N47">
        <f>IF(A47="","",COUNTIF('30_NGAN_HANG'!$B:$B,A47))</f>
        <v/>
      </c>
      <c r="O47">
        <f>IF(A47="","",COUNTIFS('30_NGAN_HANG'!$B:$B,A47,'30_NGAN_HANG'!$Y:$Y,"Approved"))</f>
        <v/>
      </c>
    </row>
    <row r="48">
      <c r="N48">
        <f>IF(A48="","",COUNTIF('30_NGAN_HANG'!$B:$B,A48))</f>
        <v/>
      </c>
      <c r="O48">
        <f>IF(A48="","",COUNTIFS('30_NGAN_HANG'!$B:$B,A48,'30_NGAN_HANG'!$Y:$Y,"Approved"))</f>
        <v/>
      </c>
    </row>
    <row r="49">
      <c r="N49">
        <f>IF(A49="","",COUNTIF('30_NGAN_HANG'!$B:$B,A49))</f>
        <v/>
      </c>
      <c r="O49">
        <f>IF(A49="","",COUNTIFS('30_NGAN_HANG'!$B:$B,A49,'30_NGAN_HANG'!$Y:$Y,"Approved"))</f>
        <v/>
      </c>
    </row>
    <row r="50">
      <c r="N50">
        <f>IF(A50="","",COUNTIF('30_NGAN_HANG'!$B:$B,A50))</f>
        <v/>
      </c>
      <c r="O50">
        <f>IF(A50="","",COUNTIFS('30_NGAN_HANG'!$B:$B,A50,'30_NGAN_HANG'!$Y:$Y,"Approved"))</f>
        <v/>
      </c>
    </row>
    <row r="51">
      <c r="N51">
        <f>IF(A51="","",COUNTIF('30_NGAN_HANG'!$B:$B,A51))</f>
        <v/>
      </c>
      <c r="O51">
        <f>IF(A51="","",COUNTIFS('30_NGAN_HANG'!$B:$B,A51,'30_NGAN_HANG'!$Y:$Y,"Approved"))</f>
        <v/>
      </c>
    </row>
    <row r="52">
      <c r="N52">
        <f>IF(A52="","",COUNTIF('30_NGAN_HANG'!$B:$B,A52))</f>
        <v/>
      </c>
      <c r="O52">
        <f>IF(A52="","",COUNTIFS('30_NGAN_HANG'!$B:$B,A52,'30_NGAN_HANG'!$Y:$Y,"Approved"))</f>
        <v/>
      </c>
    </row>
    <row r="53">
      <c r="N53">
        <f>IF(A53="","",COUNTIF('30_NGAN_HANG'!$B:$B,A53))</f>
        <v/>
      </c>
      <c r="O53">
        <f>IF(A53="","",COUNTIFS('30_NGAN_HANG'!$B:$B,A53,'30_NGAN_HANG'!$Y:$Y,"Approved"))</f>
        <v/>
      </c>
    </row>
    <row r="54">
      <c r="N54">
        <f>IF(A54="","",COUNTIF('30_NGAN_HANG'!$B:$B,A54))</f>
        <v/>
      </c>
      <c r="O54">
        <f>IF(A54="","",COUNTIFS('30_NGAN_HANG'!$B:$B,A54,'30_NGAN_HANG'!$Y:$Y,"Approved"))</f>
        <v/>
      </c>
    </row>
    <row r="55">
      <c r="N55">
        <f>IF(A55="","",COUNTIF('30_NGAN_HANG'!$B:$B,A55))</f>
        <v/>
      </c>
      <c r="O55">
        <f>IF(A55="","",COUNTIFS('30_NGAN_HANG'!$B:$B,A55,'30_NGAN_HANG'!$Y:$Y,"Approved"))</f>
        <v/>
      </c>
    </row>
    <row r="56">
      <c r="N56">
        <f>IF(A56="","",COUNTIF('30_NGAN_HANG'!$B:$B,A56))</f>
        <v/>
      </c>
      <c r="O56">
        <f>IF(A56="","",COUNTIFS('30_NGAN_HANG'!$B:$B,A56,'30_NGAN_HANG'!$Y:$Y,"Approved"))</f>
        <v/>
      </c>
    </row>
    <row r="57">
      <c r="N57">
        <f>IF(A57="","",COUNTIF('30_NGAN_HANG'!$B:$B,A57))</f>
        <v/>
      </c>
      <c r="O57">
        <f>IF(A57="","",COUNTIFS('30_NGAN_HANG'!$B:$B,A57,'30_NGAN_HANG'!$Y:$Y,"Approved"))</f>
        <v/>
      </c>
    </row>
    <row r="58">
      <c r="N58">
        <f>IF(A58="","",COUNTIF('30_NGAN_HANG'!$B:$B,A58))</f>
        <v/>
      </c>
      <c r="O58">
        <f>IF(A58="","",COUNTIFS('30_NGAN_HANG'!$B:$B,A58,'30_NGAN_HANG'!$Y:$Y,"Approved"))</f>
        <v/>
      </c>
    </row>
    <row r="59">
      <c r="N59">
        <f>IF(A59="","",COUNTIF('30_NGAN_HANG'!$B:$B,A59))</f>
        <v/>
      </c>
      <c r="O59">
        <f>IF(A59="","",COUNTIFS('30_NGAN_HANG'!$B:$B,A59,'30_NGAN_HANG'!$Y:$Y,"Approved"))</f>
        <v/>
      </c>
    </row>
    <row r="60">
      <c r="N60">
        <f>IF(A60="","",COUNTIF('30_NGAN_HANG'!$B:$B,A60))</f>
        <v/>
      </c>
      <c r="O60">
        <f>IF(A60="","",COUNTIFS('30_NGAN_HANG'!$B:$B,A60,'30_NGAN_HANG'!$Y:$Y,"Approved"))</f>
        <v/>
      </c>
    </row>
    <row r="61">
      <c r="N61">
        <f>IF(A61="","",COUNTIF('30_NGAN_HANG'!$B:$B,A61))</f>
        <v/>
      </c>
      <c r="O61">
        <f>IF(A61="","",COUNTIFS('30_NGAN_HANG'!$B:$B,A61,'30_NGAN_HANG'!$Y:$Y,"Approved"))</f>
        <v/>
      </c>
    </row>
    <row r="62">
      <c r="N62">
        <f>IF(A62="","",COUNTIF('30_NGAN_HANG'!$B:$B,A62))</f>
        <v/>
      </c>
      <c r="O62">
        <f>IF(A62="","",COUNTIFS('30_NGAN_HANG'!$B:$B,A62,'30_NGAN_HANG'!$Y:$Y,"Approved"))</f>
        <v/>
      </c>
    </row>
    <row r="63">
      <c r="N63">
        <f>IF(A63="","",COUNTIF('30_NGAN_HANG'!$B:$B,A63))</f>
        <v/>
      </c>
      <c r="O63">
        <f>IF(A63="","",COUNTIFS('30_NGAN_HANG'!$B:$B,A63,'30_NGAN_HANG'!$Y:$Y,"Approved"))</f>
        <v/>
      </c>
    </row>
    <row r="64">
      <c r="N64">
        <f>IF(A64="","",COUNTIF('30_NGAN_HANG'!$B:$B,A64))</f>
        <v/>
      </c>
      <c r="O64">
        <f>IF(A64="","",COUNTIFS('30_NGAN_HANG'!$B:$B,A64,'30_NGAN_HANG'!$Y:$Y,"Approved"))</f>
        <v/>
      </c>
    </row>
    <row r="65">
      <c r="N65">
        <f>IF(A65="","",COUNTIF('30_NGAN_HANG'!$B:$B,A65))</f>
        <v/>
      </c>
      <c r="O65">
        <f>IF(A65="","",COUNTIFS('30_NGAN_HANG'!$B:$B,A65,'30_NGAN_HANG'!$Y:$Y,"Approved"))</f>
        <v/>
      </c>
    </row>
    <row r="66">
      <c r="N66">
        <f>IF(A66="","",COUNTIF('30_NGAN_HANG'!$B:$B,A66))</f>
        <v/>
      </c>
      <c r="O66">
        <f>IF(A66="","",COUNTIFS('30_NGAN_HANG'!$B:$B,A66,'30_NGAN_HANG'!$Y:$Y,"Approved"))</f>
        <v/>
      </c>
    </row>
    <row r="67">
      <c r="N67">
        <f>IF(A67="","",COUNTIF('30_NGAN_HANG'!$B:$B,A67))</f>
        <v/>
      </c>
      <c r="O67">
        <f>IF(A67="","",COUNTIFS('30_NGAN_HANG'!$B:$B,A67,'30_NGAN_HANG'!$Y:$Y,"Approved"))</f>
        <v/>
      </c>
    </row>
    <row r="68">
      <c r="N68">
        <f>IF(A68="","",COUNTIF('30_NGAN_HANG'!$B:$B,A68))</f>
        <v/>
      </c>
      <c r="O68">
        <f>IF(A68="","",COUNTIFS('30_NGAN_HANG'!$B:$B,A68,'30_NGAN_HANG'!$Y:$Y,"Approved"))</f>
        <v/>
      </c>
    </row>
    <row r="69">
      <c r="N69">
        <f>IF(A69="","",COUNTIF('30_NGAN_HANG'!$B:$B,A69))</f>
        <v/>
      </c>
      <c r="O69">
        <f>IF(A69="","",COUNTIFS('30_NGAN_HANG'!$B:$B,A69,'30_NGAN_HANG'!$Y:$Y,"Approved"))</f>
        <v/>
      </c>
    </row>
    <row r="70">
      <c r="N70">
        <f>IF(A70="","",COUNTIF('30_NGAN_HANG'!$B:$B,A70))</f>
        <v/>
      </c>
      <c r="O70">
        <f>IF(A70="","",COUNTIFS('30_NGAN_HANG'!$B:$B,A70,'30_NGAN_HANG'!$Y:$Y,"Approved"))</f>
        <v/>
      </c>
    </row>
    <row r="71">
      <c r="N71">
        <f>IF(A71="","",COUNTIF('30_NGAN_HANG'!$B:$B,A71))</f>
        <v/>
      </c>
      <c r="O71">
        <f>IF(A71="","",COUNTIFS('30_NGAN_HANG'!$B:$B,A71,'30_NGAN_HANG'!$Y:$Y,"Approved"))</f>
        <v/>
      </c>
    </row>
    <row r="72">
      <c r="N72">
        <f>IF(A72="","",COUNTIF('30_NGAN_HANG'!$B:$B,A72))</f>
        <v/>
      </c>
      <c r="O72">
        <f>IF(A72="","",COUNTIFS('30_NGAN_HANG'!$B:$B,A72,'30_NGAN_HANG'!$Y:$Y,"Approved"))</f>
        <v/>
      </c>
    </row>
    <row r="73">
      <c r="N73">
        <f>IF(A73="","",COUNTIF('30_NGAN_HANG'!$B:$B,A73))</f>
        <v/>
      </c>
      <c r="O73">
        <f>IF(A73="","",COUNTIFS('30_NGAN_HANG'!$B:$B,A73,'30_NGAN_HANG'!$Y:$Y,"Approved"))</f>
        <v/>
      </c>
    </row>
    <row r="74">
      <c r="N74">
        <f>IF(A74="","",COUNTIF('30_NGAN_HANG'!$B:$B,A74))</f>
        <v/>
      </c>
      <c r="O74">
        <f>IF(A74="","",COUNTIFS('30_NGAN_HANG'!$B:$B,A74,'30_NGAN_HANG'!$Y:$Y,"Approved"))</f>
        <v/>
      </c>
    </row>
    <row r="75">
      <c r="N75">
        <f>IF(A75="","",COUNTIF('30_NGAN_HANG'!$B:$B,A75))</f>
        <v/>
      </c>
      <c r="O75">
        <f>IF(A75="","",COUNTIFS('30_NGAN_HANG'!$B:$B,A75,'30_NGAN_HANG'!$Y:$Y,"Approved"))</f>
        <v/>
      </c>
    </row>
    <row r="76">
      <c r="N76">
        <f>IF(A76="","",COUNTIF('30_NGAN_HANG'!$B:$B,A76))</f>
        <v/>
      </c>
      <c r="O76">
        <f>IF(A76="","",COUNTIFS('30_NGAN_HANG'!$B:$B,A76,'30_NGAN_HANG'!$Y:$Y,"Approved"))</f>
        <v/>
      </c>
    </row>
    <row r="77">
      <c r="N77">
        <f>IF(A77="","",COUNTIF('30_NGAN_HANG'!$B:$B,A77))</f>
        <v/>
      </c>
      <c r="O77">
        <f>IF(A77="","",COUNTIFS('30_NGAN_HANG'!$B:$B,A77,'30_NGAN_HANG'!$Y:$Y,"Approved"))</f>
        <v/>
      </c>
    </row>
    <row r="78">
      <c r="N78">
        <f>IF(A78="","",COUNTIF('30_NGAN_HANG'!$B:$B,A78))</f>
        <v/>
      </c>
      <c r="O78">
        <f>IF(A78="","",COUNTIFS('30_NGAN_HANG'!$B:$B,A78,'30_NGAN_HANG'!$Y:$Y,"Approved"))</f>
        <v/>
      </c>
    </row>
    <row r="79">
      <c r="N79">
        <f>IF(A79="","",COUNTIF('30_NGAN_HANG'!$B:$B,A79))</f>
        <v/>
      </c>
      <c r="O79">
        <f>IF(A79="","",COUNTIFS('30_NGAN_HANG'!$B:$B,A79,'30_NGAN_HANG'!$Y:$Y,"Approved"))</f>
        <v/>
      </c>
    </row>
    <row r="80">
      <c r="N80">
        <f>IF(A80="","",COUNTIF('30_NGAN_HANG'!$B:$B,A80))</f>
        <v/>
      </c>
      <c r="O80">
        <f>IF(A80="","",COUNTIFS('30_NGAN_HANG'!$B:$B,A80,'30_NGAN_HANG'!$Y:$Y,"Approved"))</f>
        <v/>
      </c>
    </row>
    <row r="81">
      <c r="N81">
        <f>IF(A81="","",COUNTIF('30_NGAN_HANG'!$B:$B,A81))</f>
        <v/>
      </c>
      <c r="O81">
        <f>IF(A81="","",COUNTIFS('30_NGAN_HANG'!$B:$B,A81,'30_NGAN_HANG'!$Y:$Y,"Approved"))</f>
        <v/>
      </c>
    </row>
    <row r="82">
      <c r="N82">
        <f>IF(A82="","",COUNTIF('30_NGAN_HANG'!$B:$B,A82))</f>
        <v/>
      </c>
      <c r="O82">
        <f>IF(A82="","",COUNTIFS('30_NGAN_HANG'!$B:$B,A82,'30_NGAN_HANG'!$Y:$Y,"Approved"))</f>
        <v/>
      </c>
    </row>
    <row r="83">
      <c r="N83">
        <f>IF(A83="","",COUNTIF('30_NGAN_HANG'!$B:$B,A83))</f>
        <v/>
      </c>
      <c r="O83">
        <f>IF(A83="","",COUNTIFS('30_NGAN_HANG'!$B:$B,A83,'30_NGAN_HANG'!$Y:$Y,"Approved"))</f>
        <v/>
      </c>
    </row>
    <row r="84">
      <c r="N84">
        <f>IF(A84="","",COUNTIF('30_NGAN_HANG'!$B:$B,A84))</f>
        <v/>
      </c>
      <c r="O84">
        <f>IF(A84="","",COUNTIFS('30_NGAN_HANG'!$B:$B,A84,'30_NGAN_HANG'!$Y:$Y,"Approved"))</f>
        <v/>
      </c>
    </row>
    <row r="85">
      <c r="N85">
        <f>IF(A85="","",COUNTIF('30_NGAN_HANG'!$B:$B,A85))</f>
        <v/>
      </c>
      <c r="O85">
        <f>IF(A85="","",COUNTIFS('30_NGAN_HANG'!$B:$B,A85,'30_NGAN_HANG'!$Y:$Y,"Approved"))</f>
        <v/>
      </c>
    </row>
    <row r="86">
      <c r="N86">
        <f>IF(A86="","",COUNTIF('30_NGAN_HANG'!$B:$B,A86))</f>
        <v/>
      </c>
      <c r="O86">
        <f>IF(A86="","",COUNTIFS('30_NGAN_HANG'!$B:$B,A86,'30_NGAN_HANG'!$Y:$Y,"Approved"))</f>
        <v/>
      </c>
    </row>
    <row r="87">
      <c r="N87">
        <f>IF(A87="","",COUNTIF('30_NGAN_HANG'!$B:$B,A87))</f>
        <v/>
      </c>
      <c r="O87">
        <f>IF(A87="","",COUNTIFS('30_NGAN_HANG'!$B:$B,A87,'30_NGAN_HANG'!$Y:$Y,"Approved"))</f>
        <v/>
      </c>
    </row>
    <row r="88">
      <c r="N88">
        <f>IF(A88="","",COUNTIF('30_NGAN_HANG'!$B:$B,A88))</f>
        <v/>
      </c>
      <c r="O88">
        <f>IF(A88="","",COUNTIFS('30_NGAN_HANG'!$B:$B,A88,'30_NGAN_HANG'!$Y:$Y,"Approved"))</f>
        <v/>
      </c>
    </row>
    <row r="89">
      <c r="N89">
        <f>IF(A89="","",COUNTIF('30_NGAN_HANG'!$B:$B,A89))</f>
        <v/>
      </c>
      <c r="O89">
        <f>IF(A89="","",COUNTIFS('30_NGAN_HANG'!$B:$B,A89,'30_NGAN_HANG'!$Y:$Y,"Approved"))</f>
        <v/>
      </c>
    </row>
    <row r="90">
      <c r="N90">
        <f>IF(A90="","",COUNTIF('30_NGAN_HANG'!$B:$B,A90))</f>
        <v/>
      </c>
      <c r="O90">
        <f>IF(A90="","",COUNTIFS('30_NGAN_HANG'!$B:$B,A90,'30_NGAN_HANG'!$Y:$Y,"Approved"))</f>
        <v/>
      </c>
    </row>
    <row r="91">
      <c r="N91">
        <f>IF(A91="","",COUNTIF('30_NGAN_HANG'!$B:$B,A91))</f>
        <v/>
      </c>
      <c r="O91">
        <f>IF(A91="","",COUNTIFS('30_NGAN_HANG'!$B:$B,A91,'30_NGAN_HANG'!$Y:$Y,"Approved"))</f>
        <v/>
      </c>
    </row>
    <row r="92">
      <c r="N92">
        <f>IF(A92="","",COUNTIF('30_NGAN_HANG'!$B:$B,A92))</f>
        <v/>
      </c>
      <c r="O92">
        <f>IF(A92="","",COUNTIFS('30_NGAN_HANG'!$B:$B,A92,'30_NGAN_HANG'!$Y:$Y,"Approved"))</f>
        <v/>
      </c>
    </row>
    <row r="93">
      <c r="N93">
        <f>IF(A93="","",COUNTIF('30_NGAN_HANG'!$B:$B,A93))</f>
        <v/>
      </c>
      <c r="O93">
        <f>IF(A93="","",COUNTIFS('30_NGAN_HANG'!$B:$B,A93,'30_NGAN_HANG'!$Y:$Y,"Approved"))</f>
        <v/>
      </c>
    </row>
    <row r="94">
      <c r="N94">
        <f>IF(A94="","",COUNTIF('30_NGAN_HANG'!$B:$B,A94))</f>
        <v/>
      </c>
      <c r="O94">
        <f>IF(A94="","",COUNTIFS('30_NGAN_HANG'!$B:$B,A94,'30_NGAN_HANG'!$Y:$Y,"Approved"))</f>
        <v/>
      </c>
    </row>
    <row r="95">
      <c r="N95">
        <f>IF(A95="","",COUNTIF('30_NGAN_HANG'!$B:$B,A95))</f>
        <v/>
      </c>
      <c r="O95">
        <f>IF(A95="","",COUNTIFS('30_NGAN_HANG'!$B:$B,A95,'30_NGAN_HANG'!$Y:$Y,"Approved"))</f>
        <v/>
      </c>
    </row>
    <row r="96">
      <c r="N96">
        <f>IF(A96="","",COUNTIF('30_NGAN_HANG'!$B:$B,A96))</f>
        <v/>
      </c>
      <c r="O96">
        <f>IF(A96="","",COUNTIFS('30_NGAN_HANG'!$B:$B,A96,'30_NGAN_HANG'!$Y:$Y,"Approved"))</f>
        <v/>
      </c>
    </row>
    <row r="97">
      <c r="N97">
        <f>IF(A97="","",COUNTIF('30_NGAN_HANG'!$B:$B,A97))</f>
        <v/>
      </c>
      <c r="O97">
        <f>IF(A97="","",COUNTIFS('30_NGAN_HANG'!$B:$B,A97,'30_NGAN_HANG'!$Y:$Y,"Approved"))</f>
        <v/>
      </c>
    </row>
    <row r="98">
      <c r="N98">
        <f>IF(A98="","",COUNTIF('30_NGAN_HANG'!$B:$B,A98))</f>
        <v/>
      </c>
      <c r="O98">
        <f>IF(A98="","",COUNTIFS('30_NGAN_HANG'!$B:$B,A98,'30_NGAN_HANG'!$Y:$Y,"Approved"))</f>
        <v/>
      </c>
    </row>
    <row r="99">
      <c r="N99">
        <f>IF(A99="","",COUNTIF('30_NGAN_HANG'!$B:$B,A99))</f>
        <v/>
      </c>
      <c r="O99">
        <f>IF(A99="","",COUNTIFS('30_NGAN_HANG'!$B:$B,A99,'30_NGAN_HANG'!$Y:$Y,"Approved"))</f>
        <v/>
      </c>
    </row>
    <row r="100">
      <c r="N100">
        <f>IF(A100="","",COUNTIF('30_NGAN_HANG'!$B:$B,A100))</f>
        <v/>
      </c>
      <c r="O100">
        <f>IF(A100="","",COUNTIFS('30_NGAN_HANG'!$B:$B,A100,'30_NGAN_HANG'!$Y:$Y,"Approved"))</f>
        <v/>
      </c>
    </row>
    <row r="101">
      <c r="N101">
        <f>IF(A101="","",COUNTIF('30_NGAN_HANG'!$B:$B,A101))</f>
        <v/>
      </c>
      <c r="O101">
        <f>IF(A101="","",COUNTIFS('30_NGAN_HANG'!$B:$B,A101,'30_NGAN_HANG'!$Y:$Y,"Approved"))</f>
        <v/>
      </c>
    </row>
    <row r="102">
      <c r="N102">
        <f>IF(A102="","",COUNTIF('30_NGAN_HANG'!$B:$B,A102))</f>
        <v/>
      </c>
      <c r="O102">
        <f>IF(A102="","",COUNTIFS('30_NGAN_HANG'!$B:$B,A102,'30_NGAN_HANG'!$Y:$Y,"Approved"))</f>
        <v/>
      </c>
    </row>
    <row r="103">
      <c r="N103">
        <f>IF(A103="","",COUNTIF('30_NGAN_HANG'!$B:$B,A103))</f>
        <v/>
      </c>
      <c r="O103">
        <f>IF(A103="","",COUNTIFS('30_NGAN_HANG'!$B:$B,A103,'30_NGAN_HANG'!$Y:$Y,"Approved"))</f>
        <v/>
      </c>
    </row>
    <row r="104">
      <c r="N104">
        <f>IF(A104="","",COUNTIF('30_NGAN_HANG'!$B:$B,A104))</f>
        <v/>
      </c>
      <c r="O104">
        <f>IF(A104="","",COUNTIFS('30_NGAN_HANG'!$B:$B,A104,'30_NGAN_HANG'!$Y:$Y,"Approved"))</f>
        <v/>
      </c>
    </row>
    <row r="105">
      <c r="N105">
        <f>IF(A105="","",COUNTIF('30_NGAN_HANG'!$B:$B,A105))</f>
        <v/>
      </c>
      <c r="O105">
        <f>IF(A105="","",COUNTIFS('30_NGAN_HANG'!$B:$B,A105,'30_NGAN_HANG'!$Y:$Y,"Approved"))</f>
        <v/>
      </c>
    </row>
    <row r="106">
      <c r="N106">
        <f>IF(A106="","",COUNTIF('30_NGAN_HANG'!$B:$B,A106))</f>
        <v/>
      </c>
      <c r="O106">
        <f>IF(A106="","",COUNTIFS('30_NGAN_HANG'!$B:$B,A106,'30_NGAN_HANG'!$Y:$Y,"Approved"))</f>
        <v/>
      </c>
    </row>
    <row r="107">
      <c r="N107">
        <f>IF(A107="","",COUNTIF('30_NGAN_HANG'!$B:$B,A107))</f>
        <v/>
      </c>
      <c r="O107">
        <f>IF(A107="","",COUNTIFS('30_NGAN_HANG'!$B:$B,A107,'30_NGAN_HANG'!$Y:$Y,"Approved"))</f>
        <v/>
      </c>
    </row>
    <row r="108">
      <c r="N108">
        <f>IF(A108="","",COUNTIF('30_NGAN_HANG'!$B:$B,A108))</f>
        <v/>
      </c>
      <c r="O108">
        <f>IF(A108="","",COUNTIFS('30_NGAN_HANG'!$B:$B,A108,'30_NGAN_HANG'!$Y:$Y,"Approved"))</f>
        <v/>
      </c>
    </row>
    <row r="109">
      <c r="N109">
        <f>IF(A109="","",COUNTIF('30_NGAN_HANG'!$B:$B,A109))</f>
        <v/>
      </c>
      <c r="O109">
        <f>IF(A109="","",COUNTIFS('30_NGAN_HANG'!$B:$B,A109,'30_NGAN_HANG'!$Y:$Y,"Approved"))</f>
        <v/>
      </c>
    </row>
    <row r="110">
      <c r="N110">
        <f>IF(A110="","",COUNTIF('30_NGAN_HANG'!$B:$B,A110))</f>
        <v/>
      </c>
      <c r="O110">
        <f>IF(A110="","",COUNTIFS('30_NGAN_HANG'!$B:$B,A110,'30_NGAN_HANG'!$Y:$Y,"Approved"))</f>
        <v/>
      </c>
    </row>
    <row r="111">
      <c r="N111">
        <f>IF(A111="","",COUNTIF('30_NGAN_HANG'!$B:$B,A111))</f>
        <v/>
      </c>
      <c r="O111">
        <f>IF(A111="","",COUNTIFS('30_NGAN_HANG'!$B:$B,A111,'30_NGAN_HANG'!$Y:$Y,"Approved"))</f>
        <v/>
      </c>
    </row>
    <row r="112">
      <c r="N112">
        <f>IF(A112="","",COUNTIF('30_NGAN_HANG'!$B:$B,A112))</f>
        <v/>
      </c>
      <c r="O112">
        <f>IF(A112="","",COUNTIFS('30_NGAN_HANG'!$B:$B,A112,'30_NGAN_HANG'!$Y:$Y,"Approved"))</f>
        <v/>
      </c>
    </row>
    <row r="113">
      <c r="N113">
        <f>IF(A113="","",COUNTIF('30_NGAN_HANG'!$B:$B,A113))</f>
        <v/>
      </c>
      <c r="O113">
        <f>IF(A113="","",COUNTIFS('30_NGAN_HANG'!$B:$B,A113,'30_NGAN_HANG'!$Y:$Y,"Approved"))</f>
        <v/>
      </c>
    </row>
    <row r="114">
      <c r="N114">
        <f>IF(A114="","",COUNTIF('30_NGAN_HANG'!$B:$B,A114))</f>
        <v/>
      </c>
      <c r="O114">
        <f>IF(A114="","",COUNTIFS('30_NGAN_HANG'!$B:$B,A114,'30_NGAN_HANG'!$Y:$Y,"Approved"))</f>
        <v/>
      </c>
    </row>
    <row r="115">
      <c r="N115">
        <f>IF(A115="","",COUNTIF('30_NGAN_HANG'!$B:$B,A115))</f>
        <v/>
      </c>
      <c r="O115">
        <f>IF(A115="","",COUNTIFS('30_NGAN_HANG'!$B:$B,A115,'30_NGAN_HANG'!$Y:$Y,"Approved"))</f>
        <v/>
      </c>
    </row>
    <row r="116">
      <c r="N116">
        <f>IF(A116="","",COUNTIF('30_NGAN_HANG'!$B:$B,A116))</f>
        <v/>
      </c>
      <c r="O116">
        <f>IF(A116="","",COUNTIFS('30_NGAN_HANG'!$B:$B,A116,'30_NGAN_HANG'!$Y:$Y,"Approved"))</f>
        <v/>
      </c>
    </row>
    <row r="117">
      <c r="N117">
        <f>IF(A117="","",COUNTIF('30_NGAN_HANG'!$B:$B,A117))</f>
        <v/>
      </c>
      <c r="O117">
        <f>IF(A117="","",COUNTIFS('30_NGAN_HANG'!$B:$B,A117,'30_NGAN_HANG'!$Y:$Y,"Approved"))</f>
        <v/>
      </c>
    </row>
    <row r="118">
      <c r="N118">
        <f>IF(A118="","",COUNTIF('30_NGAN_HANG'!$B:$B,A118))</f>
        <v/>
      </c>
      <c r="O118">
        <f>IF(A118="","",COUNTIFS('30_NGAN_HANG'!$B:$B,A118,'30_NGAN_HANG'!$Y:$Y,"Approved"))</f>
        <v/>
      </c>
    </row>
    <row r="119">
      <c r="N119">
        <f>IF(A119="","",COUNTIF('30_NGAN_HANG'!$B:$B,A119))</f>
        <v/>
      </c>
      <c r="O119">
        <f>IF(A119="","",COUNTIFS('30_NGAN_HANG'!$B:$B,A119,'30_NGAN_HANG'!$Y:$Y,"Approved"))</f>
        <v/>
      </c>
    </row>
    <row r="120">
      <c r="N120">
        <f>IF(A120="","",COUNTIF('30_NGAN_HANG'!$B:$B,A120))</f>
        <v/>
      </c>
      <c r="O120">
        <f>IF(A120="","",COUNTIFS('30_NGAN_HANG'!$B:$B,A120,'30_NGAN_HANG'!$Y:$Y,"Approved"))</f>
        <v/>
      </c>
    </row>
    <row r="121">
      <c r="N121">
        <f>IF(A121="","",COUNTIF('30_NGAN_HANG'!$B:$B,A121))</f>
        <v/>
      </c>
      <c r="O121">
        <f>IF(A121="","",COUNTIFS('30_NGAN_HANG'!$B:$B,A121,'30_NGAN_HANG'!$Y:$Y,"Approved"))</f>
        <v/>
      </c>
    </row>
    <row r="122">
      <c r="N122">
        <f>IF(A122="","",COUNTIF('30_NGAN_HANG'!$B:$B,A122))</f>
        <v/>
      </c>
      <c r="O122">
        <f>IF(A122="","",COUNTIFS('30_NGAN_HANG'!$B:$B,A122,'30_NGAN_HANG'!$Y:$Y,"Approved"))</f>
        <v/>
      </c>
    </row>
    <row r="123">
      <c r="N123">
        <f>IF(A123="","",COUNTIF('30_NGAN_HANG'!$B:$B,A123))</f>
        <v/>
      </c>
      <c r="O123">
        <f>IF(A123="","",COUNTIFS('30_NGAN_HANG'!$B:$B,A123,'30_NGAN_HANG'!$Y:$Y,"Approved"))</f>
        <v/>
      </c>
    </row>
    <row r="124">
      <c r="N124">
        <f>IF(A124="","",COUNTIF('30_NGAN_HANG'!$B:$B,A124))</f>
        <v/>
      </c>
      <c r="O124">
        <f>IF(A124="","",COUNTIFS('30_NGAN_HANG'!$B:$B,A124,'30_NGAN_HANG'!$Y:$Y,"Approved"))</f>
        <v/>
      </c>
    </row>
    <row r="125">
      <c r="N125">
        <f>IF(A125="","",COUNTIF('30_NGAN_HANG'!$B:$B,A125))</f>
        <v/>
      </c>
      <c r="O125">
        <f>IF(A125="","",COUNTIFS('30_NGAN_HANG'!$B:$B,A125,'30_NGAN_HANG'!$Y:$Y,"Approved"))</f>
        <v/>
      </c>
    </row>
    <row r="126">
      <c r="N126">
        <f>IF(A126="","",COUNTIF('30_NGAN_HANG'!$B:$B,A126))</f>
        <v/>
      </c>
      <c r="O126">
        <f>IF(A126="","",COUNTIFS('30_NGAN_HANG'!$B:$B,A126,'30_NGAN_HANG'!$Y:$Y,"Approved"))</f>
        <v/>
      </c>
    </row>
    <row r="127">
      <c r="N127">
        <f>IF(A127="","",COUNTIF('30_NGAN_HANG'!$B:$B,A127))</f>
        <v/>
      </c>
      <c r="O127">
        <f>IF(A127="","",COUNTIFS('30_NGAN_HANG'!$B:$B,A127,'30_NGAN_HANG'!$Y:$Y,"Approved"))</f>
        <v/>
      </c>
    </row>
    <row r="128">
      <c r="N128">
        <f>IF(A128="","",COUNTIF('30_NGAN_HANG'!$B:$B,A128))</f>
        <v/>
      </c>
      <c r="O128">
        <f>IF(A128="","",COUNTIFS('30_NGAN_HANG'!$B:$B,A128,'30_NGAN_HANG'!$Y:$Y,"Approved"))</f>
        <v/>
      </c>
    </row>
    <row r="129">
      <c r="N129">
        <f>IF(A129="","",COUNTIF('30_NGAN_HANG'!$B:$B,A129))</f>
        <v/>
      </c>
      <c r="O129">
        <f>IF(A129="","",COUNTIFS('30_NGAN_HANG'!$B:$B,A129,'30_NGAN_HANG'!$Y:$Y,"Approved"))</f>
        <v/>
      </c>
    </row>
    <row r="130">
      <c r="N130">
        <f>IF(A130="","",COUNTIF('30_NGAN_HANG'!$B:$B,A130))</f>
        <v/>
      </c>
      <c r="O130">
        <f>IF(A130="","",COUNTIFS('30_NGAN_HANG'!$B:$B,A130,'30_NGAN_HANG'!$Y:$Y,"Approved"))</f>
        <v/>
      </c>
    </row>
    <row r="131">
      <c r="N131">
        <f>IF(A131="","",COUNTIF('30_NGAN_HANG'!$B:$B,A131))</f>
        <v/>
      </c>
      <c r="O131">
        <f>IF(A131="","",COUNTIFS('30_NGAN_HANG'!$B:$B,A131,'30_NGAN_HANG'!$Y:$Y,"Approved"))</f>
        <v/>
      </c>
    </row>
    <row r="132">
      <c r="N132">
        <f>IF(A132="","",COUNTIF('30_NGAN_HANG'!$B:$B,A132))</f>
        <v/>
      </c>
      <c r="O132">
        <f>IF(A132="","",COUNTIFS('30_NGAN_HANG'!$B:$B,A132,'30_NGAN_HANG'!$Y:$Y,"Approved"))</f>
        <v/>
      </c>
    </row>
    <row r="133">
      <c r="N133">
        <f>IF(A133="","",COUNTIF('30_NGAN_HANG'!$B:$B,A133))</f>
        <v/>
      </c>
      <c r="O133">
        <f>IF(A133="","",COUNTIFS('30_NGAN_HANG'!$B:$B,A133,'30_NGAN_HANG'!$Y:$Y,"Approved"))</f>
        <v/>
      </c>
    </row>
    <row r="134">
      <c r="N134">
        <f>IF(A134="","",COUNTIF('30_NGAN_HANG'!$B:$B,A134))</f>
        <v/>
      </c>
      <c r="O134">
        <f>IF(A134="","",COUNTIFS('30_NGAN_HANG'!$B:$B,A134,'30_NGAN_HANG'!$Y:$Y,"Approved"))</f>
        <v/>
      </c>
    </row>
    <row r="135">
      <c r="N135">
        <f>IF(A135="","",COUNTIF('30_NGAN_HANG'!$B:$B,A135))</f>
        <v/>
      </c>
      <c r="O135">
        <f>IF(A135="","",COUNTIFS('30_NGAN_HANG'!$B:$B,A135,'30_NGAN_HANG'!$Y:$Y,"Approved"))</f>
        <v/>
      </c>
    </row>
    <row r="136">
      <c r="N136">
        <f>IF(A136="","",COUNTIF('30_NGAN_HANG'!$B:$B,A136))</f>
        <v/>
      </c>
      <c r="O136">
        <f>IF(A136="","",COUNTIFS('30_NGAN_HANG'!$B:$B,A136,'30_NGAN_HANG'!$Y:$Y,"Approved"))</f>
        <v/>
      </c>
    </row>
    <row r="137">
      <c r="N137">
        <f>IF(A137="","",COUNTIF('30_NGAN_HANG'!$B:$B,A137))</f>
        <v/>
      </c>
      <c r="O137">
        <f>IF(A137="","",COUNTIFS('30_NGAN_HANG'!$B:$B,A137,'30_NGAN_HANG'!$Y:$Y,"Approved"))</f>
        <v/>
      </c>
    </row>
    <row r="138">
      <c r="N138">
        <f>IF(A138="","",COUNTIF('30_NGAN_HANG'!$B:$B,A138))</f>
        <v/>
      </c>
      <c r="O138">
        <f>IF(A138="","",COUNTIFS('30_NGAN_HANG'!$B:$B,A138,'30_NGAN_HANG'!$Y:$Y,"Approved"))</f>
        <v/>
      </c>
    </row>
    <row r="139">
      <c r="N139">
        <f>IF(A139="","",COUNTIF('30_NGAN_HANG'!$B:$B,A139))</f>
        <v/>
      </c>
      <c r="O139">
        <f>IF(A139="","",COUNTIFS('30_NGAN_HANG'!$B:$B,A139,'30_NGAN_HANG'!$Y:$Y,"Approved"))</f>
        <v/>
      </c>
    </row>
    <row r="140">
      <c r="N140">
        <f>IF(A140="","",COUNTIF('30_NGAN_HANG'!$B:$B,A140))</f>
        <v/>
      </c>
      <c r="O140">
        <f>IF(A140="","",COUNTIFS('30_NGAN_HANG'!$B:$B,A140,'30_NGAN_HANG'!$Y:$Y,"Approved"))</f>
        <v/>
      </c>
    </row>
    <row r="141">
      <c r="N141">
        <f>IF(A141="","",COUNTIF('30_NGAN_HANG'!$B:$B,A141))</f>
        <v/>
      </c>
      <c r="O141">
        <f>IF(A141="","",COUNTIFS('30_NGAN_HANG'!$B:$B,A141,'30_NGAN_HANG'!$Y:$Y,"Approved"))</f>
        <v/>
      </c>
    </row>
    <row r="142">
      <c r="N142">
        <f>IF(A142="","",COUNTIF('30_NGAN_HANG'!$B:$B,A142))</f>
        <v/>
      </c>
      <c r="O142">
        <f>IF(A142="","",COUNTIFS('30_NGAN_HANG'!$B:$B,A142,'30_NGAN_HANG'!$Y:$Y,"Approved"))</f>
        <v/>
      </c>
    </row>
    <row r="143">
      <c r="N143">
        <f>IF(A143="","",COUNTIF('30_NGAN_HANG'!$B:$B,A143))</f>
        <v/>
      </c>
      <c r="O143">
        <f>IF(A143="","",COUNTIFS('30_NGAN_HANG'!$B:$B,A143,'30_NGAN_HANG'!$Y:$Y,"Approved"))</f>
        <v/>
      </c>
    </row>
    <row r="144">
      <c r="N144">
        <f>IF(A144="","",COUNTIF('30_NGAN_HANG'!$B:$B,A144))</f>
        <v/>
      </c>
      <c r="O144">
        <f>IF(A144="","",COUNTIFS('30_NGAN_HANG'!$B:$B,A144,'30_NGAN_HANG'!$Y:$Y,"Approved"))</f>
        <v/>
      </c>
    </row>
    <row r="145">
      <c r="N145">
        <f>IF(A145="","",COUNTIF('30_NGAN_HANG'!$B:$B,A145))</f>
        <v/>
      </c>
      <c r="O145">
        <f>IF(A145="","",COUNTIFS('30_NGAN_HANG'!$B:$B,A145,'30_NGAN_HANG'!$Y:$Y,"Approved"))</f>
        <v/>
      </c>
    </row>
    <row r="146">
      <c r="N146">
        <f>IF(A146="","",COUNTIF('30_NGAN_HANG'!$B:$B,A146))</f>
        <v/>
      </c>
      <c r="O146">
        <f>IF(A146="","",COUNTIFS('30_NGAN_HANG'!$B:$B,A146,'30_NGAN_HANG'!$Y:$Y,"Approved"))</f>
        <v/>
      </c>
    </row>
    <row r="147">
      <c r="N147">
        <f>IF(A147="","",COUNTIF('30_NGAN_HANG'!$B:$B,A147))</f>
        <v/>
      </c>
      <c r="O147">
        <f>IF(A147="","",COUNTIFS('30_NGAN_HANG'!$B:$B,A147,'30_NGAN_HANG'!$Y:$Y,"Approved"))</f>
        <v/>
      </c>
    </row>
    <row r="148">
      <c r="N148">
        <f>IF(A148="","",COUNTIF('30_NGAN_HANG'!$B:$B,A148))</f>
        <v/>
      </c>
      <c r="O148">
        <f>IF(A148="","",COUNTIFS('30_NGAN_HANG'!$B:$B,A148,'30_NGAN_HANG'!$Y:$Y,"Approved"))</f>
        <v/>
      </c>
    </row>
    <row r="149">
      <c r="N149">
        <f>IF(A149="","",COUNTIF('30_NGAN_HANG'!$B:$B,A149))</f>
        <v/>
      </c>
      <c r="O149">
        <f>IF(A149="","",COUNTIFS('30_NGAN_HANG'!$B:$B,A149,'30_NGAN_HANG'!$Y:$Y,"Approved"))</f>
        <v/>
      </c>
    </row>
    <row r="150">
      <c r="N150">
        <f>IF(A150="","",COUNTIF('30_NGAN_HANG'!$B:$B,A150))</f>
        <v/>
      </c>
      <c r="O150">
        <f>IF(A150="","",COUNTIFS('30_NGAN_HANG'!$B:$B,A150,'30_NGAN_HANG'!$Y:$Y,"Approved"))</f>
        <v/>
      </c>
    </row>
    <row r="151">
      <c r="N151">
        <f>IF(A151="","",COUNTIF('30_NGAN_HANG'!$B:$B,A151))</f>
        <v/>
      </c>
      <c r="O151">
        <f>IF(A151="","",COUNTIFS('30_NGAN_HANG'!$B:$B,A151,'30_NGAN_HANG'!$Y:$Y,"Approved"))</f>
        <v/>
      </c>
    </row>
    <row r="152">
      <c r="N152">
        <f>IF(A152="","",COUNTIF('30_NGAN_HANG'!$B:$B,A152))</f>
        <v/>
      </c>
      <c r="O152">
        <f>IF(A152="","",COUNTIFS('30_NGAN_HANG'!$B:$B,A152,'30_NGAN_HANG'!$Y:$Y,"Approved"))</f>
        <v/>
      </c>
    </row>
    <row r="153">
      <c r="N153">
        <f>IF(A153="","",COUNTIF('30_NGAN_HANG'!$B:$B,A153))</f>
        <v/>
      </c>
      <c r="O153">
        <f>IF(A153="","",COUNTIFS('30_NGAN_HANG'!$B:$B,A153,'30_NGAN_HANG'!$Y:$Y,"Approved"))</f>
        <v/>
      </c>
    </row>
    <row r="154">
      <c r="N154">
        <f>IF(A154="","",COUNTIF('30_NGAN_HANG'!$B:$B,A154))</f>
        <v/>
      </c>
      <c r="O154">
        <f>IF(A154="","",COUNTIFS('30_NGAN_HANG'!$B:$B,A154,'30_NGAN_HANG'!$Y:$Y,"Approved"))</f>
        <v/>
      </c>
    </row>
    <row r="155">
      <c r="N155">
        <f>IF(A155="","",COUNTIF('30_NGAN_HANG'!$B:$B,A155))</f>
        <v/>
      </c>
      <c r="O155">
        <f>IF(A155="","",COUNTIFS('30_NGAN_HANG'!$B:$B,A155,'30_NGAN_HANG'!$Y:$Y,"Approved"))</f>
        <v/>
      </c>
    </row>
    <row r="156">
      <c r="N156">
        <f>IF(A156="","",COUNTIF('30_NGAN_HANG'!$B:$B,A156))</f>
        <v/>
      </c>
      <c r="O156">
        <f>IF(A156="","",COUNTIFS('30_NGAN_HANG'!$B:$B,A156,'30_NGAN_HANG'!$Y:$Y,"Approved"))</f>
        <v/>
      </c>
    </row>
    <row r="157">
      <c r="N157">
        <f>IF(A157="","",COUNTIF('30_NGAN_HANG'!$B:$B,A157))</f>
        <v/>
      </c>
      <c r="O157">
        <f>IF(A157="","",COUNTIFS('30_NGAN_HANG'!$B:$B,A157,'30_NGAN_HANG'!$Y:$Y,"Approved"))</f>
        <v/>
      </c>
    </row>
    <row r="158">
      <c r="N158">
        <f>IF(A158="","",COUNTIF('30_NGAN_HANG'!$B:$B,A158))</f>
        <v/>
      </c>
      <c r="O158">
        <f>IF(A158="","",COUNTIFS('30_NGAN_HANG'!$B:$B,A158,'30_NGAN_HANG'!$Y:$Y,"Approved"))</f>
        <v/>
      </c>
    </row>
    <row r="159">
      <c r="N159">
        <f>IF(A159="","",COUNTIF('30_NGAN_HANG'!$B:$B,A159))</f>
        <v/>
      </c>
      <c r="O159">
        <f>IF(A159="","",COUNTIFS('30_NGAN_HANG'!$B:$B,A159,'30_NGAN_HANG'!$Y:$Y,"Approved"))</f>
        <v/>
      </c>
    </row>
    <row r="160">
      <c r="N160">
        <f>IF(A160="","",COUNTIF('30_NGAN_HANG'!$B:$B,A160))</f>
        <v/>
      </c>
      <c r="O160">
        <f>IF(A160="","",COUNTIFS('30_NGAN_HANG'!$B:$B,A160,'30_NGAN_HANG'!$Y:$Y,"Approved"))</f>
        <v/>
      </c>
    </row>
    <row r="161">
      <c r="N161">
        <f>IF(A161="","",COUNTIF('30_NGAN_HANG'!$B:$B,A161))</f>
        <v/>
      </c>
      <c r="O161">
        <f>IF(A161="","",COUNTIFS('30_NGAN_HANG'!$B:$B,A161,'30_NGAN_HANG'!$Y:$Y,"Approved"))</f>
        <v/>
      </c>
    </row>
    <row r="162">
      <c r="N162">
        <f>IF(A162="","",COUNTIF('30_NGAN_HANG'!$B:$B,A162))</f>
        <v/>
      </c>
      <c r="O162">
        <f>IF(A162="","",COUNTIFS('30_NGAN_HANG'!$B:$B,A162,'30_NGAN_HANG'!$Y:$Y,"Approved"))</f>
        <v/>
      </c>
    </row>
    <row r="163">
      <c r="N163">
        <f>IF(A163="","",COUNTIF('30_NGAN_HANG'!$B:$B,A163))</f>
        <v/>
      </c>
      <c r="O163">
        <f>IF(A163="","",COUNTIFS('30_NGAN_HANG'!$B:$B,A163,'30_NGAN_HANG'!$Y:$Y,"Approved"))</f>
        <v/>
      </c>
    </row>
    <row r="164">
      <c r="N164">
        <f>IF(A164="","",COUNTIF('30_NGAN_HANG'!$B:$B,A164))</f>
        <v/>
      </c>
      <c r="O164">
        <f>IF(A164="","",COUNTIFS('30_NGAN_HANG'!$B:$B,A164,'30_NGAN_HANG'!$Y:$Y,"Approved"))</f>
        <v/>
      </c>
    </row>
    <row r="165">
      <c r="N165">
        <f>IF(A165="","",COUNTIF('30_NGAN_HANG'!$B:$B,A165))</f>
        <v/>
      </c>
      <c r="O165">
        <f>IF(A165="","",COUNTIFS('30_NGAN_HANG'!$B:$B,A165,'30_NGAN_HANG'!$Y:$Y,"Approved"))</f>
        <v/>
      </c>
    </row>
    <row r="166">
      <c r="N166">
        <f>IF(A166="","",COUNTIF('30_NGAN_HANG'!$B:$B,A166))</f>
        <v/>
      </c>
      <c r="O166">
        <f>IF(A166="","",COUNTIFS('30_NGAN_HANG'!$B:$B,A166,'30_NGAN_HANG'!$Y:$Y,"Approved"))</f>
        <v/>
      </c>
    </row>
    <row r="167">
      <c r="N167">
        <f>IF(A167="","",COUNTIF('30_NGAN_HANG'!$B:$B,A167))</f>
        <v/>
      </c>
      <c r="O167">
        <f>IF(A167="","",COUNTIFS('30_NGAN_HANG'!$B:$B,A167,'30_NGAN_HANG'!$Y:$Y,"Approved"))</f>
        <v/>
      </c>
    </row>
    <row r="168">
      <c r="N168">
        <f>IF(A168="","",COUNTIF('30_NGAN_HANG'!$B:$B,A168))</f>
        <v/>
      </c>
      <c r="O168">
        <f>IF(A168="","",COUNTIFS('30_NGAN_HANG'!$B:$B,A168,'30_NGAN_HANG'!$Y:$Y,"Approved"))</f>
        <v/>
      </c>
    </row>
    <row r="169">
      <c r="N169">
        <f>IF(A169="","",COUNTIF('30_NGAN_HANG'!$B:$B,A169))</f>
        <v/>
      </c>
      <c r="O169">
        <f>IF(A169="","",COUNTIFS('30_NGAN_HANG'!$B:$B,A169,'30_NGAN_HANG'!$Y:$Y,"Approved"))</f>
        <v/>
      </c>
    </row>
    <row r="170">
      <c r="N170">
        <f>IF(A170="","",COUNTIF('30_NGAN_HANG'!$B:$B,A170))</f>
        <v/>
      </c>
      <c r="O170">
        <f>IF(A170="","",COUNTIFS('30_NGAN_HANG'!$B:$B,A170,'30_NGAN_HANG'!$Y:$Y,"Approved"))</f>
        <v/>
      </c>
    </row>
    <row r="171">
      <c r="N171">
        <f>IF(A171="","",COUNTIF('30_NGAN_HANG'!$B:$B,A171))</f>
        <v/>
      </c>
      <c r="O171">
        <f>IF(A171="","",COUNTIFS('30_NGAN_HANG'!$B:$B,A171,'30_NGAN_HANG'!$Y:$Y,"Approved"))</f>
        <v/>
      </c>
    </row>
    <row r="172">
      <c r="N172">
        <f>IF(A172="","",COUNTIF('30_NGAN_HANG'!$B:$B,A172))</f>
        <v/>
      </c>
      <c r="O172">
        <f>IF(A172="","",COUNTIFS('30_NGAN_HANG'!$B:$B,A172,'30_NGAN_HANG'!$Y:$Y,"Approved"))</f>
        <v/>
      </c>
    </row>
    <row r="173">
      <c r="N173">
        <f>IF(A173="","",COUNTIF('30_NGAN_HANG'!$B:$B,A173))</f>
        <v/>
      </c>
      <c r="O173">
        <f>IF(A173="","",COUNTIFS('30_NGAN_HANG'!$B:$B,A173,'30_NGAN_HANG'!$Y:$Y,"Approved"))</f>
        <v/>
      </c>
    </row>
    <row r="174">
      <c r="N174">
        <f>IF(A174="","",COUNTIF('30_NGAN_HANG'!$B:$B,A174))</f>
        <v/>
      </c>
      <c r="O174">
        <f>IF(A174="","",COUNTIFS('30_NGAN_HANG'!$B:$B,A174,'30_NGAN_HANG'!$Y:$Y,"Approved"))</f>
        <v/>
      </c>
    </row>
    <row r="175">
      <c r="N175">
        <f>IF(A175="","",COUNTIF('30_NGAN_HANG'!$B:$B,A175))</f>
        <v/>
      </c>
      <c r="O175">
        <f>IF(A175="","",COUNTIFS('30_NGAN_HANG'!$B:$B,A175,'30_NGAN_HANG'!$Y:$Y,"Approved"))</f>
        <v/>
      </c>
    </row>
    <row r="176">
      <c r="N176">
        <f>IF(A176="","",COUNTIF('30_NGAN_HANG'!$B:$B,A176))</f>
        <v/>
      </c>
      <c r="O176">
        <f>IF(A176="","",COUNTIFS('30_NGAN_HANG'!$B:$B,A176,'30_NGAN_HANG'!$Y:$Y,"Approved"))</f>
        <v/>
      </c>
    </row>
    <row r="177">
      <c r="N177">
        <f>IF(A177="","",COUNTIF('30_NGAN_HANG'!$B:$B,A177))</f>
        <v/>
      </c>
      <c r="O177">
        <f>IF(A177="","",COUNTIFS('30_NGAN_HANG'!$B:$B,A177,'30_NGAN_HANG'!$Y:$Y,"Approved"))</f>
        <v/>
      </c>
    </row>
    <row r="178">
      <c r="N178">
        <f>IF(A178="","",COUNTIF('30_NGAN_HANG'!$B:$B,A178))</f>
        <v/>
      </c>
      <c r="O178">
        <f>IF(A178="","",COUNTIFS('30_NGAN_HANG'!$B:$B,A178,'30_NGAN_HANG'!$Y:$Y,"Approved"))</f>
        <v/>
      </c>
    </row>
    <row r="179">
      <c r="N179">
        <f>IF(A179="","",COUNTIF('30_NGAN_HANG'!$B:$B,A179))</f>
        <v/>
      </c>
      <c r="O179">
        <f>IF(A179="","",COUNTIFS('30_NGAN_HANG'!$B:$B,A179,'30_NGAN_HANG'!$Y:$Y,"Approved"))</f>
        <v/>
      </c>
    </row>
    <row r="180">
      <c r="N180">
        <f>IF(A180="","",COUNTIF('30_NGAN_HANG'!$B:$B,A180))</f>
        <v/>
      </c>
      <c r="O180">
        <f>IF(A180="","",COUNTIFS('30_NGAN_HANG'!$B:$B,A180,'30_NGAN_HANG'!$Y:$Y,"Approved"))</f>
        <v/>
      </c>
    </row>
    <row r="181">
      <c r="N181">
        <f>IF(A181="","",COUNTIF('30_NGAN_HANG'!$B:$B,A181))</f>
        <v/>
      </c>
      <c r="O181">
        <f>IF(A181="","",COUNTIFS('30_NGAN_HANG'!$B:$B,A181,'30_NGAN_HANG'!$Y:$Y,"Approved"))</f>
        <v/>
      </c>
    </row>
    <row r="182">
      <c r="N182">
        <f>IF(A182="","",COUNTIF('30_NGAN_HANG'!$B:$B,A182))</f>
        <v/>
      </c>
      <c r="O182">
        <f>IF(A182="","",COUNTIFS('30_NGAN_HANG'!$B:$B,A182,'30_NGAN_HANG'!$Y:$Y,"Approved"))</f>
        <v/>
      </c>
    </row>
    <row r="183">
      <c r="N183">
        <f>IF(A183="","",COUNTIF('30_NGAN_HANG'!$B:$B,A183))</f>
        <v/>
      </c>
      <c r="O183">
        <f>IF(A183="","",COUNTIFS('30_NGAN_HANG'!$B:$B,A183,'30_NGAN_HANG'!$Y:$Y,"Approved"))</f>
        <v/>
      </c>
    </row>
    <row r="184">
      <c r="N184">
        <f>IF(A184="","",COUNTIF('30_NGAN_HANG'!$B:$B,A184))</f>
        <v/>
      </c>
      <c r="O184">
        <f>IF(A184="","",COUNTIFS('30_NGAN_HANG'!$B:$B,A184,'30_NGAN_HANG'!$Y:$Y,"Approved"))</f>
        <v/>
      </c>
    </row>
    <row r="185">
      <c r="N185">
        <f>IF(A185="","",COUNTIF('30_NGAN_HANG'!$B:$B,A185))</f>
        <v/>
      </c>
      <c r="O185">
        <f>IF(A185="","",COUNTIFS('30_NGAN_HANG'!$B:$B,A185,'30_NGAN_HANG'!$Y:$Y,"Approved"))</f>
        <v/>
      </c>
    </row>
    <row r="186">
      <c r="N186">
        <f>IF(A186="","",COUNTIF('30_NGAN_HANG'!$B:$B,A186))</f>
        <v/>
      </c>
      <c r="O186">
        <f>IF(A186="","",COUNTIFS('30_NGAN_HANG'!$B:$B,A186,'30_NGAN_HANG'!$Y:$Y,"Approved"))</f>
        <v/>
      </c>
    </row>
    <row r="187">
      <c r="N187">
        <f>IF(A187="","",COUNTIF('30_NGAN_HANG'!$B:$B,A187))</f>
        <v/>
      </c>
      <c r="O187">
        <f>IF(A187="","",COUNTIFS('30_NGAN_HANG'!$B:$B,A187,'30_NGAN_HANG'!$Y:$Y,"Approved"))</f>
        <v/>
      </c>
    </row>
    <row r="188">
      <c r="N188">
        <f>IF(A188="","",COUNTIF('30_NGAN_HANG'!$B:$B,A188))</f>
        <v/>
      </c>
      <c r="O188">
        <f>IF(A188="","",COUNTIFS('30_NGAN_HANG'!$B:$B,A188,'30_NGAN_HANG'!$Y:$Y,"Approved"))</f>
        <v/>
      </c>
    </row>
    <row r="189">
      <c r="N189">
        <f>IF(A189="","",COUNTIF('30_NGAN_HANG'!$B:$B,A189))</f>
        <v/>
      </c>
      <c r="O189">
        <f>IF(A189="","",COUNTIFS('30_NGAN_HANG'!$B:$B,A189,'30_NGAN_HANG'!$Y:$Y,"Approved"))</f>
        <v/>
      </c>
    </row>
    <row r="190">
      <c r="N190">
        <f>IF(A190="","",COUNTIF('30_NGAN_HANG'!$B:$B,A190))</f>
        <v/>
      </c>
      <c r="O190">
        <f>IF(A190="","",COUNTIFS('30_NGAN_HANG'!$B:$B,A190,'30_NGAN_HANG'!$Y:$Y,"Approved"))</f>
        <v/>
      </c>
    </row>
    <row r="191">
      <c r="N191">
        <f>IF(A191="","",COUNTIF('30_NGAN_HANG'!$B:$B,A191))</f>
        <v/>
      </c>
      <c r="O191">
        <f>IF(A191="","",COUNTIFS('30_NGAN_HANG'!$B:$B,A191,'30_NGAN_HANG'!$Y:$Y,"Approved"))</f>
        <v/>
      </c>
    </row>
    <row r="192">
      <c r="N192">
        <f>IF(A192="","",COUNTIF('30_NGAN_HANG'!$B:$B,A192))</f>
        <v/>
      </c>
      <c r="O192">
        <f>IF(A192="","",COUNTIFS('30_NGAN_HANG'!$B:$B,A192,'30_NGAN_HANG'!$Y:$Y,"Approved"))</f>
        <v/>
      </c>
    </row>
    <row r="193">
      <c r="N193">
        <f>IF(A193="","",COUNTIF('30_NGAN_HANG'!$B:$B,A193))</f>
        <v/>
      </c>
      <c r="O193">
        <f>IF(A193="","",COUNTIFS('30_NGAN_HANG'!$B:$B,A193,'30_NGAN_HANG'!$Y:$Y,"Approved"))</f>
        <v/>
      </c>
    </row>
    <row r="194">
      <c r="N194">
        <f>IF(A194="","",COUNTIF('30_NGAN_HANG'!$B:$B,A194))</f>
        <v/>
      </c>
      <c r="O194">
        <f>IF(A194="","",COUNTIFS('30_NGAN_HANG'!$B:$B,A194,'30_NGAN_HANG'!$Y:$Y,"Approved"))</f>
        <v/>
      </c>
    </row>
    <row r="195">
      <c r="N195">
        <f>IF(A195="","",COUNTIF('30_NGAN_HANG'!$B:$B,A195))</f>
        <v/>
      </c>
      <c r="O195">
        <f>IF(A195="","",COUNTIFS('30_NGAN_HANG'!$B:$B,A195,'30_NGAN_HANG'!$Y:$Y,"Approved"))</f>
        <v/>
      </c>
    </row>
    <row r="196">
      <c r="N196">
        <f>IF(A196="","",COUNTIF('30_NGAN_HANG'!$B:$B,A196))</f>
        <v/>
      </c>
      <c r="O196">
        <f>IF(A196="","",COUNTIFS('30_NGAN_HANG'!$B:$B,A196,'30_NGAN_HANG'!$Y:$Y,"Approved"))</f>
        <v/>
      </c>
    </row>
    <row r="197">
      <c r="N197">
        <f>IF(A197="","",COUNTIF('30_NGAN_HANG'!$B:$B,A197))</f>
        <v/>
      </c>
      <c r="O197">
        <f>IF(A197="","",COUNTIFS('30_NGAN_HANG'!$B:$B,A197,'30_NGAN_HANG'!$Y:$Y,"Approved"))</f>
        <v/>
      </c>
    </row>
    <row r="198">
      <c r="N198">
        <f>IF(A198="","",COUNTIF('30_NGAN_HANG'!$B:$B,A198))</f>
        <v/>
      </c>
      <c r="O198">
        <f>IF(A198="","",COUNTIFS('30_NGAN_HANG'!$B:$B,A198,'30_NGAN_HANG'!$Y:$Y,"Approved"))</f>
        <v/>
      </c>
    </row>
    <row r="199">
      <c r="N199">
        <f>IF(A199="","",COUNTIF('30_NGAN_HANG'!$B:$B,A199))</f>
        <v/>
      </c>
      <c r="O199">
        <f>IF(A199="","",COUNTIFS('30_NGAN_HANG'!$B:$B,A199,'30_NGAN_HANG'!$Y:$Y,"Approved"))</f>
        <v/>
      </c>
    </row>
    <row r="200">
      <c r="N200">
        <f>IF(A200="","",COUNTIF('30_NGAN_HANG'!$B:$B,A200))</f>
        <v/>
      </c>
      <c r="O200">
        <f>IF(A200="","",COUNTIFS('30_NGAN_HANG'!$B:$B,A200,'30_NGAN_HANG'!$Y:$Y,"Approved"))</f>
        <v/>
      </c>
    </row>
    <row r="201">
      <c r="N201">
        <f>IF(A201="","",COUNTIF('30_NGAN_HANG'!$B:$B,A201))</f>
        <v/>
      </c>
      <c r="O201">
        <f>IF(A201="","",COUNTIFS('30_NGAN_HANG'!$B:$B,A201,'30_NGAN_HANG'!$Y:$Y,"Approved"))</f>
        <v/>
      </c>
    </row>
    <row r="202">
      <c r="N202">
        <f>IF(A202="","",COUNTIF('30_NGAN_HANG'!$B:$B,A202))</f>
        <v/>
      </c>
      <c r="O202">
        <f>IF(A202="","",COUNTIFS('30_NGAN_HANG'!$B:$B,A202,'30_NGAN_HANG'!$Y:$Y,"Approved"))</f>
        <v/>
      </c>
    </row>
    <row r="203">
      <c r="N203">
        <f>IF(A203="","",COUNTIF('30_NGAN_HANG'!$B:$B,A203))</f>
        <v/>
      </c>
      <c r="O203">
        <f>IF(A203="","",COUNTIFS('30_NGAN_HANG'!$B:$B,A203,'30_NGAN_HANG'!$Y:$Y,"Approved"))</f>
        <v/>
      </c>
    </row>
    <row r="204">
      <c r="N204">
        <f>IF(A204="","",COUNTIF('30_NGAN_HANG'!$B:$B,A204))</f>
        <v/>
      </c>
      <c r="O204">
        <f>IF(A204="","",COUNTIFS('30_NGAN_HANG'!$B:$B,A204,'30_NGAN_HANG'!$Y:$Y,"Approved"))</f>
        <v/>
      </c>
    </row>
    <row r="205">
      <c r="N205">
        <f>IF(A205="","",COUNTIF('30_NGAN_HANG'!$B:$B,A205))</f>
        <v/>
      </c>
      <c r="O205">
        <f>IF(A205="","",COUNTIFS('30_NGAN_HANG'!$B:$B,A205,'30_NGAN_HANG'!$Y:$Y,"Approved"))</f>
        <v/>
      </c>
    </row>
    <row r="206">
      <c r="N206">
        <f>IF(A206="","",COUNTIF('30_NGAN_HANG'!$B:$B,A206))</f>
        <v/>
      </c>
      <c r="O206">
        <f>IF(A206="","",COUNTIFS('30_NGAN_HANG'!$B:$B,A206,'30_NGAN_HANG'!$Y:$Y,"Approved"))</f>
        <v/>
      </c>
    </row>
    <row r="207">
      <c r="N207">
        <f>IF(A207="","",COUNTIF('30_NGAN_HANG'!$B:$B,A207))</f>
        <v/>
      </c>
      <c r="O207">
        <f>IF(A207="","",COUNTIFS('30_NGAN_HANG'!$B:$B,A207,'30_NGAN_HANG'!$Y:$Y,"Approved"))</f>
        <v/>
      </c>
    </row>
    <row r="208">
      <c r="N208">
        <f>IF(A208="","",COUNTIF('30_NGAN_HANG'!$B:$B,A208))</f>
        <v/>
      </c>
      <c r="O208">
        <f>IF(A208="","",COUNTIFS('30_NGAN_HANG'!$B:$B,A208,'30_NGAN_HANG'!$Y:$Y,"Approved"))</f>
        <v/>
      </c>
    </row>
    <row r="209">
      <c r="N209">
        <f>IF(A209="","",COUNTIF('30_NGAN_HANG'!$B:$B,A209))</f>
        <v/>
      </c>
      <c r="O209">
        <f>IF(A209="","",COUNTIFS('30_NGAN_HANG'!$B:$B,A209,'30_NGAN_HANG'!$Y:$Y,"Approved"))</f>
        <v/>
      </c>
    </row>
    <row r="210">
      <c r="N210">
        <f>IF(A210="","",COUNTIF('30_NGAN_HANG'!$B:$B,A210))</f>
        <v/>
      </c>
      <c r="O210">
        <f>IF(A210="","",COUNTIFS('30_NGAN_HANG'!$B:$B,A210,'30_NGAN_HANG'!$Y:$Y,"Approved"))</f>
        <v/>
      </c>
    </row>
    <row r="211">
      <c r="N211">
        <f>IF(A211="","",COUNTIF('30_NGAN_HANG'!$B:$B,A211))</f>
        <v/>
      </c>
      <c r="O211">
        <f>IF(A211="","",COUNTIFS('30_NGAN_HANG'!$B:$B,A211,'30_NGAN_HANG'!$Y:$Y,"Approved"))</f>
        <v/>
      </c>
    </row>
    <row r="212">
      <c r="N212">
        <f>IF(A212="","",COUNTIF('30_NGAN_HANG'!$B:$B,A212))</f>
        <v/>
      </c>
      <c r="O212">
        <f>IF(A212="","",COUNTIFS('30_NGAN_HANG'!$B:$B,A212,'30_NGAN_HANG'!$Y:$Y,"Approved"))</f>
        <v/>
      </c>
    </row>
    <row r="213">
      <c r="N213">
        <f>IF(A213="","",COUNTIF('30_NGAN_HANG'!$B:$B,A213))</f>
        <v/>
      </c>
      <c r="O213">
        <f>IF(A213="","",COUNTIFS('30_NGAN_HANG'!$B:$B,A213,'30_NGAN_HANG'!$Y:$Y,"Approved"))</f>
        <v/>
      </c>
    </row>
    <row r="214">
      <c r="N214">
        <f>IF(A214="","",COUNTIF('30_NGAN_HANG'!$B:$B,A214))</f>
        <v/>
      </c>
      <c r="O214">
        <f>IF(A214="","",COUNTIFS('30_NGAN_HANG'!$B:$B,A214,'30_NGAN_HANG'!$Y:$Y,"Approved"))</f>
        <v/>
      </c>
    </row>
    <row r="215">
      <c r="N215">
        <f>IF(A215="","",COUNTIF('30_NGAN_HANG'!$B:$B,A215))</f>
        <v/>
      </c>
      <c r="O215">
        <f>IF(A215="","",COUNTIFS('30_NGAN_HANG'!$B:$B,A215,'30_NGAN_HANG'!$Y:$Y,"Approved"))</f>
        <v/>
      </c>
    </row>
    <row r="216">
      <c r="N216">
        <f>IF(A216="","",COUNTIF('30_NGAN_HANG'!$B:$B,A216))</f>
        <v/>
      </c>
      <c r="O216">
        <f>IF(A216="","",COUNTIFS('30_NGAN_HANG'!$B:$B,A216,'30_NGAN_HANG'!$Y:$Y,"Approved"))</f>
        <v/>
      </c>
    </row>
    <row r="217">
      <c r="N217">
        <f>IF(A217="","",COUNTIF('30_NGAN_HANG'!$B:$B,A217))</f>
        <v/>
      </c>
      <c r="O217">
        <f>IF(A217="","",COUNTIFS('30_NGAN_HANG'!$B:$B,A217,'30_NGAN_HANG'!$Y:$Y,"Approved"))</f>
        <v/>
      </c>
    </row>
    <row r="218">
      <c r="N218">
        <f>IF(A218="","",COUNTIF('30_NGAN_HANG'!$B:$B,A218))</f>
        <v/>
      </c>
      <c r="O218">
        <f>IF(A218="","",COUNTIFS('30_NGAN_HANG'!$B:$B,A218,'30_NGAN_HANG'!$Y:$Y,"Approved"))</f>
        <v/>
      </c>
    </row>
    <row r="219">
      <c r="N219">
        <f>IF(A219="","",COUNTIF('30_NGAN_HANG'!$B:$B,A219))</f>
        <v/>
      </c>
      <c r="O219">
        <f>IF(A219="","",COUNTIFS('30_NGAN_HANG'!$B:$B,A219,'30_NGAN_HANG'!$Y:$Y,"Approved"))</f>
        <v/>
      </c>
    </row>
    <row r="220">
      <c r="N220">
        <f>IF(A220="","",COUNTIF('30_NGAN_HANG'!$B:$B,A220))</f>
        <v/>
      </c>
      <c r="O220">
        <f>IF(A220="","",COUNTIFS('30_NGAN_HANG'!$B:$B,A220,'30_NGAN_HANG'!$Y:$Y,"Approved"))</f>
        <v/>
      </c>
    </row>
    <row r="221">
      <c r="N221">
        <f>IF(A221="","",COUNTIF('30_NGAN_HANG'!$B:$B,A221))</f>
        <v/>
      </c>
      <c r="O221">
        <f>IF(A221="","",COUNTIFS('30_NGAN_HANG'!$B:$B,A221,'30_NGAN_HANG'!$Y:$Y,"Approved"))</f>
        <v/>
      </c>
    </row>
    <row r="222">
      <c r="N222">
        <f>IF(A222="","",COUNTIF('30_NGAN_HANG'!$B:$B,A222))</f>
        <v/>
      </c>
      <c r="O222">
        <f>IF(A222="","",COUNTIFS('30_NGAN_HANG'!$B:$B,A222,'30_NGAN_HANG'!$Y:$Y,"Approved"))</f>
        <v/>
      </c>
    </row>
    <row r="223">
      <c r="N223">
        <f>IF(A223="","",COUNTIF('30_NGAN_HANG'!$B:$B,A223))</f>
        <v/>
      </c>
      <c r="O223">
        <f>IF(A223="","",COUNTIFS('30_NGAN_HANG'!$B:$B,A223,'30_NGAN_HANG'!$Y:$Y,"Approved"))</f>
        <v/>
      </c>
    </row>
    <row r="224">
      <c r="N224">
        <f>IF(A224="","",COUNTIF('30_NGAN_HANG'!$B:$B,A224))</f>
        <v/>
      </c>
      <c r="O224">
        <f>IF(A224="","",COUNTIFS('30_NGAN_HANG'!$B:$B,A224,'30_NGAN_HANG'!$Y:$Y,"Approved"))</f>
        <v/>
      </c>
    </row>
    <row r="225">
      <c r="N225">
        <f>IF(A225="","",COUNTIF('30_NGAN_HANG'!$B:$B,A225))</f>
        <v/>
      </c>
      <c r="O225">
        <f>IF(A225="","",COUNTIFS('30_NGAN_HANG'!$B:$B,A225,'30_NGAN_HANG'!$Y:$Y,"Approved"))</f>
        <v/>
      </c>
    </row>
    <row r="226">
      <c r="N226">
        <f>IF(A226="","",COUNTIF('30_NGAN_HANG'!$B:$B,A226))</f>
        <v/>
      </c>
      <c r="O226">
        <f>IF(A226="","",COUNTIFS('30_NGAN_HANG'!$B:$B,A226,'30_NGAN_HANG'!$Y:$Y,"Approved"))</f>
        <v/>
      </c>
    </row>
    <row r="227">
      <c r="N227">
        <f>IF(A227="","",COUNTIF('30_NGAN_HANG'!$B:$B,A227))</f>
        <v/>
      </c>
      <c r="O227">
        <f>IF(A227="","",COUNTIFS('30_NGAN_HANG'!$B:$B,A227,'30_NGAN_HANG'!$Y:$Y,"Approved"))</f>
        <v/>
      </c>
    </row>
    <row r="228">
      <c r="N228">
        <f>IF(A228="","",COUNTIF('30_NGAN_HANG'!$B:$B,A228))</f>
        <v/>
      </c>
      <c r="O228">
        <f>IF(A228="","",COUNTIFS('30_NGAN_HANG'!$B:$B,A228,'30_NGAN_HANG'!$Y:$Y,"Approved"))</f>
        <v/>
      </c>
    </row>
    <row r="229">
      <c r="N229">
        <f>IF(A229="","",COUNTIF('30_NGAN_HANG'!$B:$B,A229))</f>
        <v/>
      </c>
      <c r="O229">
        <f>IF(A229="","",COUNTIFS('30_NGAN_HANG'!$B:$B,A229,'30_NGAN_HANG'!$Y:$Y,"Approved"))</f>
        <v/>
      </c>
    </row>
    <row r="230">
      <c r="N230">
        <f>IF(A230="","",COUNTIF('30_NGAN_HANG'!$B:$B,A230))</f>
        <v/>
      </c>
      <c r="O230">
        <f>IF(A230="","",COUNTIFS('30_NGAN_HANG'!$B:$B,A230,'30_NGAN_HANG'!$Y:$Y,"Approved"))</f>
        <v/>
      </c>
    </row>
    <row r="231">
      <c r="N231">
        <f>IF(A231="","",COUNTIF('30_NGAN_HANG'!$B:$B,A231))</f>
        <v/>
      </c>
      <c r="O231">
        <f>IF(A231="","",COUNTIFS('30_NGAN_HANG'!$B:$B,A231,'30_NGAN_HANG'!$Y:$Y,"Approved"))</f>
        <v/>
      </c>
    </row>
    <row r="232">
      <c r="N232">
        <f>IF(A232="","",COUNTIF('30_NGAN_HANG'!$B:$B,A232))</f>
        <v/>
      </c>
      <c r="O232">
        <f>IF(A232="","",COUNTIFS('30_NGAN_HANG'!$B:$B,A232,'30_NGAN_HANG'!$Y:$Y,"Approved"))</f>
        <v/>
      </c>
    </row>
    <row r="233">
      <c r="N233">
        <f>IF(A233="","",COUNTIF('30_NGAN_HANG'!$B:$B,A233))</f>
        <v/>
      </c>
      <c r="O233">
        <f>IF(A233="","",COUNTIFS('30_NGAN_HANG'!$B:$B,A233,'30_NGAN_HANG'!$Y:$Y,"Approved"))</f>
        <v/>
      </c>
    </row>
    <row r="234">
      <c r="N234">
        <f>IF(A234="","",COUNTIF('30_NGAN_HANG'!$B:$B,A234))</f>
        <v/>
      </c>
      <c r="O234">
        <f>IF(A234="","",COUNTIFS('30_NGAN_HANG'!$B:$B,A234,'30_NGAN_HANG'!$Y:$Y,"Approved"))</f>
        <v/>
      </c>
    </row>
    <row r="235">
      <c r="N235">
        <f>IF(A235="","",COUNTIF('30_NGAN_HANG'!$B:$B,A235))</f>
        <v/>
      </c>
      <c r="O235">
        <f>IF(A235="","",COUNTIFS('30_NGAN_HANG'!$B:$B,A235,'30_NGAN_HANG'!$Y:$Y,"Approved"))</f>
        <v/>
      </c>
    </row>
    <row r="236">
      <c r="N236">
        <f>IF(A236="","",COUNTIF('30_NGAN_HANG'!$B:$B,A236))</f>
        <v/>
      </c>
      <c r="O236">
        <f>IF(A236="","",COUNTIFS('30_NGAN_HANG'!$B:$B,A236,'30_NGAN_HANG'!$Y:$Y,"Approved"))</f>
        <v/>
      </c>
    </row>
    <row r="237">
      <c r="N237">
        <f>IF(A237="","",COUNTIF('30_NGAN_HANG'!$B:$B,A237))</f>
        <v/>
      </c>
      <c r="O237">
        <f>IF(A237="","",COUNTIFS('30_NGAN_HANG'!$B:$B,A237,'30_NGAN_HANG'!$Y:$Y,"Approved"))</f>
        <v/>
      </c>
    </row>
    <row r="238">
      <c r="N238">
        <f>IF(A238="","",COUNTIF('30_NGAN_HANG'!$B:$B,A238))</f>
        <v/>
      </c>
      <c r="O238">
        <f>IF(A238="","",COUNTIFS('30_NGAN_HANG'!$B:$B,A238,'30_NGAN_HANG'!$Y:$Y,"Approved"))</f>
        <v/>
      </c>
    </row>
    <row r="239">
      <c r="N239">
        <f>IF(A239="","",COUNTIF('30_NGAN_HANG'!$B:$B,A239))</f>
        <v/>
      </c>
      <c r="O239">
        <f>IF(A239="","",COUNTIFS('30_NGAN_HANG'!$B:$B,A239,'30_NGAN_HANG'!$Y:$Y,"Approved"))</f>
        <v/>
      </c>
    </row>
    <row r="240">
      <c r="N240">
        <f>IF(A240="","",COUNTIF('30_NGAN_HANG'!$B:$B,A240))</f>
        <v/>
      </c>
      <c r="O240">
        <f>IF(A240="","",COUNTIFS('30_NGAN_HANG'!$B:$B,A240,'30_NGAN_HANG'!$Y:$Y,"Approved"))</f>
        <v/>
      </c>
    </row>
    <row r="241">
      <c r="N241">
        <f>IF(A241="","",COUNTIF('30_NGAN_HANG'!$B:$B,A241))</f>
        <v/>
      </c>
      <c r="O241">
        <f>IF(A241="","",COUNTIFS('30_NGAN_HANG'!$B:$B,A241,'30_NGAN_HANG'!$Y:$Y,"Approved"))</f>
        <v/>
      </c>
    </row>
    <row r="242">
      <c r="N242">
        <f>IF(A242="","",COUNTIF('30_NGAN_HANG'!$B:$B,A242))</f>
        <v/>
      </c>
      <c r="O242">
        <f>IF(A242="","",COUNTIFS('30_NGAN_HANG'!$B:$B,A242,'30_NGAN_HANG'!$Y:$Y,"Approved"))</f>
        <v/>
      </c>
    </row>
    <row r="243">
      <c r="N243">
        <f>IF(A243="","",COUNTIF('30_NGAN_HANG'!$B:$B,A243))</f>
        <v/>
      </c>
      <c r="O243">
        <f>IF(A243="","",COUNTIFS('30_NGAN_HANG'!$B:$B,A243,'30_NGAN_HANG'!$Y:$Y,"Approved"))</f>
        <v/>
      </c>
    </row>
    <row r="244">
      <c r="N244">
        <f>IF(A244="","",COUNTIF('30_NGAN_HANG'!$B:$B,A244))</f>
        <v/>
      </c>
      <c r="O244">
        <f>IF(A244="","",COUNTIFS('30_NGAN_HANG'!$B:$B,A244,'30_NGAN_HANG'!$Y:$Y,"Approved"))</f>
        <v/>
      </c>
    </row>
    <row r="245">
      <c r="N245">
        <f>IF(A245="","",COUNTIF('30_NGAN_HANG'!$B:$B,A245))</f>
        <v/>
      </c>
      <c r="O245">
        <f>IF(A245="","",COUNTIFS('30_NGAN_HANG'!$B:$B,A245,'30_NGAN_HANG'!$Y:$Y,"Approved"))</f>
        <v/>
      </c>
    </row>
    <row r="246">
      <c r="N246">
        <f>IF(A246="","",COUNTIF('30_NGAN_HANG'!$B:$B,A246))</f>
        <v/>
      </c>
      <c r="O246">
        <f>IF(A246="","",COUNTIFS('30_NGAN_HANG'!$B:$B,A246,'30_NGAN_HANG'!$Y:$Y,"Approved"))</f>
        <v/>
      </c>
    </row>
    <row r="247">
      <c r="N247">
        <f>IF(A247="","",COUNTIF('30_NGAN_HANG'!$B:$B,A247))</f>
        <v/>
      </c>
      <c r="O247">
        <f>IF(A247="","",COUNTIFS('30_NGAN_HANG'!$B:$B,A247,'30_NGAN_HANG'!$Y:$Y,"Approved"))</f>
        <v/>
      </c>
    </row>
    <row r="248">
      <c r="N248">
        <f>IF(A248="","",COUNTIF('30_NGAN_HANG'!$B:$B,A248))</f>
        <v/>
      </c>
      <c r="O248">
        <f>IF(A248="","",COUNTIFS('30_NGAN_HANG'!$B:$B,A248,'30_NGAN_HANG'!$Y:$Y,"Approved"))</f>
        <v/>
      </c>
    </row>
    <row r="249">
      <c r="N249">
        <f>IF(A249="","",COUNTIF('30_NGAN_HANG'!$B:$B,A249))</f>
        <v/>
      </c>
      <c r="O249">
        <f>IF(A249="","",COUNTIFS('30_NGAN_HANG'!$B:$B,A249,'30_NGAN_HANG'!$Y:$Y,"Approved"))</f>
        <v/>
      </c>
    </row>
    <row r="250">
      <c r="N250">
        <f>IF(A250="","",COUNTIF('30_NGAN_HANG'!$B:$B,A250))</f>
        <v/>
      </c>
      <c r="O250">
        <f>IF(A250="","",COUNTIFS('30_NGAN_HANG'!$B:$B,A250,'30_NGAN_HANG'!$Y:$Y,"Approved"))</f>
        <v/>
      </c>
    </row>
    <row r="251">
      <c r="N251">
        <f>IF(A251="","",COUNTIF('30_NGAN_HANG'!$B:$B,A251))</f>
        <v/>
      </c>
      <c r="O251">
        <f>IF(A251="","",COUNTIFS('30_NGAN_HANG'!$B:$B,A251,'30_NGAN_HANG'!$Y:$Y,"Approved"))</f>
        <v/>
      </c>
    </row>
    <row r="252">
      <c r="N252">
        <f>IF(A252="","",COUNTIF('30_NGAN_HANG'!$B:$B,A252))</f>
        <v/>
      </c>
      <c r="O252">
        <f>IF(A252="","",COUNTIFS('30_NGAN_HANG'!$B:$B,A252,'30_NGAN_HANG'!$Y:$Y,"Approved"))</f>
        <v/>
      </c>
    </row>
    <row r="253">
      <c r="N253">
        <f>IF(A253="","",COUNTIF('30_NGAN_HANG'!$B:$B,A253))</f>
        <v/>
      </c>
      <c r="O253">
        <f>IF(A253="","",COUNTIFS('30_NGAN_HANG'!$B:$B,A253,'30_NGAN_HANG'!$Y:$Y,"Approved"))</f>
        <v/>
      </c>
    </row>
    <row r="254">
      <c r="N254">
        <f>IF(A254="","",COUNTIF('30_NGAN_HANG'!$B:$B,A254))</f>
        <v/>
      </c>
      <c r="O254">
        <f>IF(A254="","",COUNTIFS('30_NGAN_HANG'!$B:$B,A254,'30_NGAN_HANG'!$Y:$Y,"Approved"))</f>
        <v/>
      </c>
    </row>
    <row r="255">
      <c r="N255">
        <f>IF(A255="","",COUNTIF('30_NGAN_HANG'!$B:$B,A255))</f>
        <v/>
      </c>
      <c r="O255">
        <f>IF(A255="","",COUNTIFS('30_NGAN_HANG'!$B:$B,A255,'30_NGAN_HANG'!$Y:$Y,"Approved"))</f>
        <v/>
      </c>
    </row>
    <row r="256">
      <c r="N256">
        <f>IF(A256="","",COUNTIF('30_NGAN_HANG'!$B:$B,A256))</f>
        <v/>
      </c>
      <c r="O256">
        <f>IF(A256="","",COUNTIFS('30_NGAN_HANG'!$B:$B,A256,'30_NGAN_HANG'!$Y:$Y,"Approved"))</f>
        <v/>
      </c>
    </row>
    <row r="257">
      <c r="N257">
        <f>IF(A257="","",COUNTIF('30_NGAN_HANG'!$B:$B,A257))</f>
        <v/>
      </c>
      <c r="O257">
        <f>IF(A257="","",COUNTIFS('30_NGAN_HANG'!$B:$B,A257,'30_NGAN_HANG'!$Y:$Y,"Approved"))</f>
        <v/>
      </c>
    </row>
    <row r="258">
      <c r="N258">
        <f>IF(A258="","",COUNTIF('30_NGAN_HANG'!$B:$B,A258))</f>
        <v/>
      </c>
      <c r="O258">
        <f>IF(A258="","",COUNTIFS('30_NGAN_HANG'!$B:$B,A258,'30_NGAN_HANG'!$Y:$Y,"Approved"))</f>
        <v/>
      </c>
    </row>
    <row r="259">
      <c r="N259">
        <f>IF(A259="","",COUNTIF('30_NGAN_HANG'!$B:$B,A259))</f>
        <v/>
      </c>
      <c r="O259">
        <f>IF(A259="","",COUNTIFS('30_NGAN_HANG'!$B:$B,A259,'30_NGAN_HANG'!$Y:$Y,"Approved"))</f>
        <v/>
      </c>
    </row>
    <row r="260">
      <c r="N260">
        <f>IF(A260="","",COUNTIF('30_NGAN_HANG'!$B:$B,A260))</f>
        <v/>
      </c>
      <c r="O260">
        <f>IF(A260="","",COUNTIFS('30_NGAN_HANG'!$B:$B,A260,'30_NGAN_HANG'!$Y:$Y,"Approved"))</f>
        <v/>
      </c>
    </row>
    <row r="261">
      <c r="N261">
        <f>IF(A261="","",COUNTIF('30_NGAN_HANG'!$B:$B,A261))</f>
        <v/>
      </c>
      <c r="O261">
        <f>IF(A261="","",COUNTIFS('30_NGAN_HANG'!$B:$B,A261,'30_NGAN_HANG'!$Y:$Y,"Approved"))</f>
        <v/>
      </c>
    </row>
    <row r="262">
      <c r="N262">
        <f>IF(A262="","",COUNTIF('30_NGAN_HANG'!$B:$B,A262))</f>
        <v/>
      </c>
      <c r="O262">
        <f>IF(A262="","",COUNTIFS('30_NGAN_HANG'!$B:$B,A262,'30_NGAN_HANG'!$Y:$Y,"Approved"))</f>
        <v/>
      </c>
    </row>
    <row r="263">
      <c r="N263">
        <f>IF(A263="","",COUNTIF('30_NGAN_HANG'!$B:$B,A263))</f>
        <v/>
      </c>
      <c r="O263">
        <f>IF(A263="","",COUNTIFS('30_NGAN_HANG'!$B:$B,A263,'30_NGAN_HANG'!$Y:$Y,"Approved"))</f>
        <v/>
      </c>
    </row>
    <row r="264">
      <c r="N264">
        <f>IF(A264="","",COUNTIF('30_NGAN_HANG'!$B:$B,A264))</f>
        <v/>
      </c>
      <c r="O264">
        <f>IF(A264="","",COUNTIFS('30_NGAN_HANG'!$B:$B,A264,'30_NGAN_HANG'!$Y:$Y,"Approved"))</f>
        <v/>
      </c>
    </row>
    <row r="265">
      <c r="N265">
        <f>IF(A265="","",COUNTIF('30_NGAN_HANG'!$B:$B,A265))</f>
        <v/>
      </c>
      <c r="O265">
        <f>IF(A265="","",COUNTIFS('30_NGAN_HANG'!$B:$B,A265,'30_NGAN_HANG'!$Y:$Y,"Approved"))</f>
        <v/>
      </c>
    </row>
    <row r="266">
      <c r="N266">
        <f>IF(A266="","",COUNTIF('30_NGAN_HANG'!$B:$B,A266))</f>
        <v/>
      </c>
      <c r="O266">
        <f>IF(A266="","",COUNTIFS('30_NGAN_HANG'!$B:$B,A266,'30_NGAN_HANG'!$Y:$Y,"Approved"))</f>
        <v/>
      </c>
    </row>
    <row r="267">
      <c r="N267">
        <f>IF(A267="","",COUNTIF('30_NGAN_HANG'!$B:$B,A267))</f>
        <v/>
      </c>
      <c r="O267">
        <f>IF(A267="","",COUNTIFS('30_NGAN_HANG'!$B:$B,A267,'30_NGAN_HANG'!$Y:$Y,"Approved"))</f>
        <v/>
      </c>
    </row>
    <row r="268">
      <c r="N268">
        <f>IF(A268="","",COUNTIF('30_NGAN_HANG'!$B:$B,A268))</f>
        <v/>
      </c>
      <c r="O268">
        <f>IF(A268="","",COUNTIFS('30_NGAN_HANG'!$B:$B,A268,'30_NGAN_HANG'!$Y:$Y,"Approved"))</f>
        <v/>
      </c>
    </row>
    <row r="269">
      <c r="N269">
        <f>IF(A269="","",COUNTIF('30_NGAN_HANG'!$B:$B,A269))</f>
        <v/>
      </c>
      <c r="O269">
        <f>IF(A269="","",COUNTIFS('30_NGAN_HANG'!$B:$B,A269,'30_NGAN_HANG'!$Y:$Y,"Approved"))</f>
        <v/>
      </c>
    </row>
    <row r="270">
      <c r="N270">
        <f>IF(A270="","",COUNTIF('30_NGAN_HANG'!$B:$B,A270))</f>
        <v/>
      </c>
      <c r="O270">
        <f>IF(A270="","",COUNTIFS('30_NGAN_HANG'!$B:$B,A270,'30_NGAN_HANG'!$Y:$Y,"Approved"))</f>
        <v/>
      </c>
    </row>
    <row r="271">
      <c r="N271">
        <f>IF(A271="","",COUNTIF('30_NGAN_HANG'!$B:$B,A271))</f>
        <v/>
      </c>
      <c r="O271">
        <f>IF(A271="","",COUNTIFS('30_NGAN_HANG'!$B:$B,A271,'30_NGAN_HANG'!$Y:$Y,"Approved"))</f>
        <v/>
      </c>
    </row>
    <row r="272">
      <c r="N272">
        <f>IF(A272="","",COUNTIF('30_NGAN_HANG'!$B:$B,A272))</f>
        <v/>
      </c>
      <c r="O272">
        <f>IF(A272="","",COUNTIFS('30_NGAN_HANG'!$B:$B,A272,'30_NGAN_HANG'!$Y:$Y,"Approved"))</f>
        <v/>
      </c>
    </row>
    <row r="273">
      <c r="N273">
        <f>IF(A273="","",COUNTIF('30_NGAN_HANG'!$B:$B,A273))</f>
        <v/>
      </c>
      <c r="O273">
        <f>IF(A273="","",COUNTIFS('30_NGAN_HANG'!$B:$B,A273,'30_NGAN_HANG'!$Y:$Y,"Approved"))</f>
        <v/>
      </c>
    </row>
    <row r="274">
      <c r="N274">
        <f>IF(A274="","",COUNTIF('30_NGAN_HANG'!$B:$B,A274))</f>
        <v/>
      </c>
      <c r="O274">
        <f>IF(A274="","",COUNTIFS('30_NGAN_HANG'!$B:$B,A274,'30_NGAN_HANG'!$Y:$Y,"Approved"))</f>
        <v/>
      </c>
    </row>
    <row r="275">
      <c r="N275">
        <f>IF(A275="","",COUNTIF('30_NGAN_HANG'!$B:$B,A275))</f>
        <v/>
      </c>
      <c r="O275">
        <f>IF(A275="","",COUNTIFS('30_NGAN_HANG'!$B:$B,A275,'30_NGAN_HANG'!$Y:$Y,"Approved"))</f>
        <v/>
      </c>
    </row>
    <row r="276">
      <c r="N276">
        <f>IF(A276="","",COUNTIF('30_NGAN_HANG'!$B:$B,A276))</f>
        <v/>
      </c>
      <c r="O276">
        <f>IF(A276="","",COUNTIFS('30_NGAN_HANG'!$B:$B,A276,'30_NGAN_HANG'!$Y:$Y,"Approved"))</f>
        <v/>
      </c>
    </row>
    <row r="277">
      <c r="N277">
        <f>IF(A277="","",COUNTIF('30_NGAN_HANG'!$B:$B,A277))</f>
        <v/>
      </c>
      <c r="O277">
        <f>IF(A277="","",COUNTIFS('30_NGAN_HANG'!$B:$B,A277,'30_NGAN_HANG'!$Y:$Y,"Approved"))</f>
        <v/>
      </c>
    </row>
    <row r="278">
      <c r="N278">
        <f>IF(A278="","",COUNTIF('30_NGAN_HANG'!$B:$B,A278))</f>
        <v/>
      </c>
      <c r="O278">
        <f>IF(A278="","",COUNTIFS('30_NGAN_HANG'!$B:$B,A278,'30_NGAN_HANG'!$Y:$Y,"Approved"))</f>
        <v/>
      </c>
    </row>
    <row r="279">
      <c r="N279">
        <f>IF(A279="","",COUNTIF('30_NGAN_HANG'!$B:$B,A279))</f>
        <v/>
      </c>
      <c r="O279">
        <f>IF(A279="","",COUNTIFS('30_NGAN_HANG'!$B:$B,A279,'30_NGAN_HANG'!$Y:$Y,"Approved"))</f>
        <v/>
      </c>
    </row>
    <row r="280">
      <c r="N280">
        <f>IF(A280="","",COUNTIF('30_NGAN_HANG'!$B:$B,A280))</f>
        <v/>
      </c>
      <c r="O280">
        <f>IF(A280="","",COUNTIFS('30_NGAN_HANG'!$B:$B,A280,'30_NGAN_HANG'!$Y:$Y,"Approved"))</f>
        <v/>
      </c>
    </row>
    <row r="281">
      <c r="N281">
        <f>IF(A281="","",COUNTIF('30_NGAN_HANG'!$B:$B,A281))</f>
        <v/>
      </c>
      <c r="O281">
        <f>IF(A281="","",COUNTIFS('30_NGAN_HANG'!$B:$B,A281,'30_NGAN_HANG'!$Y:$Y,"Approved"))</f>
        <v/>
      </c>
    </row>
    <row r="282">
      <c r="N282">
        <f>IF(A282="","",COUNTIF('30_NGAN_HANG'!$B:$B,A282))</f>
        <v/>
      </c>
      <c r="O282">
        <f>IF(A282="","",COUNTIFS('30_NGAN_HANG'!$B:$B,A282,'30_NGAN_HANG'!$Y:$Y,"Approved"))</f>
        <v/>
      </c>
    </row>
    <row r="283">
      <c r="N283">
        <f>IF(A283="","",COUNTIF('30_NGAN_HANG'!$B:$B,A283))</f>
        <v/>
      </c>
      <c r="O283">
        <f>IF(A283="","",COUNTIFS('30_NGAN_HANG'!$B:$B,A283,'30_NGAN_HANG'!$Y:$Y,"Approved"))</f>
        <v/>
      </c>
    </row>
    <row r="284">
      <c r="N284">
        <f>IF(A284="","",COUNTIF('30_NGAN_HANG'!$B:$B,A284))</f>
        <v/>
      </c>
      <c r="O284">
        <f>IF(A284="","",COUNTIFS('30_NGAN_HANG'!$B:$B,A284,'30_NGAN_HANG'!$Y:$Y,"Approved"))</f>
        <v/>
      </c>
    </row>
    <row r="285">
      <c r="N285">
        <f>IF(A285="","",COUNTIF('30_NGAN_HANG'!$B:$B,A285))</f>
        <v/>
      </c>
      <c r="O285">
        <f>IF(A285="","",COUNTIFS('30_NGAN_HANG'!$B:$B,A285,'30_NGAN_HANG'!$Y:$Y,"Approved"))</f>
        <v/>
      </c>
    </row>
    <row r="286">
      <c r="N286">
        <f>IF(A286="","",COUNTIF('30_NGAN_HANG'!$B:$B,A286))</f>
        <v/>
      </c>
      <c r="O286">
        <f>IF(A286="","",COUNTIFS('30_NGAN_HANG'!$B:$B,A286,'30_NGAN_HANG'!$Y:$Y,"Approved"))</f>
        <v/>
      </c>
    </row>
    <row r="287">
      <c r="N287">
        <f>IF(A287="","",COUNTIF('30_NGAN_HANG'!$B:$B,A287))</f>
        <v/>
      </c>
      <c r="O287">
        <f>IF(A287="","",COUNTIFS('30_NGAN_HANG'!$B:$B,A287,'30_NGAN_HANG'!$Y:$Y,"Approved"))</f>
        <v/>
      </c>
    </row>
    <row r="288">
      <c r="N288">
        <f>IF(A288="","",COUNTIF('30_NGAN_HANG'!$B:$B,A288))</f>
        <v/>
      </c>
      <c r="O288">
        <f>IF(A288="","",COUNTIFS('30_NGAN_HANG'!$B:$B,A288,'30_NGAN_HANG'!$Y:$Y,"Approved"))</f>
        <v/>
      </c>
    </row>
    <row r="289">
      <c r="N289">
        <f>IF(A289="","",COUNTIF('30_NGAN_HANG'!$B:$B,A289))</f>
        <v/>
      </c>
      <c r="O289">
        <f>IF(A289="","",COUNTIFS('30_NGAN_HANG'!$B:$B,A289,'30_NGAN_HANG'!$Y:$Y,"Approved"))</f>
        <v/>
      </c>
    </row>
    <row r="290">
      <c r="N290">
        <f>IF(A290="","",COUNTIF('30_NGAN_HANG'!$B:$B,A290))</f>
        <v/>
      </c>
      <c r="O290">
        <f>IF(A290="","",COUNTIFS('30_NGAN_HANG'!$B:$B,A290,'30_NGAN_HANG'!$Y:$Y,"Approved"))</f>
        <v/>
      </c>
    </row>
    <row r="291">
      <c r="N291">
        <f>IF(A291="","",COUNTIF('30_NGAN_HANG'!$B:$B,A291))</f>
        <v/>
      </c>
      <c r="O291">
        <f>IF(A291="","",COUNTIFS('30_NGAN_HANG'!$B:$B,A291,'30_NGAN_HANG'!$Y:$Y,"Approved"))</f>
        <v/>
      </c>
    </row>
    <row r="292">
      <c r="N292">
        <f>IF(A292="","",COUNTIF('30_NGAN_HANG'!$B:$B,A292))</f>
        <v/>
      </c>
      <c r="O292">
        <f>IF(A292="","",COUNTIFS('30_NGAN_HANG'!$B:$B,A292,'30_NGAN_HANG'!$Y:$Y,"Approved"))</f>
        <v/>
      </c>
    </row>
    <row r="293">
      <c r="N293">
        <f>IF(A293="","",COUNTIF('30_NGAN_HANG'!$B:$B,A293))</f>
        <v/>
      </c>
      <c r="O293">
        <f>IF(A293="","",COUNTIFS('30_NGAN_HANG'!$B:$B,A293,'30_NGAN_HANG'!$Y:$Y,"Approved"))</f>
        <v/>
      </c>
    </row>
    <row r="294">
      <c r="N294">
        <f>IF(A294="","",COUNTIF('30_NGAN_HANG'!$B:$B,A294))</f>
        <v/>
      </c>
      <c r="O294">
        <f>IF(A294="","",COUNTIFS('30_NGAN_HANG'!$B:$B,A294,'30_NGAN_HANG'!$Y:$Y,"Approved"))</f>
        <v/>
      </c>
    </row>
    <row r="295">
      <c r="N295">
        <f>IF(A295="","",COUNTIF('30_NGAN_HANG'!$B:$B,A295))</f>
        <v/>
      </c>
      <c r="O295">
        <f>IF(A295="","",COUNTIFS('30_NGAN_HANG'!$B:$B,A295,'30_NGAN_HANG'!$Y:$Y,"Approved"))</f>
        <v/>
      </c>
    </row>
    <row r="296">
      <c r="N296">
        <f>IF(A296="","",COUNTIF('30_NGAN_HANG'!$B:$B,A296))</f>
        <v/>
      </c>
      <c r="O296">
        <f>IF(A296="","",COUNTIFS('30_NGAN_HANG'!$B:$B,A296,'30_NGAN_HANG'!$Y:$Y,"Approved"))</f>
        <v/>
      </c>
    </row>
    <row r="297">
      <c r="N297">
        <f>IF(A297="","",COUNTIF('30_NGAN_HANG'!$B:$B,A297))</f>
        <v/>
      </c>
      <c r="O297">
        <f>IF(A297="","",COUNTIFS('30_NGAN_HANG'!$B:$B,A297,'30_NGAN_HANG'!$Y:$Y,"Approved"))</f>
        <v/>
      </c>
    </row>
    <row r="298">
      <c r="N298">
        <f>IF(A298="","",COUNTIF('30_NGAN_HANG'!$B:$B,A298))</f>
        <v/>
      </c>
      <c r="O298">
        <f>IF(A298="","",COUNTIFS('30_NGAN_HANG'!$B:$B,A298,'30_NGAN_HANG'!$Y:$Y,"Approved"))</f>
        <v/>
      </c>
    </row>
    <row r="299">
      <c r="N299">
        <f>IF(A299="","",COUNTIF('30_NGAN_HANG'!$B:$B,A299))</f>
        <v/>
      </c>
      <c r="O299">
        <f>IF(A299="","",COUNTIFS('30_NGAN_HANG'!$B:$B,A299,'30_NGAN_HANG'!$Y:$Y,"Approved"))</f>
        <v/>
      </c>
    </row>
    <row r="300">
      <c r="N300">
        <f>IF(A300="","",COUNTIF('30_NGAN_HANG'!$B:$B,A300))</f>
        <v/>
      </c>
      <c r="O300">
        <f>IF(A300="","",COUNTIFS('30_NGAN_HANG'!$B:$B,A300,'30_NGAN_HANG'!$Y:$Y,"Approved"))</f>
        <v/>
      </c>
    </row>
  </sheetData>
  <dataValidations count="3">
    <dataValidation sqref="C3:C300" showDropDown="0" showInputMessage="0" showErrorMessage="0" allowBlank="1" type="list">
      <formula1>='99_DANH_MUC'!$A$2:$A$4</formula1>
    </dataValidation>
    <dataValidation sqref="K3:K300" showDropDown="0" showInputMessage="0" showErrorMessage="0" allowBlank="1" type="list">
      <formula1>='99_DANH_MUC'!$G$2:$G$4</formula1>
    </dataValidation>
    <dataValidation sqref="M3:M300" showDropDown="0" showInputMessage="0" showErrorMessage="0" allowBlank="1" type="list">
      <formula1>='99_DANH_MUC'!$E$2:$E$5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55A11"/>
    <outlinePr summaryBelow="1" summaryRight="1"/>
    <pageSetUpPr/>
  </sheetPr>
  <dimension ref="A1:O30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12" customWidth="1" min="4" max="4"/>
    <col width="34" customWidth="1" min="5" max="5"/>
    <col width="40" customWidth="1" min="6" max="6"/>
    <col width="30" customWidth="1" min="7" max="7"/>
    <col width="28" customWidth="1" min="8" max="8"/>
    <col width="24" customWidth="1" min="9" max="9"/>
    <col width="32" customWidth="1" min="10" max="10"/>
    <col width="28" customWidth="1" min="11" max="11"/>
    <col width="24" customWidth="1" min="12" max="12"/>
    <col width="24" customWidth="1" min="13" max="13"/>
    <col width="32" customWidth="1" min="14" max="14"/>
    <col width="34" customWidth="1" min="15" max="15"/>
  </cols>
  <sheetData>
    <row r="1">
      <c r="A1" s="7" t="inlineStr">
        <is>
          <t>文字と語彙 › 漢字の読み  |  1 dòng = 1 yêu cầu sinh câu. Cam = bắt buộc, vàng = gợi ý cho AI.</t>
        </is>
      </c>
    </row>
    <row r="2" ht="42" customHeight="1">
      <c r="A2" s="8" t="inlineStr">
        <is>
          <t>Mã yêu cầu</t>
        </is>
      </c>
      <c r="B2" s="8" t="inlineStr">
        <is>
          <t>Mã đề (kế hoạch)</t>
        </is>
      </c>
      <c r="C2" s="8" t="inlineStr">
        <is>
          <t>Quyển</t>
        </is>
      </c>
      <c r="D2" s="8" t="inlineStr">
        <is>
          <t>Bài</t>
        </is>
      </c>
      <c r="E2" s="8" t="inlineStr">
        <is>
          <t>Số câu cần sinh</t>
        </is>
      </c>
      <c r="F2" s="9" t="inlineStr">
        <is>
          <t>Từ chứa kanji (gạch chân)</t>
        </is>
      </c>
      <c r="G2" s="9" t="inlineStr">
        <is>
          <t>Cách đọc đúng</t>
        </is>
      </c>
      <c r="H2" s="13" t="inlineStr">
        <is>
          <t>Câu ngữ cảnh</t>
        </is>
      </c>
      <c r="I2" s="13" t="inlineStr">
        <is>
          <t>Kiểu nhiễu</t>
        </is>
      </c>
      <c r="J2" s="8" t="inlineStr">
        <is>
          <t>Ghi chú cho AI</t>
        </is>
      </c>
      <c r="K2" s="8" t="inlineStr">
        <is>
          <t>Công cụ sinh</t>
        </is>
      </c>
      <c r="L2" s="8" t="inlineStr">
        <is>
          <t>Người nhập</t>
        </is>
      </c>
      <c r="M2" s="8" t="inlineStr">
        <is>
          <t>Trạng thái</t>
        </is>
      </c>
      <c r="N2" s="10" t="inlineStr">
        <is>
          <t>Số câu đã sinh</t>
        </is>
      </c>
      <c r="O2" s="10" t="inlineStr">
        <is>
          <t>Số câu Approved</t>
        </is>
      </c>
    </row>
    <row r="3">
      <c r="A3" t="inlineStr">
        <is>
          <t>IN_03-0001</t>
        </is>
      </c>
      <c r="C3" t="inlineStr">
        <is>
          <t>入門</t>
        </is>
      </c>
      <c r="D3" t="n">
        <v>1</v>
      </c>
      <c r="E3" t="n">
        <v>3</v>
      </c>
      <c r="F3" t="inlineStr">
        <is>
          <t>会社</t>
        </is>
      </c>
      <c r="G3" t="inlineStr">
        <is>
          <t>かいしゃ</t>
        </is>
      </c>
      <c r="H3" t="inlineStr">
        <is>
          <t>あした 会社に 行きます。</t>
        </is>
      </c>
      <c r="I3" t="inlineStr">
        <is>
          <t>Trường âm;Âm đục</t>
        </is>
      </c>
      <c r="J3" t="inlineStr">
        <is>
          <t>VÍ DỤ — xoá dòng này khi dùng thật</t>
        </is>
      </c>
      <c r="K3" t="inlineStr">
        <is>
          <t>ChatGPT</t>
        </is>
      </c>
      <c r="M3" t="inlineStr">
        <is>
          <t>Nháp</t>
        </is>
      </c>
      <c r="N3">
        <f>IF(A3="","",COUNTIF('30_NGAN_HANG'!$B:$B,A3))</f>
        <v/>
      </c>
      <c r="O3">
        <f>IF(A3="","",COUNTIFS('30_NGAN_HANG'!$B:$B,A3,'30_NGAN_HANG'!$Y:$Y,"Approved"))</f>
        <v/>
      </c>
    </row>
    <row r="4">
      <c r="N4">
        <f>IF(A4="","",COUNTIF('30_NGAN_HANG'!$B:$B,A4))</f>
        <v/>
      </c>
      <c r="O4">
        <f>IF(A4="","",COUNTIFS('30_NGAN_HANG'!$B:$B,A4,'30_NGAN_HANG'!$Y:$Y,"Approved"))</f>
        <v/>
      </c>
    </row>
    <row r="5">
      <c r="N5">
        <f>IF(A5="","",COUNTIF('30_NGAN_HANG'!$B:$B,A5))</f>
        <v/>
      </c>
      <c r="O5">
        <f>IF(A5="","",COUNTIFS('30_NGAN_HANG'!$B:$B,A5,'30_NGAN_HANG'!$Y:$Y,"Approved"))</f>
        <v/>
      </c>
    </row>
    <row r="6">
      <c r="N6">
        <f>IF(A6="","",COUNTIF('30_NGAN_HANG'!$B:$B,A6))</f>
        <v/>
      </c>
      <c r="O6">
        <f>IF(A6="","",COUNTIFS('30_NGAN_HANG'!$B:$B,A6,'30_NGAN_HANG'!$Y:$Y,"Approved"))</f>
        <v/>
      </c>
    </row>
    <row r="7">
      <c r="N7">
        <f>IF(A7="","",COUNTIF('30_NGAN_HANG'!$B:$B,A7))</f>
        <v/>
      </c>
      <c r="O7">
        <f>IF(A7="","",COUNTIFS('30_NGAN_HANG'!$B:$B,A7,'30_NGAN_HANG'!$Y:$Y,"Approved"))</f>
        <v/>
      </c>
    </row>
    <row r="8">
      <c r="N8">
        <f>IF(A8="","",COUNTIF('30_NGAN_HANG'!$B:$B,A8))</f>
        <v/>
      </c>
      <c r="O8">
        <f>IF(A8="","",COUNTIFS('30_NGAN_HANG'!$B:$B,A8,'30_NGAN_HANG'!$Y:$Y,"Approved"))</f>
        <v/>
      </c>
    </row>
    <row r="9">
      <c r="N9">
        <f>IF(A9="","",COUNTIF('30_NGAN_HANG'!$B:$B,A9))</f>
        <v/>
      </c>
      <c r="O9">
        <f>IF(A9="","",COUNTIFS('30_NGAN_HANG'!$B:$B,A9,'30_NGAN_HANG'!$Y:$Y,"Approved"))</f>
        <v/>
      </c>
    </row>
    <row r="10">
      <c r="N10">
        <f>IF(A10="","",COUNTIF('30_NGAN_HANG'!$B:$B,A10))</f>
        <v/>
      </c>
      <c r="O10">
        <f>IF(A10="","",COUNTIFS('30_NGAN_HANG'!$B:$B,A10,'30_NGAN_HANG'!$Y:$Y,"Approved"))</f>
        <v/>
      </c>
    </row>
    <row r="11">
      <c r="N11">
        <f>IF(A11="","",COUNTIF('30_NGAN_HANG'!$B:$B,A11))</f>
        <v/>
      </c>
      <c r="O11">
        <f>IF(A11="","",COUNTIFS('30_NGAN_HANG'!$B:$B,A11,'30_NGAN_HANG'!$Y:$Y,"Approved"))</f>
        <v/>
      </c>
    </row>
    <row r="12">
      <c r="N12">
        <f>IF(A12="","",COUNTIF('30_NGAN_HANG'!$B:$B,A12))</f>
        <v/>
      </c>
      <c r="O12">
        <f>IF(A12="","",COUNTIFS('30_NGAN_HANG'!$B:$B,A12,'30_NGAN_HANG'!$Y:$Y,"Approved"))</f>
        <v/>
      </c>
    </row>
    <row r="13">
      <c r="N13">
        <f>IF(A13="","",COUNTIF('30_NGAN_HANG'!$B:$B,A13))</f>
        <v/>
      </c>
      <c r="O13">
        <f>IF(A13="","",COUNTIFS('30_NGAN_HANG'!$B:$B,A13,'30_NGAN_HANG'!$Y:$Y,"Approved"))</f>
        <v/>
      </c>
    </row>
    <row r="14">
      <c r="N14">
        <f>IF(A14="","",COUNTIF('30_NGAN_HANG'!$B:$B,A14))</f>
        <v/>
      </c>
      <c r="O14">
        <f>IF(A14="","",COUNTIFS('30_NGAN_HANG'!$B:$B,A14,'30_NGAN_HANG'!$Y:$Y,"Approved"))</f>
        <v/>
      </c>
    </row>
    <row r="15">
      <c r="N15">
        <f>IF(A15="","",COUNTIF('30_NGAN_HANG'!$B:$B,A15))</f>
        <v/>
      </c>
      <c r="O15">
        <f>IF(A15="","",COUNTIFS('30_NGAN_HANG'!$B:$B,A15,'30_NGAN_HANG'!$Y:$Y,"Approved"))</f>
        <v/>
      </c>
    </row>
    <row r="16">
      <c r="N16">
        <f>IF(A16="","",COUNTIF('30_NGAN_HANG'!$B:$B,A16))</f>
        <v/>
      </c>
      <c r="O16">
        <f>IF(A16="","",COUNTIFS('30_NGAN_HANG'!$B:$B,A16,'30_NGAN_HANG'!$Y:$Y,"Approved"))</f>
        <v/>
      </c>
    </row>
    <row r="17">
      <c r="N17">
        <f>IF(A17="","",COUNTIF('30_NGAN_HANG'!$B:$B,A17))</f>
        <v/>
      </c>
      <c r="O17">
        <f>IF(A17="","",COUNTIFS('30_NGAN_HANG'!$B:$B,A17,'30_NGAN_HANG'!$Y:$Y,"Approved"))</f>
        <v/>
      </c>
    </row>
    <row r="18">
      <c r="N18">
        <f>IF(A18="","",COUNTIF('30_NGAN_HANG'!$B:$B,A18))</f>
        <v/>
      </c>
      <c r="O18">
        <f>IF(A18="","",COUNTIFS('30_NGAN_HANG'!$B:$B,A18,'30_NGAN_HANG'!$Y:$Y,"Approved"))</f>
        <v/>
      </c>
    </row>
    <row r="19">
      <c r="N19">
        <f>IF(A19="","",COUNTIF('30_NGAN_HANG'!$B:$B,A19))</f>
        <v/>
      </c>
      <c r="O19">
        <f>IF(A19="","",COUNTIFS('30_NGAN_HANG'!$B:$B,A19,'30_NGAN_HANG'!$Y:$Y,"Approved"))</f>
        <v/>
      </c>
    </row>
    <row r="20">
      <c r="N20">
        <f>IF(A20="","",COUNTIF('30_NGAN_HANG'!$B:$B,A20))</f>
        <v/>
      </c>
      <c r="O20">
        <f>IF(A20="","",COUNTIFS('30_NGAN_HANG'!$B:$B,A20,'30_NGAN_HANG'!$Y:$Y,"Approved"))</f>
        <v/>
      </c>
    </row>
    <row r="21">
      <c r="N21">
        <f>IF(A21="","",COUNTIF('30_NGAN_HANG'!$B:$B,A21))</f>
        <v/>
      </c>
      <c r="O21">
        <f>IF(A21="","",COUNTIFS('30_NGAN_HANG'!$B:$B,A21,'30_NGAN_HANG'!$Y:$Y,"Approved"))</f>
        <v/>
      </c>
    </row>
    <row r="22">
      <c r="N22">
        <f>IF(A22="","",COUNTIF('30_NGAN_HANG'!$B:$B,A22))</f>
        <v/>
      </c>
      <c r="O22">
        <f>IF(A22="","",COUNTIFS('30_NGAN_HANG'!$B:$B,A22,'30_NGAN_HANG'!$Y:$Y,"Approved"))</f>
        <v/>
      </c>
    </row>
    <row r="23">
      <c r="N23">
        <f>IF(A23="","",COUNTIF('30_NGAN_HANG'!$B:$B,A23))</f>
        <v/>
      </c>
      <c r="O23">
        <f>IF(A23="","",COUNTIFS('30_NGAN_HANG'!$B:$B,A23,'30_NGAN_HANG'!$Y:$Y,"Approved"))</f>
        <v/>
      </c>
    </row>
    <row r="24">
      <c r="N24">
        <f>IF(A24="","",COUNTIF('30_NGAN_HANG'!$B:$B,A24))</f>
        <v/>
      </c>
      <c r="O24">
        <f>IF(A24="","",COUNTIFS('30_NGAN_HANG'!$B:$B,A24,'30_NGAN_HANG'!$Y:$Y,"Approved"))</f>
        <v/>
      </c>
    </row>
    <row r="25">
      <c r="N25">
        <f>IF(A25="","",COUNTIF('30_NGAN_HANG'!$B:$B,A25))</f>
        <v/>
      </c>
      <c r="O25">
        <f>IF(A25="","",COUNTIFS('30_NGAN_HANG'!$B:$B,A25,'30_NGAN_HANG'!$Y:$Y,"Approved"))</f>
        <v/>
      </c>
    </row>
    <row r="26">
      <c r="N26">
        <f>IF(A26="","",COUNTIF('30_NGAN_HANG'!$B:$B,A26))</f>
        <v/>
      </c>
      <c r="O26">
        <f>IF(A26="","",COUNTIFS('30_NGAN_HANG'!$B:$B,A26,'30_NGAN_HANG'!$Y:$Y,"Approved"))</f>
        <v/>
      </c>
    </row>
    <row r="27">
      <c r="N27">
        <f>IF(A27="","",COUNTIF('30_NGAN_HANG'!$B:$B,A27))</f>
        <v/>
      </c>
      <c r="O27">
        <f>IF(A27="","",COUNTIFS('30_NGAN_HANG'!$B:$B,A27,'30_NGAN_HANG'!$Y:$Y,"Approved"))</f>
        <v/>
      </c>
    </row>
    <row r="28">
      <c r="N28">
        <f>IF(A28="","",COUNTIF('30_NGAN_HANG'!$B:$B,A28))</f>
        <v/>
      </c>
      <c r="O28">
        <f>IF(A28="","",COUNTIFS('30_NGAN_HANG'!$B:$B,A28,'30_NGAN_HANG'!$Y:$Y,"Approved"))</f>
        <v/>
      </c>
    </row>
    <row r="29">
      <c r="N29">
        <f>IF(A29="","",COUNTIF('30_NGAN_HANG'!$B:$B,A29))</f>
        <v/>
      </c>
      <c r="O29">
        <f>IF(A29="","",COUNTIFS('30_NGAN_HANG'!$B:$B,A29,'30_NGAN_HANG'!$Y:$Y,"Approved"))</f>
        <v/>
      </c>
    </row>
    <row r="30">
      <c r="N30">
        <f>IF(A30="","",COUNTIF('30_NGAN_HANG'!$B:$B,A30))</f>
        <v/>
      </c>
      <c r="O30">
        <f>IF(A30="","",COUNTIFS('30_NGAN_HANG'!$B:$B,A30,'30_NGAN_HANG'!$Y:$Y,"Approved"))</f>
        <v/>
      </c>
    </row>
    <row r="31">
      <c r="N31">
        <f>IF(A31="","",COUNTIF('30_NGAN_HANG'!$B:$B,A31))</f>
        <v/>
      </c>
      <c r="O31">
        <f>IF(A31="","",COUNTIFS('30_NGAN_HANG'!$B:$B,A31,'30_NGAN_HANG'!$Y:$Y,"Approved"))</f>
        <v/>
      </c>
    </row>
    <row r="32">
      <c r="N32">
        <f>IF(A32="","",COUNTIF('30_NGAN_HANG'!$B:$B,A32))</f>
        <v/>
      </c>
      <c r="O32">
        <f>IF(A32="","",COUNTIFS('30_NGAN_HANG'!$B:$B,A32,'30_NGAN_HANG'!$Y:$Y,"Approved"))</f>
        <v/>
      </c>
    </row>
    <row r="33">
      <c r="N33">
        <f>IF(A33="","",COUNTIF('30_NGAN_HANG'!$B:$B,A33))</f>
        <v/>
      </c>
      <c r="O33">
        <f>IF(A33="","",COUNTIFS('30_NGAN_HANG'!$B:$B,A33,'30_NGAN_HANG'!$Y:$Y,"Approved"))</f>
        <v/>
      </c>
    </row>
    <row r="34">
      <c r="N34">
        <f>IF(A34="","",COUNTIF('30_NGAN_HANG'!$B:$B,A34))</f>
        <v/>
      </c>
      <c r="O34">
        <f>IF(A34="","",COUNTIFS('30_NGAN_HANG'!$B:$B,A34,'30_NGAN_HANG'!$Y:$Y,"Approved"))</f>
        <v/>
      </c>
    </row>
    <row r="35">
      <c r="N35">
        <f>IF(A35="","",COUNTIF('30_NGAN_HANG'!$B:$B,A35))</f>
        <v/>
      </c>
      <c r="O35">
        <f>IF(A35="","",COUNTIFS('30_NGAN_HANG'!$B:$B,A35,'30_NGAN_HANG'!$Y:$Y,"Approved"))</f>
        <v/>
      </c>
    </row>
    <row r="36">
      <c r="N36">
        <f>IF(A36="","",COUNTIF('30_NGAN_HANG'!$B:$B,A36))</f>
        <v/>
      </c>
      <c r="O36">
        <f>IF(A36="","",COUNTIFS('30_NGAN_HANG'!$B:$B,A36,'30_NGAN_HANG'!$Y:$Y,"Approved"))</f>
        <v/>
      </c>
    </row>
    <row r="37">
      <c r="N37">
        <f>IF(A37="","",COUNTIF('30_NGAN_HANG'!$B:$B,A37))</f>
        <v/>
      </c>
      <c r="O37">
        <f>IF(A37="","",COUNTIFS('30_NGAN_HANG'!$B:$B,A37,'30_NGAN_HANG'!$Y:$Y,"Approved"))</f>
        <v/>
      </c>
    </row>
    <row r="38">
      <c r="N38">
        <f>IF(A38="","",COUNTIF('30_NGAN_HANG'!$B:$B,A38))</f>
        <v/>
      </c>
      <c r="O38">
        <f>IF(A38="","",COUNTIFS('30_NGAN_HANG'!$B:$B,A38,'30_NGAN_HANG'!$Y:$Y,"Approved"))</f>
        <v/>
      </c>
    </row>
    <row r="39">
      <c r="N39">
        <f>IF(A39="","",COUNTIF('30_NGAN_HANG'!$B:$B,A39))</f>
        <v/>
      </c>
      <c r="O39">
        <f>IF(A39="","",COUNTIFS('30_NGAN_HANG'!$B:$B,A39,'30_NGAN_HANG'!$Y:$Y,"Approved"))</f>
        <v/>
      </c>
    </row>
    <row r="40">
      <c r="N40">
        <f>IF(A40="","",COUNTIF('30_NGAN_HANG'!$B:$B,A40))</f>
        <v/>
      </c>
      <c r="O40">
        <f>IF(A40="","",COUNTIFS('30_NGAN_HANG'!$B:$B,A40,'30_NGAN_HANG'!$Y:$Y,"Approved"))</f>
        <v/>
      </c>
    </row>
    <row r="41">
      <c r="N41">
        <f>IF(A41="","",COUNTIF('30_NGAN_HANG'!$B:$B,A41))</f>
        <v/>
      </c>
      <c r="O41">
        <f>IF(A41="","",COUNTIFS('30_NGAN_HANG'!$B:$B,A41,'30_NGAN_HANG'!$Y:$Y,"Approved"))</f>
        <v/>
      </c>
    </row>
    <row r="42">
      <c r="N42">
        <f>IF(A42="","",COUNTIF('30_NGAN_HANG'!$B:$B,A42))</f>
        <v/>
      </c>
      <c r="O42">
        <f>IF(A42="","",COUNTIFS('30_NGAN_HANG'!$B:$B,A42,'30_NGAN_HANG'!$Y:$Y,"Approved"))</f>
        <v/>
      </c>
    </row>
    <row r="43">
      <c r="N43">
        <f>IF(A43="","",COUNTIF('30_NGAN_HANG'!$B:$B,A43))</f>
        <v/>
      </c>
      <c r="O43">
        <f>IF(A43="","",COUNTIFS('30_NGAN_HANG'!$B:$B,A43,'30_NGAN_HANG'!$Y:$Y,"Approved"))</f>
        <v/>
      </c>
    </row>
    <row r="44">
      <c r="N44">
        <f>IF(A44="","",COUNTIF('30_NGAN_HANG'!$B:$B,A44))</f>
        <v/>
      </c>
      <c r="O44">
        <f>IF(A44="","",COUNTIFS('30_NGAN_HANG'!$B:$B,A44,'30_NGAN_HANG'!$Y:$Y,"Approved"))</f>
        <v/>
      </c>
    </row>
    <row r="45">
      <c r="N45">
        <f>IF(A45="","",COUNTIF('30_NGAN_HANG'!$B:$B,A45))</f>
        <v/>
      </c>
      <c r="O45">
        <f>IF(A45="","",COUNTIFS('30_NGAN_HANG'!$B:$B,A45,'30_NGAN_HANG'!$Y:$Y,"Approved"))</f>
        <v/>
      </c>
    </row>
    <row r="46">
      <c r="N46">
        <f>IF(A46="","",COUNTIF('30_NGAN_HANG'!$B:$B,A46))</f>
        <v/>
      </c>
      <c r="O46">
        <f>IF(A46="","",COUNTIFS('30_NGAN_HANG'!$B:$B,A46,'30_NGAN_HANG'!$Y:$Y,"Approved"))</f>
        <v/>
      </c>
    </row>
    <row r="47">
      <c r="N47">
        <f>IF(A47="","",COUNTIF('30_NGAN_HANG'!$B:$B,A47))</f>
        <v/>
      </c>
      <c r="O47">
        <f>IF(A47="","",COUNTIFS('30_NGAN_HANG'!$B:$B,A47,'30_NGAN_HANG'!$Y:$Y,"Approved"))</f>
        <v/>
      </c>
    </row>
    <row r="48">
      <c r="N48">
        <f>IF(A48="","",COUNTIF('30_NGAN_HANG'!$B:$B,A48))</f>
        <v/>
      </c>
      <c r="O48">
        <f>IF(A48="","",COUNTIFS('30_NGAN_HANG'!$B:$B,A48,'30_NGAN_HANG'!$Y:$Y,"Approved"))</f>
        <v/>
      </c>
    </row>
    <row r="49">
      <c r="N49">
        <f>IF(A49="","",COUNTIF('30_NGAN_HANG'!$B:$B,A49))</f>
        <v/>
      </c>
      <c r="O49">
        <f>IF(A49="","",COUNTIFS('30_NGAN_HANG'!$B:$B,A49,'30_NGAN_HANG'!$Y:$Y,"Approved"))</f>
        <v/>
      </c>
    </row>
    <row r="50">
      <c r="N50">
        <f>IF(A50="","",COUNTIF('30_NGAN_HANG'!$B:$B,A50))</f>
        <v/>
      </c>
      <c r="O50">
        <f>IF(A50="","",COUNTIFS('30_NGAN_HANG'!$B:$B,A50,'30_NGAN_HANG'!$Y:$Y,"Approved"))</f>
        <v/>
      </c>
    </row>
    <row r="51">
      <c r="N51">
        <f>IF(A51="","",COUNTIF('30_NGAN_HANG'!$B:$B,A51))</f>
        <v/>
      </c>
      <c r="O51">
        <f>IF(A51="","",COUNTIFS('30_NGAN_HANG'!$B:$B,A51,'30_NGAN_HANG'!$Y:$Y,"Approved"))</f>
        <v/>
      </c>
    </row>
    <row r="52">
      <c r="N52">
        <f>IF(A52="","",COUNTIF('30_NGAN_HANG'!$B:$B,A52))</f>
        <v/>
      </c>
      <c r="O52">
        <f>IF(A52="","",COUNTIFS('30_NGAN_HANG'!$B:$B,A52,'30_NGAN_HANG'!$Y:$Y,"Approved"))</f>
        <v/>
      </c>
    </row>
    <row r="53">
      <c r="N53">
        <f>IF(A53="","",COUNTIF('30_NGAN_HANG'!$B:$B,A53))</f>
        <v/>
      </c>
      <c r="O53">
        <f>IF(A53="","",COUNTIFS('30_NGAN_HANG'!$B:$B,A53,'30_NGAN_HANG'!$Y:$Y,"Approved"))</f>
        <v/>
      </c>
    </row>
    <row r="54">
      <c r="N54">
        <f>IF(A54="","",COUNTIF('30_NGAN_HANG'!$B:$B,A54))</f>
        <v/>
      </c>
      <c r="O54">
        <f>IF(A54="","",COUNTIFS('30_NGAN_HANG'!$B:$B,A54,'30_NGAN_HANG'!$Y:$Y,"Approved"))</f>
        <v/>
      </c>
    </row>
    <row r="55">
      <c r="N55">
        <f>IF(A55="","",COUNTIF('30_NGAN_HANG'!$B:$B,A55))</f>
        <v/>
      </c>
      <c r="O55">
        <f>IF(A55="","",COUNTIFS('30_NGAN_HANG'!$B:$B,A55,'30_NGAN_HANG'!$Y:$Y,"Approved"))</f>
        <v/>
      </c>
    </row>
    <row r="56">
      <c r="N56">
        <f>IF(A56="","",COUNTIF('30_NGAN_HANG'!$B:$B,A56))</f>
        <v/>
      </c>
      <c r="O56">
        <f>IF(A56="","",COUNTIFS('30_NGAN_HANG'!$B:$B,A56,'30_NGAN_HANG'!$Y:$Y,"Approved"))</f>
        <v/>
      </c>
    </row>
    <row r="57">
      <c r="N57">
        <f>IF(A57="","",COUNTIF('30_NGAN_HANG'!$B:$B,A57))</f>
        <v/>
      </c>
      <c r="O57">
        <f>IF(A57="","",COUNTIFS('30_NGAN_HANG'!$B:$B,A57,'30_NGAN_HANG'!$Y:$Y,"Approved"))</f>
        <v/>
      </c>
    </row>
    <row r="58">
      <c r="N58">
        <f>IF(A58="","",COUNTIF('30_NGAN_HANG'!$B:$B,A58))</f>
        <v/>
      </c>
      <c r="O58">
        <f>IF(A58="","",COUNTIFS('30_NGAN_HANG'!$B:$B,A58,'30_NGAN_HANG'!$Y:$Y,"Approved"))</f>
        <v/>
      </c>
    </row>
    <row r="59">
      <c r="N59">
        <f>IF(A59="","",COUNTIF('30_NGAN_HANG'!$B:$B,A59))</f>
        <v/>
      </c>
      <c r="O59">
        <f>IF(A59="","",COUNTIFS('30_NGAN_HANG'!$B:$B,A59,'30_NGAN_HANG'!$Y:$Y,"Approved"))</f>
        <v/>
      </c>
    </row>
    <row r="60">
      <c r="N60">
        <f>IF(A60="","",COUNTIF('30_NGAN_HANG'!$B:$B,A60))</f>
        <v/>
      </c>
      <c r="O60">
        <f>IF(A60="","",COUNTIFS('30_NGAN_HANG'!$B:$B,A60,'30_NGAN_HANG'!$Y:$Y,"Approved"))</f>
        <v/>
      </c>
    </row>
    <row r="61">
      <c r="N61">
        <f>IF(A61="","",COUNTIF('30_NGAN_HANG'!$B:$B,A61))</f>
        <v/>
      </c>
      <c r="O61">
        <f>IF(A61="","",COUNTIFS('30_NGAN_HANG'!$B:$B,A61,'30_NGAN_HANG'!$Y:$Y,"Approved"))</f>
        <v/>
      </c>
    </row>
    <row r="62">
      <c r="N62">
        <f>IF(A62="","",COUNTIF('30_NGAN_HANG'!$B:$B,A62))</f>
        <v/>
      </c>
      <c r="O62">
        <f>IF(A62="","",COUNTIFS('30_NGAN_HANG'!$B:$B,A62,'30_NGAN_HANG'!$Y:$Y,"Approved"))</f>
        <v/>
      </c>
    </row>
    <row r="63">
      <c r="N63">
        <f>IF(A63="","",COUNTIF('30_NGAN_HANG'!$B:$B,A63))</f>
        <v/>
      </c>
      <c r="O63">
        <f>IF(A63="","",COUNTIFS('30_NGAN_HANG'!$B:$B,A63,'30_NGAN_HANG'!$Y:$Y,"Approved"))</f>
        <v/>
      </c>
    </row>
    <row r="64">
      <c r="N64">
        <f>IF(A64="","",COUNTIF('30_NGAN_HANG'!$B:$B,A64))</f>
        <v/>
      </c>
      <c r="O64">
        <f>IF(A64="","",COUNTIFS('30_NGAN_HANG'!$B:$B,A64,'30_NGAN_HANG'!$Y:$Y,"Approved"))</f>
        <v/>
      </c>
    </row>
    <row r="65">
      <c r="N65">
        <f>IF(A65="","",COUNTIF('30_NGAN_HANG'!$B:$B,A65))</f>
        <v/>
      </c>
      <c r="O65">
        <f>IF(A65="","",COUNTIFS('30_NGAN_HANG'!$B:$B,A65,'30_NGAN_HANG'!$Y:$Y,"Approved"))</f>
        <v/>
      </c>
    </row>
    <row r="66">
      <c r="N66">
        <f>IF(A66="","",COUNTIF('30_NGAN_HANG'!$B:$B,A66))</f>
        <v/>
      </c>
      <c r="O66">
        <f>IF(A66="","",COUNTIFS('30_NGAN_HANG'!$B:$B,A66,'30_NGAN_HANG'!$Y:$Y,"Approved"))</f>
        <v/>
      </c>
    </row>
    <row r="67">
      <c r="N67">
        <f>IF(A67="","",COUNTIF('30_NGAN_HANG'!$B:$B,A67))</f>
        <v/>
      </c>
      <c r="O67">
        <f>IF(A67="","",COUNTIFS('30_NGAN_HANG'!$B:$B,A67,'30_NGAN_HANG'!$Y:$Y,"Approved"))</f>
        <v/>
      </c>
    </row>
    <row r="68">
      <c r="N68">
        <f>IF(A68="","",COUNTIF('30_NGAN_HANG'!$B:$B,A68))</f>
        <v/>
      </c>
      <c r="O68">
        <f>IF(A68="","",COUNTIFS('30_NGAN_HANG'!$B:$B,A68,'30_NGAN_HANG'!$Y:$Y,"Approved"))</f>
        <v/>
      </c>
    </row>
    <row r="69">
      <c r="N69">
        <f>IF(A69="","",COUNTIF('30_NGAN_HANG'!$B:$B,A69))</f>
        <v/>
      </c>
      <c r="O69">
        <f>IF(A69="","",COUNTIFS('30_NGAN_HANG'!$B:$B,A69,'30_NGAN_HANG'!$Y:$Y,"Approved"))</f>
        <v/>
      </c>
    </row>
    <row r="70">
      <c r="N70">
        <f>IF(A70="","",COUNTIF('30_NGAN_HANG'!$B:$B,A70))</f>
        <v/>
      </c>
      <c r="O70">
        <f>IF(A70="","",COUNTIFS('30_NGAN_HANG'!$B:$B,A70,'30_NGAN_HANG'!$Y:$Y,"Approved"))</f>
        <v/>
      </c>
    </row>
    <row r="71">
      <c r="N71">
        <f>IF(A71="","",COUNTIF('30_NGAN_HANG'!$B:$B,A71))</f>
        <v/>
      </c>
      <c r="O71">
        <f>IF(A71="","",COUNTIFS('30_NGAN_HANG'!$B:$B,A71,'30_NGAN_HANG'!$Y:$Y,"Approved"))</f>
        <v/>
      </c>
    </row>
    <row r="72">
      <c r="N72">
        <f>IF(A72="","",COUNTIF('30_NGAN_HANG'!$B:$B,A72))</f>
        <v/>
      </c>
      <c r="O72">
        <f>IF(A72="","",COUNTIFS('30_NGAN_HANG'!$B:$B,A72,'30_NGAN_HANG'!$Y:$Y,"Approved"))</f>
        <v/>
      </c>
    </row>
    <row r="73">
      <c r="N73">
        <f>IF(A73="","",COUNTIF('30_NGAN_HANG'!$B:$B,A73))</f>
        <v/>
      </c>
      <c r="O73">
        <f>IF(A73="","",COUNTIFS('30_NGAN_HANG'!$B:$B,A73,'30_NGAN_HANG'!$Y:$Y,"Approved"))</f>
        <v/>
      </c>
    </row>
    <row r="74">
      <c r="N74">
        <f>IF(A74="","",COUNTIF('30_NGAN_HANG'!$B:$B,A74))</f>
        <v/>
      </c>
      <c r="O74">
        <f>IF(A74="","",COUNTIFS('30_NGAN_HANG'!$B:$B,A74,'30_NGAN_HANG'!$Y:$Y,"Approved"))</f>
        <v/>
      </c>
    </row>
    <row r="75">
      <c r="N75">
        <f>IF(A75="","",COUNTIF('30_NGAN_HANG'!$B:$B,A75))</f>
        <v/>
      </c>
      <c r="O75">
        <f>IF(A75="","",COUNTIFS('30_NGAN_HANG'!$B:$B,A75,'30_NGAN_HANG'!$Y:$Y,"Approved"))</f>
        <v/>
      </c>
    </row>
    <row r="76">
      <c r="N76">
        <f>IF(A76="","",COUNTIF('30_NGAN_HANG'!$B:$B,A76))</f>
        <v/>
      </c>
      <c r="O76">
        <f>IF(A76="","",COUNTIFS('30_NGAN_HANG'!$B:$B,A76,'30_NGAN_HANG'!$Y:$Y,"Approved"))</f>
        <v/>
      </c>
    </row>
    <row r="77">
      <c r="N77">
        <f>IF(A77="","",COUNTIF('30_NGAN_HANG'!$B:$B,A77))</f>
        <v/>
      </c>
      <c r="O77">
        <f>IF(A77="","",COUNTIFS('30_NGAN_HANG'!$B:$B,A77,'30_NGAN_HANG'!$Y:$Y,"Approved"))</f>
        <v/>
      </c>
    </row>
    <row r="78">
      <c r="N78">
        <f>IF(A78="","",COUNTIF('30_NGAN_HANG'!$B:$B,A78))</f>
        <v/>
      </c>
      <c r="O78">
        <f>IF(A78="","",COUNTIFS('30_NGAN_HANG'!$B:$B,A78,'30_NGAN_HANG'!$Y:$Y,"Approved"))</f>
        <v/>
      </c>
    </row>
    <row r="79">
      <c r="N79">
        <f>IF(A79="","",COUNTIF('30_NGAN_HANG'!$B:$B,A79))</f>
        <v/>
      </c>
      <c r="O79">
        <f>IF(A79="","",COUNTIFS('30_NGAN_HANG'!$B:$B,A79,'30_NGAN_HANG'!$Y:$Y,"Approved"))</f>
        <v/>
      </c>
    </row>
    <row r="80">
      <c r="N80">
        <f>IF(A80="","",COUNTIF('30_NGAN_HANG'!$B:$B,A80))</f>
        <v/>
      </c>
      <c r="O80">
        <f>IF(A80="","",COUNTIFS('30_NGAN_HANG'!$B:$B,A80,'30_NGAN_HANG'!$Y:$Y,"Approved"))</f>
        <v/>
      </c>
    </row>
    <row r="81">
      <c r="N81">
        <f>IF(A81="","",COUNTIF('30_NGAN_HANG'!$B:$B,A81))</f>
        <v/>
      </c>
      <c r="O81">
        <f>IF(A81="","",COUNTIFS('30_NGAN_HANG'!$B:$B,A81,'30_NGAN_HANG'!$Y:$Y,"Approved"))</f>
        <v/>
      </c>
    </row>
    <row r="82">
      <c r="N82">
        <f>IF(A82="","",COUNTIF('30_NGAN_HANG'!$B:$B,A82))</f>
        <v/>
      </c>
      <c r="O82">
        <f>IF(A82="","",COUNTIFS('30_NGAN_HANG'!$B:$B,A82,'30_NGAN_HANG'!$Y:$Y,"Approved"))</f>
        <v/>
      </c>
    </row>
    <row r="83">
      <c r="N83">
        <f>IF(A83="","",COUNTIF('30_NGAN_HANG'!$B:$B,A83))</f>
        <v/>
      </c>
      <c r="O83">
        <f>IF(A83="","",COUNTIFS('30_NGAN_HANG'!$B:$B,A83,'30_NGAN_HANG'!$Y:$Y,"Approved"))</f>
        <v/>
      </c>
    </row>
    <row r="84">
      <c r="N84">
        <f>IF(A84="","",COUNTIF('30_NGAN_HANG'!$B:$B,A84))</f>
        <v/>
      </c>
      <c r="O84">
        <f>IF(A84="","",COUNTIFS('30_NGAN_HANG'!$B:$B,A84,'30_NGAN_HANG'!$Y:$Y,"Approved"))</f>
        <v/>
      </c>
    </row>
    <row r="85">
      <c r="N85">
        <f>IF(A85="","",COUNTIF('30_NGAN_HANG'!$B:$B,A85))</f>
        <v/>
      </c>
      <c r="O85">
        <f>IF(A85="","",COUNTIFS('30_NGAN_HANG'!$B:$B,A85,'30_NGAN_HANG'!$Y:$Y,"Approved"))</f>
        <v/>
      </c>
    </row>
    <row r="86">
      <c r="N86">
        <f>IF(A86="","",COUNTIF('30_NGAN_HANG'!$B:$B,A86))</f>
        <v/>
      </c>
      <c r="O86">
        <f>IF(A86="","",COUNTIFS('30_NGAN_HANG'!$B:$B,A86,'30_NGAN_HANG'!$Y:$Y,"Approved"))</f>
        <v/>
      </c>
    </row>
    <row r="87">
      <c r="N87">
        <f>IF(A87="","",COUNTIF('30_NGAN_HANG'!$B:$B,A87))</f>
        <v/>
      </c>
      <c r="O87">
        <f>IF(A87="","",COUNTIFS('30_NGAN_HANG'!$B:$B,A87,'30_NGAN_HANG'!$Y:$Y,"Approved"))</f>
        <v/>
      </c>
    </row>
    <row r="88">
      <c r="N88">
        <f>IF(A88="","",COUNTIF('30_NGAN_HANG'!$B:$B,A88))</f>
        <v/>
      </c>
      <c r="O88">
        <f>IF(A88="","",COUNTIFS('30_NGAN_HANG'!$B:$B,A88,'30_NGAN_HANG'!$Y:$Y,"Approved"))</f>
        <v/>
      </c>
    </row>
    <row r="89">
      <c r="N89">
        <f>IF(A89="","",COUNTIF('30_NGAN_HANG'!$B:$B,A89))</f>
        <v/>
      </c>
      <c r="O89">
        <f>IF(A89="","",COUNTIFS('30_NGAN_HANG'!$B:$B,A89,'30_NGAN_HANG'!$Y:$Y,"Approved"))</f>
        <v/>
      </c>
    </row>
    <row r="90">
      <c r="N90">
        <f>IF(A90="","",COUNTIF('30_NGAN_HANG'!$B:$B,A90))</f>
        <v/>
      </c>
      <c r="O90">
        <f>IF(A90="","",COUNTIFS('30_NGAN_HANG'!$B:$B,A90,'30_NGAN_HANG'!$Y:$Y,"Approved"))</f>
        <v/>
      </c>
    </row>
    <row r="91">
      <c r="N91">
        <f>IF(A91="","",COUNTIF('30_NGAN_HANG'!$B:$B,A91))</f>
        <v/>
      </c>
      <c r="O91">
        <f>IF(A91="","",COUNTIFS('30_NGAN_HANG'!$B:$B,A91,'30_NGAN_HANG'!$Y:$Y,"Approved"))</f>
        <v/>
      </c>
    </row>
    <row r="92">
      <c r="N92">
        <f>IF(A92="","",COUNTIF('30_NGAN_HANG'!$B:$B,A92))</f>
        <v/>
      </c>
      <c r="O92">
        <f>IF(A92="","",COUNTIFS('30_NGAN_HANG'!$B:$B,A92,'30_NGAN_HANG'!$Y:$Y,"Approved"))</f>
        <v/>
      </c>
    </row>
    <row r="93">
      <c r="N93">
        <f>IF(A93="","",COUNTIF('30_NGAN_HANG'!$B:$B,A93))</f>
        <v/>
      </c>
      <c r="O93">
        <f>IF(A93="","",COUNTIFS('30_NGAN_HANG'!$B:$B,A93,'30_NGAN_HANG'!$Y:$Y,"Approved"))</f>
        <v/>
      </c>
    </row>
    <row r="94">
      <c r="N94">
        <f>IF(A94="","",COUNTIF('30_NGAN_HANG'!$B:$B,A94))</f>
        <v/>
      </c>
      <c r="O94">
        <f>IF(A94="","",COUNTIFS('30_NGAN_HANG'!$B:$B,A94,'30_NGAN_HANG'!$Y:$Y,"Approved"))</f>
        <v/>
      </c>
    </row>
    <row r="95">
      <c r="N95">
        <f>IF(A95="","",COUNTIF('30_NGAN_HANG'!$B:$B,A95))</f>
        <v/>
      </c>
      <c r="O95">
        <f>IF(A95="","",COUNTIFS('30_NGAN_HANG'!$B:$B,A95,'30_NGAN_HANG'!$Y:$Y,"Approved"))</f>
        <v/>
      </c>
    </row>
    <row r="96">
      <c r="N96">
        <f>IF(A96="","",COUNTIF('30_NGAN_HANG'!$B:$B,A96))</f>
        <v/>
      </c>
      <c r="O96">
        <f>IF(A96="","",COUNTIFS('30_NGAN_HANG'!$B:$B,A96,'30_NGAN_HANG'!$Y:$Y,"Approved"))</f>
        <v/>
      </c>
    </row>
    <row r="97">
      <c r="N97">
        <f>IF(A97="","",COUNTIF('30_NGAN_HANG'!$B:$B,A97))</f>
        <v/>
      </c>
      <c r="O97">
        <f>IF(A97="","",COUNTIFS('30_NGAN_HANG'!$B:$B,A97,'30_NGAN_HANG'!$Y:$Y,"Approved"))</f>
        <v/>
      </c>
    </row>
    <row r="98">
      <c r="N98">
        <f>IF(A98="","",COUNTIF('30_NGAN_HANG'!$B:$B,A98))</f>
        <v/>
      </c>
      <c r="O98">
        <f>IF(A98="","",COUNTIFS('30_NGAN_HANG'!$B:$B,A98,'30_NGAN_HANG'!$Y:$Y,"Approved"))</f>
        <v/>
      </c>
    </row>
    <row r="99">
      <c r="N99">
        <f>IF(A99="","",COUNTIF('30_NGAN_HANG'!$B:$B,A99))</f>
        <v/>
      </c>
      <c r="O99">
        <f>IF(A99="","",COUNTIFS('30_NGAN_HANG'!$B:$B,A99,'30_NGAN_HANG'!$Y:$Y,"Approved"))</f>
        <v/>
      </c>
    </row>
    <row r="100">
      <c r="N100">
        <f>IF(A100="","",COUNTIF('30_NGAN_HANG'!$B:$B,A100))</f>
        <v/>
      </c>
      <c r="O100">
        <f>IF(A100="","",COUNTIFS('30_NGAN_HANG'!$B:$B,A100,'30_NGAN_HANG'!$Y:$Y,"Approved"))</f>
        <v/>
      </c>
    </row>
    <row r="101">
      <c r="N101">
        <f>IF(A101="","",COUNTIF('30_NGAN_HANG'!$B:$B,A101))</f>
        <v/>
      </c>
      <c r="O101">
        <f>IF(A101="","",COUNTIFS('30_NGAN_HANG'!$B:$B,A101,'30_NGAN_HANG'!$Y:$Y,"Approved"))</f>
        <v/>
      </c>
    </row>
    <row r="102">
      <c r="N102">
        <f>IF(A102="","",COUNTIF('30_NGAN_HANG'!$B:$B,A102))</f>
        <v/>
      </c>
      <c r="O102">
        <f>IF(A102="","",COUNTIFS('30_NGAN_HANG'!$B:$B,A102,'30_NGAN_HANG'!$Y:$Y,"Approved"))</f>
        <v/>
      </c>
    </row>
    <row r="103">
      <c r="N103">
        <f>IF(A103="","",COUNTIF('30_NGAN_HANG'!$B:$B,A103))</f>
        <v/>
      </c>
      <c r="O103">
        <f>IF(A103="","",COUNTIFS('30_NGAN_HANG'!$B:$B,A103,'30_NGAN_HANG'!$Y:$Y,"Approved"))</f>
        <v/>
      </c>
    </row>
    <row r="104">
      <c r="N104">
        <f>IF(A104="","",COUNTIF('30_NGAN_HANG'!$B:$B,A104))</f>
        <v/>
      </c>
      <c r="O104">
        <f>IF(A104="","",COUNTIFS('30_NGAN_HANG'!$B:$B,A104,'30_NGAN_HANG'!$Y:$Y,"Approved"))</f>
        <v/>
      </c>
    </row>
    <row r="105">
      <c r="N105">
        <f>IF(A105="","",COUNTIF('30_NGAN_HANG'!$B:$B,A105))</f>
        <v/>
      </c>
      <c r="O105">
        <f>IF(A105="","",COUNTIFS('30_NGAN_HANG'!$B:$B,A105,'30_NGAN_HANG'!$Y:$Y,"Approved"))</f>
        <v/>
      </c>
    </row>
    <row r="106">
      <c r="N106">
        <f>IF(A106="","",COUNTIF('30_NGAN_HANG'!$B:$B,A106))</f>
        <v/>
      </c>
      <c r="O106">
        <f>IF(A106="","",COUNTIFS('30_NGAN_HANG'!$B:$B,A106,'30_NGAN_HANG'!$Y:$Y,"Approved"))</f>
        <v/>
      </c>
    </row>
    <row r="107">
      <c r="N107">
        <f>IF(A107="","",COUNTIF('30_NGAN_HANG'!$B:$B,A107))</f>
        <v/>
      </c>
      <c r="O107">
        <f>IF(A107="","",COUNTIFS('30_NGAN_HANG'!$B:$B,A107,'30_NGAN_HANG'!$Y:$Y,"Approved"))</f>
        <v/>
      </c>
    </row>
    <row r="108">
      <c r="N108">
        <f>IF(A108="","",COUNTIF('30_NGAN_HANG'!$B:$B,A108))</f>
        <v/>
      </c>
      <c r="O108">
        <f>IF(A108="","",COUNTIFS('30_NGAN_HANG'!$B:$B,A108,'30_NGAN_HANG'!$Y:$Y,"Approved"))</f>
        <v/>
      </c>
    </row>
    <row r="109">
      <c r="N109">
        <f>IF(A109="","",COUNTIF('30_NGAN_HANG'!$B:$B,A109))</f>
        <v/>
      </c>
      <c r="O109">
        <f>IF(A109="","",COUNTIFS('30_NGAN_HANG'!$B:$B,A109,'30_NGAN_HANG'!$Y:$Y,"Approved"))</f>
        <v/>
      </c>
    </row>
    <row r="110">
      <c r="N110">
        <f>IF(A110="","",COUNTIF('30_NGAN_HANG'!$B:$B,A110))</f>
        <v/>
      </c>
      <c r="O110">
        <f>IF(A110="","",COUNTIFS('30_NGAN_HANG'!$B:$B,A110,'30_NGAN_HANG'!$Y:$Y,"Approved"))</f>
        <v/>
      </c>
    </row>
    <row r="111">
      <c r="N111">
        <f>IF(A111="","",COUNTIF('30_NGAN_HANG'!$B:$B,A111))</f>
        <v/>
      </c>
      <c r="O111">
        <f>IF(A111="","",COUNTIFS('30_NGAN_HANG'!$B:$B,A111,'30_NGAN_HANG'!$Y:$Y,"Approved"))</f>
        <v/>
      </c>
    </row>
    <row r="112">
      <c r="N112">
        <f>IF(A112="","",COUNTIF('30_NGAN_HANG'!$B:$B,A112))</f>
        <v/>
      </c>
      <c r="O112">
        <f>IF(A112="","",COUNTIFS('30_NGAN_HANG'!$B:$B,A112,'30_NGAN_HANG'!$Y:$Y,"Approved"))</f>
        <v/>
      </c>
    </row>
    <row r="113">
      <c r="N113">
        <f>IF(A113="","",COUNTIF('30_NGAN_HANG'!$B:$B,A113))</f>
        <v/>
      </c>
      <c r="O113">
        <f>IF(A113="","",COUNTIFS('30_NGAN_HANG'!$B:$B,A113,'30_NGAN_HANG'!$Y:$Y,"Approved"))</f>
        <v/>
      </c>
    </row>
    <row r="114">
      <c r="N114">
        <f>IF(A114="","",COUNTIF('30_NGAN_HANG'!$B:$B,A114))</f>
        <v/>
      </c>
      <c r="O114">
        <f>IF(A114="","",COUNTIFS('30_NGAN_HANG'!$B:$B,A114,'30_NGAN_HANG'!$Y:$Y,"Approved"))</f>
        <v/>
      </c>
    </row>
    <row r="115">
      <c r="N115">
        <f>IF(A115="","",COUNTIF('30_NGAN_HANG'!$B:$B,A115))</f>
        <v/>
      </c>
      <c r="O115">
        <f>IF(A115="","",COUNTIFS('30_NGAN_HANG'!$B:$B,A115,'30_NGAN_HANG'!$Y:$Y,"Approved"))</f>
        <v/>
      </c>
    </row>
    <row r="116">
      <c r="N116">
        <f>IF(A116="","",COUNTIF('30_NGAN_HANG'!$B:$B,A116))</f>
        <v/>
      </c>
      <c r="O116">
        <f>IF(A116="","",COUNTIFS('30_NGAN_HANG'!$B:$B,A116,'30_NGAN_HANG'!$Y:$Y,"Approved"))</f>
        <v/>
      </c>
    </row>
    <row r="117">
      <c r="N117">
        <f>IF(A117="","",COUNTIF('30_NGAN_HANG'!$B:$B,A117))</f>
        <v/>
      </c>
      <c r="O117">
        <f>IF(A117="","",COUNTIFS('30_NGAN_HANG'!$B:$B,A117,'30_NGAN_HANG'!$Y:$Y,"Approved"))</f>
        <v/>
      </c>
    </row>
    <row r="118">
      <c r="N118">
        <f>IF(A118="","",COUNTIF('30_NGAN_HANG'!$B:$B,A118))</f>
        <v/>
      </c>
      <c r="O118">
        <f>IF(A118="","",COUNTIFS('30_NGAN_HANG'!$B:$B,A118,'30_NGAN_HANG'!$Y:$Y,"Approved"))</f>
        <v/>
      </c>
    </row>
    <row r="119">
      <c r="N119">
        <f>IF(A119="","",COUNTIF('30_NGAN_HANG'!$B:$B,A119))</f>
        <v/>
      </c>
      <c r="O119">
        <f>IF(A119="","",COUNTIFS('30_NGAN_HANG'!$B:$B,A119,'30_NGAN_HANG'!$Y:$Y,"Approved"))</f>
        <v/>
      </c>
    </row>
    <row r="120">
      <c r="N120">
        <f>IF(A120="","",COUNTIF('30_NGAN_HANG'!$B:$B,A120))</f>
        <v/>
      </c>
      <c r="O120">
        <f>IF(A120="","",COUNTIFS('30_NGAN_HANG'!$B:$B,A120,'30_NGAN_HANG'!$Y:$Y,"Approved"))</f>
        <v/>
      </c>
    </row>
    <row r="121">
      <c r="N121">
        <f>IF(A121="","",COUNTIF('30_NGAN_HANG'!$B:$B,A121))</f>
        <v/>
      </c>
      <c r="O121">
        <f>IF(A121="","",COUNTIFS('30_NGAN_HANG'!$B:$B,A121,'30_NGAN_HANG'!$Y:$Y,"Approved"))</f>
        <v/>
      </c>
    </row>
    <row r="122">
      <c r="N122">
        <f>IF(A122="","",COUNTIF('30_NGAN_HANG'!$B:$B,A122))</f>
        <v/>
      </c>
      <c r="O122">
        <f>IF(A122="","",COUNTIFS('30_NGAN_HANG'!$B:$B,A122,'30_NGAN_HANG'!$Y:$Y,"Approved"))</f>
        <v/>
      </c>
    </row>
    <row r="123">
      <c r="N123">
        <f>IF(A123="","",COUNTIF('30_NGAN_HANG'!$B:$B,A123))</f>
        <v/>
      </c>
      <c r="O123">
        <f>IF(A123="","",COUNTIFS('30_NGAN_HANG'!$B:$B,A123,'30_NGAN_HANG'!$Y:$Y,"Approved"))</f>
        <v/>
      </c>
    </row>
    <row r="124">
      <c r="N124">
        <f>IF(A124="","",COUNTIF('30_NGAN_HANG'!$B:$B,A124))</f>
        <v/>
      </c>
      <c r="O124">
        <f>IF(A124="","",COUNTIFS('30_NGAN_HANG'!$B:$B,A124,'30_NGAN_HANG'!$Y:$Y,"Approved"))</f>
        <v/>
      </c>
    </row>
    <row r="125">
      <c r="N125">
        <f>IF(A125="","",COUNTIF('30_NGAN_HANG'!$B:$B,A125))</f>
        <v/>
      </c>
      <c r="O125">
        <f>IF(A125="","",COUNTIFS('30_NGAN_HANG'!$B:$B,A125,'30_NGAN_HANG'!$Y:$Y,"Approved"))</f>
        <v/>
      </c>
    </row>
    <row r="126">
      <c r="N126">
        <f>IF(A126="","",COUNTIF('30_NGAN_HANG'!$B:$B,A126))</f>
        <v/>
      </c>
      <c r="O126">
        <f>IF(A126="","",COUNTIFS('30_NGAN_HANG'!$B:$B,A126,'30_NGAN_HANG'!$Y:$Y,"Approved"))</f>
        <v/>
      </c>
    </row>
    <row r="127">
      <c r="N127">
        <f>IF(A127="","",COUNTIF('30_NGAN_HANG'!$B:$B,A127))</f>
        <v/>
      </c>
      <c r="O127">
        <f>IF(A127="","",COUNTIFS('30_NGAN_HANG'!$B:$B,A127,'30_NGAN_HANG'!$Y:$Y,"Approved"))</f>
        <v/>
      </c>
    </row>
    <row r="128">
      <c r="N128">
        <f>IF(A128="","",COUNTIF('30_NGAN_HANG'!$B:$B,A128))</f>
        <v/>
      </c>
      <c r="O128">
        <f>IF(A128="","",COUNTIFS('30_NGAN_HANG'!$B:$B,A128,'30_NGAN_HANG'!$Y:$Y,"Approved"))</f>
        <v/>
      </c>
    </row>
    <row r="129">
      <c r="N129">
        <f>IF(A129="","",COUNTIF('30_NGAN_HANG'!$B:$B,A129))</f>
        <v/>
      </c>
      <c r="O129">
        <f>IF(A129="","",COUNTIFS('30_NGAN_HANG'!$B:$B,A129,'30_NGAN_HANG'!$Y:$Y,"Approved"))</f>
        <v/>
      </c>
    </row>
    <row r="130">
      <c r="N130">
        <f>IF(A130="","",COUNTIF('30_NGAN_HANG'!$B:$B,A130))</f>
        <v/>
      </c>
      <c r="O130">
        <f>IF(A130="","",COUNTIFS('30_NGAN_HANG'!$B:$B,A130,'30_NGAN_HANG'!$Y:$Y,"Approved"))</f>
        <v/>
      </c>
    </row>
    <row r="131">
      <c r="N131">
        <f>IF(A131="","",COUNTIF('30_NGAN_HANG'!$B:$B,A131))</f>
        <v/>
      </c>
      <c r="O131">
        <f>IF(A131="","",COUNTIFS('30_NGAN_HANG'!$B:$B,A131,'30_NGAN_HANG'!$Y:$Y,"Approved"))</f>
        <v/>
      </c>
    </row>
    <row r="132">
      <c r="N132">
        <f>IF(A132="","",COUNTIF('30_NGAN_HANG'!$B:$B,A132))</f>
        <v/>
      </c>
      <c r="O132">
        <f>IF(A132="","",COUNTIFS('30_NGAN_HANG'!$B:$B,A132,'30_NGAN_HANG'!$Y:$Y,"Approved"))</f>
        <v/>
      </c>
    </row>
    <row r="133">
      <c r="N133">
        <f>IF(A133="","",COUNTIF('30_NGAN_HANG'!$B:$B,A133))</f>
        <v/>
      </c>
      <c r="O133">
        <f>IF(A133="","",COUNTIFS('30_NGAN_HANG'!$B:$B,A133,'30_NGAN_HANG'!$Y:$Y,"Approved"))</f>
        <v/>
      </c>
    </row>
    <row r="134">
      <c r="N134">
        <f>IF(A134="","",COUNTIF('30_NGAN_HANG'!$B:$B,A134))</f>
        <v/>
      </c>
      <c r="O134">
        <f>IF(A134="","",COUNTIFS('30_NGAN_HANG'!$B:$B,A134,'30_NGAN_HANG'!$Y:$Y,"Approved"))</f>
        <v/>
      </c>
    </row>
    <row r="135">
      <c r="N135">
        <f>IF(A135="","",COUNTIF('30_NGAN_HANG'!$B:$B,A135))</f>
        <v/>
      </c>
      <c r="O135">
        <f>IF(A135="","",COUNTIFS('30_NGAN_HANG'!$B:$B,A135,'30_NGAN_HANG'!$Y:$Y,"Approved"))</f>
        <v/>
      </c>
    </row>
    <row r="136">
      <c r="N136">
        <f>IF(A136="","",COUNTIF('30_NGAN_HANG'!$B:$B,A136))</f>
        <v/>
      </c>
      <c r="O136">
        <f>IF(A136="","",COUNTIFS('30_NGAN_HANG'!$B:$B,A136,'30_NGAN_HANG'!$Y:$Y,"Approved"))</f>
        <v/>
      </c>
    </row>
    <row r="137">
      <c r="N137">
        <f>IF(A137="","",COUNTIF('30_NGAN_HANG'!$B:$B,A137))</f>
        <v/>
      </c>
      <c r="O137">
        <f>IF(A137="","",COUNTIFS('30_NGAN_HANG'!$B:$B,A137,'30_NGAN_HANG'!$Y:$Y,"Approved"))</f>
        <v/>
      </c>
    </row>
    <row r="138">
      <c r="N138">
        <f>IF(A138="","",COUNTIF('30_NGAN_HANG'!$B:$B,A138))</f>
        <v/>
      </c>
      <c r="O138">
        <f>IF(A138="","",COUNTIFS('30_NGAN_HANG'!$B:$B,A138,'30_NGAN_HANG'!$Y:$Y,"Approved"))</f>
        <v/>
      </c>
    </row>
    <row r="139">
      <c r="N139">
        <f>IF(A139="","",COUNTIF('30_NGAN_HANG'!$B:$B,A139))</f>
        <v/>
      </c>
      <c r="O139">
        <f>IF(A139="","",COUNTIFS('30_NGAN_HANG'!$B:$B,A139,'30_NGAN_HANG'!$Y:$Y,"Approved"))</f>
        <v/>
      </c>
    </row>
    <row r="140">
      <c r="N140">
        <f>IF(A140="","",COUNTIF('30_NGAN_HANG'!$B:$B,A140))</f>
        <v/>
      </c>
      <c r="O140">
        <f>IF(A140="","",COUNTIFS('30_NGAN_HANG'!$B:$B,A140,'30_NGAN_HANG'!$Y:$Y,"Approved"))</f>
        <v/>
      </c>
    </row>
    <row r="141">
      <c r="N141">
        <f>IF(A141="","",COUNTIF('30_NGAN_HANG'!$B:$B,A141))</f>
        <v/>
      </c>
      <c r="O141">
        <f>IF(A141="","",COUNTIFS('30_NGAN_HANG'!$B:$B,A141,'30_NGAN_HANG'!$Y:$Y,"Approved"))</f>
        <v/>
      </c>
    </row>
    <row r="142">
      <c r="N142">
        <f>IF(A142="","",COUNTIF('30_NGAN_HANG'!$B:$B,A142))</f>
        <v/>
      </c>
      <c r="O142">
        <f>IF(A142="","",COUNTIFS('30_NGAN_HANG'!$B:$B,A142,'30_NGAN_HANG'!$Y:$Y,"Approved"))</f>
        <v/>
      </c>
    </row>
    <row r="143">
      <c r="N143">
        <f>IF(A143="","",COUNTIF('30_NGAN_HANG'!$B:$B,A143))</f>
        <v/>
      </c>
      <c r="O143">
        <f>IF(A143="","",COUNTIFS('30_NGAN_HANG'!$B:$B,A143,'30_NGAN_HANG'!$Y:$Y,"Approved"))</f>
        <v/>
      </c>
    </row>
    <row r="144">
      <c r="N144">
        <f>IF(A144="","",COUNTIF('30_NGAN_HANG'!$B:$B,A144))</f>
        <v/>
      </c>
      <c r="O144">
        <f>IF(A144="","",COUNTIFS('30_NGAN_HANG'!$B:$B,A144,'30_NGAN_HANG'!$Y:$Y,"Approved"))</f>
        <v/>
      </c>
    </row>
    <row r="145">
      <c r="N145">
        <f>IF(A145="","",COUNTIF('30_NGAN_HANG'!$B:$B,A145))</f>
        <v/>
      </c>
      <c r="O145">
        <f>IF(A145="","",COUNTIFS('30_NGAN_HANG'!$B:$B,A145,'30_NGAN_HANG'!$Y:$Y,"Approved"))</f>
        <v/>
      </c>
    </row>
    <row r="146">
      <c r="N146">
        <f>IF(A146="","",COUNTIF('30_NGAN_HANG'!$B:$B,A146))</f>
        <v/>
      </c>
      <c r="O146">
        <f>IF(A146="","",COUNTIFS('30_NGAN_HANG'!$B:$B,A146,'30_NGAN_HANG'!$Y:$Y,"Approved"))</f>
        <v/>
      </c>
    </row>
    <row r="147">
      <c r="N147">
        <f>IF(A147="","",COUNTIF('30_NGAN_HANG'!$B:$B,A147))</f>
        <v/>
      </c>
      <c r="O147">
        <f>IF(A147="","",COUNTIFS('30_NGAN_HANG'!$B:$B,A147,'30_NGAN_HANG'!$Y:$Y,"Approved"))</f>
        <v/>
      </c>
    </row>
    <row r="148">
      <c r="N148">
        <f>IF(A148="","",COUNTIF('30_NGAN_HANG'!$B:$B,A148))</f>
        <v/>
      </c>
      <c r="O148">
        <f>IF(A148="","",COUNTIFS('30_NGAN_HANG'!$B:$B,A148,'30_NGAN_HANG'!$Y:$Y,"Approved"))</f>
        <v/>
      </c>
    </row>
    <row r="149">
      <c r="N149">
        <f>IF(A149="","",COUNTIF('30_NGAN_HANG'!$B:$B,A149))</f>
        <v/>
      </c>
      <c r="O149">
        <f>IF(A149="","",COUNTIFS('30_NGAN_HANG'!$B:$B,A149,'30_NGAN_HANG'!$Y:$Y,"Approved"))</f>
        <v/>
      </c>
    </row>
    <row r="150">
      <c r="N150">
        <f>IF(A150="","",COUNTIF('30_NGAN_HANG'!$B:$B,A150))</f>
        <v/>
      </c>
      <c r="O150">
        <f>IF(A150="","",COUNTIFS('30_NGAN_HANG'!$B:$B,A150,'30_NGAN_HANG'!$Y:$Y,"Approved"))</f>
        <v/>
      </c>
    </row>
    <row r="151">
      <c r="N151">
        <f>IF(A151="","",COUNTIF('30_NGAN_HANG'!$B:$B,A151))</f>
        <v/>
      </c>
      <c r="O151">
        <f>IF(A151="","",COUNTIFS('30_NGAN_HANG'!$B:$B,A151,'30_NGAN_HANG'!$Y:$Y,"Approved"))</f>
        <v/>
      </c>
    </row>
    <row r="152">
      <c r="N152">
        <f>IF(A152="","",COUNTIF('30_NGAN_HANG'!$B:$B,A152))</f>
        <v/>
      </c>
      <c r="O152">
        <f>IF(A152="","",COUNTIFS('30_NGAN_HANG'!$B:$B,A152,'30_NGAN_HANG'!$Y:$Y,"Approved"))</f>
        <v/>
      </c>
    </row>
    <row r="153">
      <c r="N153">
        <f>IF(A153="","",COUNTIF('30_NGAN_HANG'!$B:$B,A153))</f>
        <v/>
      </c>
      <c r="O153">
        <f>IF(A153="","",COUNTIFS('30_NGAN_HANG'!$B:$B,A153,'30_NGAN_HANG'!$Y:$Y,"Approved"))</f>
        <v/>
      </c>
    </row>
    <row r="154">
      <c r="N154">
        <f>IF(A154="","",COUNTIF('30_NGAN_HANG'!$B:$B,A154))</f>
        <v/>
      </c>
      <c r="O154">
        <f>IF(A154="","",COUNTIFS('30_NGAN_HANG'!$B:$B,A154,'30_NGAN_HANG'!$Y:$Y,"Approved"))</f>
        <v/>
      </c>
    </row>
    <row r="155">
      <c r="N155">
        <f>IF(A155="","",COUNTIF('30_NGAN_HANG'!$B:$B,A155))</f>
        <v/>
      </c>
      <c r="O155">
        <f>IF(A155="","",COUNTIFS('30_NGAN_HANG'!$B:$B,A155,'30_NGAN_HANG'!$Y:$Y,"Approved"))</f>
        <v/>
      </c>
    </row>
    <row r="156">
      <c r="N156">
        <f>IF(A156="","",COUNTIF('30_NGAN_HANG'!$B:$B,A156))</f>
        <v/>
      </c>
      <c r="O156">
        <f>IF(A156="","",COUNTIFS('30_NGAN_HANG'!$B:$B,A156,'30_NGAN_HANG'!$Y:$Y,"Approved"))</f>
        <v/>
      </c>
    </row>
    <row r="157">
      <c r="N157">
        <f>IF(A157="","",COUNTIF('30_NGAN_HANG'!$B:$B,A157))</f>
        <v/>
      </c>
      <c r="O157">
        <f>IF(A157="","",COUNTIFS('30_NGAN_HANG'!$B:$B,A157,'30_NGAN_HANG'!$Y:$Y,"Approved"))</f>
        <v/>
      </c>
    </row>
    <row r="158">
      <c r="N158">
        <f>IF(A158="","",COUNTIF('30_NGAN_HANG'!$B:$B,A158))</f>
        <v/>
      </c>
      <c r="O158">
        <f>IF(A158="","",COUNTIFS('30_NGAN_HANG'!$B:$B,A158,'30_NGAN_HANG'!$Y:$Y,"Approved"))</f>
        <v/>
      </c>
    </row>
    <row r="159">
      <c r="N159">
        <f>IF(A159="","",COUNTIF('30_NGAN_HANG'!$B:$B,A159))</f>
        <v/>
      </c>
      <c r="O159">
        <f>IF(A159="","",COUNTIFS('30_NGAN_HANG'!$B:$B,A159,'30_NGAN_HANG'!$Y:$Y,"Approved"))</f>
        <v/>
      </c>
    </row>
    <row r="160">
      <c r="N160">
        <f>IF(A160="","",COUNTIF('30_NGAN_HANG'!$B:$B,A160))</f>
        <v/>
      </c>
      <c r="O160">
        <f>IF(A160="","",COUNTIFS('30_NGAN_HANG'!$B:$B,A160,'30_NGAN_HANG'!$Y:$Y,"Approved"))</f>
        <v/>
      </c>
    </row>
    <row r="161">
      <c r="N161">
        <f>IF(A161="","",COUNTIF('30_NGAN_HANG'!$B:$B,A161))</f>
        <v/>
      </c>
      <c r="O161">
        <f>IF(A161="","",COUNTIFS('30_NGAN_HANG'!$B:$B,A161,'30_NGAN_HANG'!$Y:$Y,"Approved"))</f>
        <v/>
      </c>
    </row>
    <row r="162">
      <c r="N162">
        <f>IF(A162="","",COUNTIF('30_NGAN_HANG'!$B:$B,A162))</f>
        <v/>
      </c>
      <c r="O162">
        <f>IF(A162="","",COUNTIFS('30_NGAN_HANG'!$B:$B,A162,'30_NGAN_HANG'!$Y:$Y,"Approved"))</f>
        <v/>
      </c>
    </row>
    <row r="163">
      <c r="N163">
        <f>IF(A163="","",COUNTIF('30_NGAN_HANG'!$B:$B,A163))</f>
        <v/>
      </c>
      <c r="O163">
        <f>IF(A163="","",COUNTIFS('30_NGAN_HANG'!$B:$B,A163,'30_NGAN_HANG'!$Y:$Y,"Approved"))</f>
        <v/>
      </c>
    </row>
    <row r="164">
      <c r="N164">
        <f>IF(A164="","",COUNTIF('30_NGAN_HANG'!$B:$B,A164))</f>
        <v/>
      </c>
      <c r="O164">
        <f>IF(A164="","",COUNTIFS('30_NGAN_HANG'!$B:$B,A164,'30_NGAN_HANG'!$Y:$Y,"Approved"))</f>
        <v/>
      </c>
    </row>
    <row r="165">
      <c r="N165">
        <f>IF(A165="","",COUNTIF('30_NGAN_HANG'!$B:$B,A165))</f>
        <v/>
      </c>
      <c r="O165">
        <f>IF(A165="","",COUNTIFS('30_NGAN_HANG'!$B:$B,A165,'30_NGAN_HANG'!$Y:$Y,"Approved"))</f>
        <v/>
      </c>
    </row>
    <row r="166">
      <c r="N166">
        <f>IF(A166="","",COUNTIF('30_NGAN_HANG'!$B:$B,A166))</f>
        <v/>
      </c>
      <c r="O166">
        <f>IF(A166="","",COUNTIFS('30_NGAN_HANG'!$B:$B,A166,'30_NGAN_HANG'!$Y:$Y,"Approved"))</f>
        <v/>
      </c>
    </row>
    <row r="167">
      <c r="N167">
        <f>IF(A167="","",COUNTIF('30_NGAN_HANG'!$B:$B,A167))</f>
        <v/>
      </c>
      <c r="O167">
        <f>IF(A167="","",COUNTIFS('30_NGAN_HANG'!$B:$B,A167,'30_NGAN_HANG'!$Y:$Y,"Approved"))</f>
        <v/>
      </c>
    </row>
    <row r="168">
      <c r="N168">
        <f>IF(A168="","",COUNTIF('30_NGAN_HANG'!$B:$B,A168))</f>
        <v/>
      </c>
      <c r="O168">
        <f>IF(A168="","",COUNTIFS('30_NGAN_HANG'!$B:$B,A168,'30_NGAN_HANG'!$Y:$Y,"Approved"))</f>
        <v/>
      </c>
    </row>
    <row r="169">
      <c r="N169">
        <f>IF(A169="","",COUNTIF('30_NGAN_HANG'!$B:$B,A169))</f>
        <v/>
      </c>
      <c r="O169">
        <f>IF(A169="","",COUNTIFS('30_NGAN_HANG'!$B:$B,A169,'30_NGAN_HANG'!$Y:$Y,"Approved"))</f>
        <v/>
      </c>
    </row>
    <row r="170">
      <c r="N170">
        <f>IF(A170="","",COUNTIF('30_NGAN_HANG'!$B:$B,A170))</f>
        <v/>
      </c>
      <c r="O170">
        <f>IF(A170="","",COUNTIFS('30_NGAN_HANG'!$B:$B,A170,'30_NGAN_HANG'!$Y:$Y,"Approved"))</f>
        <v/>
      </c>
    </row>
    <row r="171">
      <c r="N171">
        <f>IF(A171="","",COUNTIF('30_NGAN_HANG'!$B:$B,A171))</f>
        <v/>
      </c>
      <c r="O171">
        <f>IF(A171="","",COUNTIFS('30_NGAN_HANG'!$B:$B,A171,'30_NGAN_HANG'!$Y:$Y,"Approved"))</f>
        <v/>
      </c>
    </row>
    <row r="172">
      <c r="N172">
        <f>IF(A172="","",COUNTIF('30_NGAN_HANG'!$B:$B,A172))</f>
        <v/>
      </c>
      <c r="O172">
        <f>IF(A172="","",COUNTIFS('30_NGAN_HANG'!$B:$B,A172,'30_NGAN_HANG'!$Y:$Y,"Approved"))</f>
        <v/>
      </c>
    </row>
    <row r="173">
      <c r="N173">
        <f>IF(A173="","",COUNTIF('30_NGAN_HANG'!$B:$B,A173))</f>
        <v/>
      </c>
      <c r="O173">
        <f>IF(A173="","",COUNTIFS('30_NGAN_HANG'!$B:$B,A173,'30_NGAN_HANG'!$Y:$Y,"Approved"))</f>
        <v/>
      </c>
    </row>
    <row r="174">
      <c r="N174">
        <f>IF(A174="","",COUNTIF('30_NGAN_HANG'!$B:$B,A174))</f>
        <v/>
      </c>
      <c r="O174">
        <f>IF(A174="","",COUNTIFS('30_NGAN_HANG'!$B:$B,A174,'30_NGAN_HANG'!$Y:$Y,"Approved"))</f>
        <v/>
      </c>
    </row>
    <row r="175">
      <c r="N175">
        <f>IF(A175="","",COUNTIF('30_NGAN_HANG'!$B:$B,A175))</f>
        <v/>
      </c>
      <c r="O175">
        <f>IF(A175="","",COUNTIFS('30_NGAN_HANG'!$B:$B,A175,'30_NGAN_HANG'!$Y:$Y,"Approved"))</f>
        <v/>
      </c>
    </row>
    <row r="176">
      <c r="N176">
        <f>IF(A176="","",COUNTIF('30_NGAN_HANG'!$B:$B,A176))</f>
        <v/>
      </c>
      <c r="O176">
        <f>IF(A176="","",COUNTIFS('30_NGAN_HANG'!$B:$B,A176,'30_NGAN_HANG'!$Y:$Y,"Approved"))</f>
        <v/>
      </c>
    </row>
    <row r="177">
      <c r="N177">
        <f>IF(A177="","",COUNTIF('30_NGAN_HANG'!$B:$B,A177))</f>
        <v/>
      </c>
      <c r="O177">
        <f>IF(A177="","",COUNTIFS('30_NGAN_HANG'!$B:$B,A177,'30_NGAN_HANG'!$Y:$Y,"Approved"))</f>
        <v/>
      </c>
    </row>
    <row r="178">
      <c r="N178">
        <f>IF(A178="","",COUNTIF('30_NGAN_HANG'!$B:$B,A178))</f>
        <v/>
      </c>
      <c r="O178">
        <f>IF(A178="","",COUNTIFS('30_NGAN_HANG'!$B:$B,A178,'30_NGAN_HANG'!$Y:$Y,"Approved"))</f>
        <v/>
      </c>
    </row>
    <row r="179">
      <c r="N179">
        <f>IF(A179="","",COUNTIF('30_NGAN_HANG'!$B:$B,A179))</f>
        <v/>
      </c>
      <c r="O179">
        <f>IF(A179="","",COUNTIFS('30_NGAN_HANG'!$B:$B,A179,'30_NGAN_HANG'!$Y:$Y,"Approved"))</f>
        <v/>
      </c>
    </row>
    <row r="180">
      <c r="N180">
        <f>IF(A180="","",COUNTIF('30_NGAN_HANG'!$B:$B,A180))</f>
        <v/>
      </c>
      <c r="O180">
        <f>IF(A180="","",COUNTIFS('30_NGAN_HANG'!$B:$B,A180,'30_NGAN_HANG'!$Y:$Y,"Approved"))</f>
        <v/>
      </c>
    </row>
    <row r="181">
      <c r="N181">
        <f>IF(A181="","",COUNTIF('30_NGAN_HANG'!$B:$B,A181))</f>
        <v/>
      </c>
      <c r="O181">
        <f>IF(A181="","",COUNTIFS('30_NGAN_HANG'!$B:$B,A181,'30_NGAN_HANG'!$Y:$Y,"Approved"))</f>
        <v/>
      </c>
    </row>
    <row r="182">
      <c r="N182">
        <f>IF(A182="","",COUNTIF('30_NGAN_HANG'!$B:$B,A182))</f>
        <v/>
      </c>
      <c r="O182">
        <f>IF(A182="","",COUNTIFS('30_NGAN_HANG'!$B:$B,A182,'30_NGAN_HANG'!$Y:$Y,"Approved"))</f>
        <v/>
      </c>
    </row>
    <row r="183">
      <c r="N183">
        <f>IF(A183="","",COUNTIF('30_NGAN_HANG'!$B:$B,A183))</f>
        <v/>
      </c>
      <c r="O183">
        <f>IF(A183="","",COUNTIFS('30_NGAN_HANG'!$B:$B,A183,'30_NGAN_HANG'!$Y:$Y,"Approved"))</f>
        <v/>
      </c>
    </row>
    <row r="184">
      <c r="N184">
        <f>IF(A184="","",COUNTIF('30_NGAN_HANG'!$B:$B,A184))</f>
        <v/>
      </c>
      <c r="O184">
        <f>IF(A184="","",COUNTIFS('30_NGAN_HANG'!$B:$B,A184,'30_NGAN_HANG'!$Y:$Y,"Approved"))</f>
        <v/>
      </c>
    </row>
    <row r="185">
      <c r="N185">
        <f>IF(A185="","",COUNTIF('30_NGAN_HANG'!$B:$B,A185))</f>
        <v/>
      </c>
      <c r="O185">
        <f>IF(A185="","",COUNTIFS('30_NGAN_HANG'!$B:$B,A185,'30_NGAN_HANG'!$Y:$Y,"Approved"))</f>
        <v/>
      </c>
    </row>
    <row r="186">
      <c r="N186">
        <f>IF(A186="","",COUNTIF('30_NGAN_HANG'!$B:$B,A186))</f>
        <v/>
      </c>
      <c r="O186">
        <f>IF(A186="","",COUNTIFS('30_NGAN_HANG'!$B:$B,A186,'30_NGAN_HANG'!$Y:$Y,"Approved"))</f>
        <v/>
      </c>
    </row>
    <row r="187">
      <c r="N187">
        <f>IF(A187="","",COUNTIF('30_NGAN_HANG'!$B:$B,A187))</f>
        <v/>
      </c>
      <c r="O187">
        <f>IF(A187="","",COUNTIFS('30_NGAN_HANG'!$B:$B,A187,'30_NGAN_HANG'!$Y:$Y,"Approved"))</f>
        <v/>
      </c>
    </row>
    <row r="188">
      <c r="N188">
        <f>IF(A188="","",COUNTIF('30_NGAN_HANG'!$B:$B,A188))</f>
        <v/>
      </c>
      <c r="O188">
        <f>IF(A188="","",COUNTIFS('30_NGAN_HANG'!$B:$B,A188,'30_NGAN_HANG'!$Y:$Y,"Approved"))</f>
        <v/>
      </c>
    </row>
    <row r="189">
      <c r="N189">
        <f>IF(A189="","",COUNTIF('30_NGAN_HANG'!$B:$B,A189))</f>
        <v/>
      </c>
      <c r="O189">
        <f>IF(A189="","",COUNTIFS('30_NGAN_HANG'!$B:$B,A189,'30_NGAN_HANG'!$Y:$Y,"Approved"))</f>
        <v/>
      </c>
    </row>
    <row r="190">
      <c r="N190">
        <f>IF(A190="","",COUNTIF('30_NGAN_HANG'!$B:$B,A190))</f>
        <v/>
      </c>
      <c r="O190">
        <f>IF(A190="","",COUNTIFS('30_NGAN_HANG'!$B:$B,A190,'30_NGAN_HANG'!$Y:$Y,"Approved"))</f>
        <v/>
      </c>
    </row>
    <row r="191">
      <c r="N191">
        <f>IF(A191="","",COUNTIF('30_NGAN_HANG'!$B:$B,A191))</f>
        <v/>
      </c>
      <c r="O191">
        <f>IF(A191="","",COUNTIFS('30_NGAN_HANG'!$B:$B,A191,'30_NGAN_HANG'!$Y:$Y,"Approved"))</f>
        <v/>
      </c>
    </row>
    <row r="192">
      <c r="N192">
        <f>IF(A192="","",COUNTIF('30_NGAN_HANG'!$B:$B,A192))</f>
        <v/>
      </c>
      <c r="O192">
        <f>IF(A192="","",COUNTIFS('30_NGAN_HANG'!$B:$B,A192,'30_NGAN_HANG'!$Y:$Y,"Approved"))</f>
        <v/>
      </c>
    </row>
    <row r="193">
      <c r="N193">
        <f>IF(A193="","",COUNTIF('30_NGAN_HANG'!$B:$B,A193))</f>
        <v/>
      </c>
      <c r="O193">
        <f>IF(A193="","",COUNTIFS('30_NGAN_HANG'!$B:$B,A193,'30_NGAN_HANG'!$Y:$Y,"Approved"))</f>
        <v/>
      </c>
    </row>
    <row r="194">
      <c r="N194">
        <f>IF(A194="","",COUNTIF('30_NGAN_HANG'!$B:$B,A194))</f>
        <v/>
      </c>
      <c r="O194">
        <f>IF(A194="","",COUNTIFS('30_NGAN_HANG'!$B:$B,A194,'30_NGAN_HANG'!$Y:$Y,"Approved"))</f>
        <v/>
      </c>
    </row>
    <row r="195">
      <c r="N195">
        <f>IF(A195="","",COUNTIF('30_NGAN_HANG'!$B:$B,A195))</f>
        <v/>
      </c>
      <c r="O195">
        <f>IF(A195="","",COUNTIFS('30_NGAN_HANG'!$B:$B,A195,'30_NGAN_HANG'!$Y:$Y,"Approved"))</f>
        <v/>
      </c>
    </row>
    <row r="196">
      <c r="N196">
        <f>IF(A196="","",COUNTIF('30_NGAN_HANG'!$B:$B,A196))</f>
        <v/>
      </c>
      <c r="O196">
        <f>IF(A196="","",COUNTIFS('30_NGAN_HANG'!$B:$B,A196,'30_NGAN_HANG'!$Y:$Y,"Approved"))</f>
        <v/>
      </c>
    </row>
    <row r="197">
      <c r="N197">
        <f>IF(A197="","",COUNTIF('30_NGAN_HANG'!$B:$B,A197))</f>
        <v/>
      </c>
      <c r="O197">
        <f>IF(A197="","",COUNTIFS('30_NGAN_HANG'!$B:$B,A197,'30_NGAN_HANG'!$Y:$Y,"Approved"))</f>
        <v/>
      </c>
    </row>
    <row r="198">
      <c r="N198">
        <f>IF(A198="","",COUNTIF('30_NGAN_HANG'!$B:$B,A198))</f>
        <v/>
      </c>
      <c r="O198">
        <f>IF(A198="","",COUNTIFS('30_NGAN_HANG'!$B:$B,A198,'30_NGAN_HANG'!$Y:$Y,"Approved"))</f>
        <v/>
      </c>
    </row>
    <row r="199">
      <c r="N199">
        <f>IF(A199="","",COUNTIF('30_NGAN_HANG'!$B:$B,A199))</f>
        <v/>
      </c>
      <c r="O199">
        <f>IF(A199="","",COUNTIFS('30_NGAN_HANG'!$B:$B,A199,'30_NGAN_HANG'!$Y:$Y,"Approved"))</f>
        <v/>
      </c>
    </row>
    <row r="200">
      <c r="N200">
        <f>IF(A200="","",COUNTIF('30_NGAN_HANG'!$B:$B,A200))</f>
        <v/>
      </c>
      <c r="O200">
        <f>IF(A200="","",COUNTIFS('30_NGAN_HANG'!$B:$B,A200,'30_NGAN_HANG'!$Y:$Y,"Approved"))</f>
        <v/>
      </c>
    </row>
    <row r="201">
      <c r="N201">
        <f>IF(A201="","",COUNTIF('30_NGAN_HANG'!$B:$B,A201))</f>
        <v/>
      </c>
      <c r="O201">
        <f>IF(A201="","",COUNTIFS('30_NGAN_HANG'!$B:$B,A201,'30_NGAN_HANG'!$Y:$Y,"Approved"))</f>
        <v/>
      </c>
    </row>
    <row r="202">
      <c r="N202">
        <f>IF(A202="","",COUNTIF('30_NGAN_HANG'!$B:$B,A202))</f>
        <v/>
      </c>
      <c r="O202">
        <f>IF(A202="","",COUNTIFS('30_NGAN_HANG'!$B:$B,A202,'30_NGAN_HANG'!$Y:$Y,"Approved"))</f>
        <v/>
      </c>
    </row>
    <row r="203">
      <c r="N203">
        <f>IF(A203="","",COUNTIF('30_NGAN_HANG'!$B:$B,A203))</f>
        <v/>
      </c>
      <c r="O203">
        <f>IF(A203="","",COUNTIFS('30_NGAN_HANG'!$B:$B,A203,'30_NGAN_HANG'!$Y:$Y,"Approved"))</f>
        <v/>
      </c>
    </row>
    <row r="204">
      <c r="N204">
        <f>IF(A204="","",COUNTIF('30_NGAN_HANG'!$B:$B,A204))</f>
        <v/>
      </c>
      <c r="O204">
        <f>IF(A204="","",COUNTIFS('30_NGAN_HANG'!$B:$B,A204,'30_NGAN_HANG'!$Y:$Y,"Approved"))</f>
        <v/>
      </c>
    </row>
    <row r="205">
      <c r="N205">
        <f>IF(A205="","",COUNTIF('30_NGAN_HANG'!$B:$B,A205))</f>
        <v/>
      </c>
      <c r="O205">
        <f>IF(A205="","",COUNTIFS('30_NGAN_HANG'!$B:$B,A205,'30_NGAN_HANG'!$Y:$Y,"Approved"))</f>
        <v/>
      </c>
    </row>
    <row r="206">
      <c r="N206">
        <f>IF(A206="","",COUNTIF('30_NGAN_HANG'!$B:$B,A206))</f>
        <v/>
      </c>
      <c r="O206">
        <f>IF(A206="","",COUNTIFS('30_NGAN_HANG'!$B:$B,A206,'30_NGAN_HANG'!$Y:$Y,"Approved"))</f>
        <v/>
      </c>
    </row>
    <row r="207">
      <c r="N207">
        <f>IF(A207="","",COUNTIF('30_NGAN_HANG'!$B:$B,A207))</f>
        <v/>
      </c>
      <c r="O207">
        <f>IF(A207="","",COUNTIFS('30_NGAN_HANG'!$B:$B,A207,'30_NGAN_HANG'!$Y:$Y,"Approved"))</f>
        <v/>
      </c>
    </row>
    <row r="208">
      <c r="N208">
        <f>IF(A208="","",COUNTIF('30_NGAN_HANG'!$B:$B,A208))</f>
        <v/>
      </c>
      <c r="O208">
        <f>IF(A208="","",COUNTIFS('30_NGAN_HANG'!$B:$B,A208,'30_NGAN_HANG'!$Y:$Y,"Approved"))</f>
        <v/>
      </c>
    </row>
    <row r="209">
      <c r="N209">
        <f>IF(A209="","",COUNTIF('30_NGAN_HANG'!$B:$B,A209))</f>
        <v/>
      </c>
      <c r="O209">
        <f>IF(A209="","",COUNTIFS('30_NGAN_HANG'!$B:$B,A209,'30_NGAN_HANG'!$Y:$Y,"Approved"))</f>
        <v/>
      </c>
    </row>
    <row r="210">
      <c r="N210">
        <f>IF(A210="","",COUNTIF('30_NGAN_HANG'!$B:$B,A210))</f>
        <v/>
      </c>
      <c r="O210">
        <f>IF(A210="","",COUNTIFS('30_NGAN_HANG'!$B:$B,A210,'30_NGAN_HANG'!$Y:$Y,"Approved"))</f>
        <v/>
      </c>
    </row>
    <row r="211">
      <c r="N211">
        <f>IF(A211="","",COUNTIF('30_NGAN_HANG'!$B:$B,A211))</f>
        <v/>
      </c>
      <c r="O211">
        <f>IF(A211="","",COUNTIFS('30_NGAN_HANG'!$B:$B,A211,'30_NGAN_HANG'!$Y:$Y,"Approved"))</f>
        <v/>
      </c>
    </row>
    <row r="212">
      <c r="N212">
        <f>IF(A212="","",COUNTIF('30_NGAN_HANG'!$B:$B,A212))</f>
        <v/>
      </c>
      <c r="O212">
        <f>IF(A212="","",COUNTIFS('30_NGAN_HANG'!$B:$B,A212,'30_NGAN_HANG'!$Y:$Y,"Approved"))</f>
        <v/>
      </c>
    </row>
    <row r="213">
      <c r="N213">
        <f>IF(A213="","",COUNTIF('30_NGAN_HANG'!$B:$B,A213))</f>
        <v/>
      </c>
      <c r="O213">
        <f>IF(A213="","",COUNTIFS('30_NGAN_HANG'!$B:$B,A213,'30_NGAN_HANG'!$Y:$Y,"Approved"))</f>
        <v/>
      </c>
    </row>
    <row r="214">
      <c r="N214">
        <f>IF(A214="","",COUNTIF('30_NGAN_HANG'!$B:$B,A214))</f>
        <v/>
      </c>
      <c r="O214">
        <f>IF(A214="","",COUNTIFS('30_NGAN_HANG'!$B:$B,A214,'30_NGAN_HANG'!$Y:$Y,"Approved"))</f>
        <v/>
      </c>
    </row>
    <row r="215">
      <c r="N215">
        <f>IF(A215="","",COUNTIF('30_NGAN_HANG'!$B:$B,A215))</f>
        <v/>
      </c>
      <c r="O215">
        <f>IF(A215="","",COUNTIFS('30_NGAN_HANG'!$B:$B,A215,'30_NGAN_HANG'!$Y:$Y,"Approved"))</f>
        <v/>
      </c>
    </row>
    <row r="216">
      <c r="N216">
        <f>IF(A216="","",COUNTIF('30_NGAN_HANG'!$B:$B,A216))</f>
        <v/>
      </c>
      <c r="O216">
        <f>IF(A216="","",COUNTIFS('30_NGAN_HANG'!$B:$B,A216,'30_NGAN_HANG'!$Y:$Y,"Approved"))</f>
        <v/>
      </c>
    </row>
    <row r="217">
      <c r="N217">
        <f>IF(A217="","",COUNTIF('30_NGAN_HANG'!$B:$B,A217))</f>
        <v/>
      </c>
      <c r="O217">
        <f>IF(A217="","",COUNTIFS('30_NGAN_HANG'!$B:$B,A217,'30_NGAN_HANG'!$Y:$Y,"Approved"))</f>
        <v/>
      </c>
    </row>
    <row r="218">
      <c r="N218">
        <f>IF(A218="","",COUNTIF('30_NGAN_HANG'!$B:$B,A218))</f>
        <v/>
      </c>
      <c r="O218">
        <f>IF(A218="","",COUNTIFS('30_NGAN_HANG'!$B:$B,A218,'30_NGAN_HANG'!$Y:$Y,"Approved"))</f>
        <v/>
      </c>
    </row>
    <row r="219">
      <c r="N219">
        <f>IF(A219="","",COUNTIF('30_NGAN_HANG'!$B:$B,A219))</f>
        <v/>
      </c>
      <c r="O219">
        <f>IF(A219="","",COUNTIFS('30_NGAN_HANG'!$B:$B,A219,'30_NGAN_HANG'!$Y:$Y,"Approved"))</f>
        <v/>
      </c>
    </row>
    <row r="220">
      <c r="N220">
        <f>IF(A220="","",COUNTIF('30_NGAN_HANG'!$B:$B,A220))</f>
        <v/>
      </c>
      <c r="O220">
        <f>IF(A220="","",COUNTIFS('30_NGAN_HANG'!$B:$B,A220,'30_NGAN_HANG'!$Y:$Y,"Approved"))</f>
        <v/>
      </c>
    </row>
    <row r="221">
      <c r="N221">
        <f>IF(A221="","",COUNTIF('30_NGAN_HANG'!$B:$B,A221))</f>
        <v/>
      </c>
      <c r="O221">
        <f>IF(A221="","",COUNTIFS('30_NGAN_HANG'!$B:$B,A221,'30_NGAN_HANG'!$Y:$Y,"Approved"))</f>
        <v/>
      </c>
    </row>
    <row r="222">
      <c r="N222">
        <f>IF(A222="","",COUNTIF('30_NGAN_HANG'!$B:$B,A222))</f>
        <v/>
      </c>
      <c r="O222">
        <f>IF(A222="","",COUNTIFS('30_NGAN_HANG'!$B:$B,A222,'30_NGAN_HANG'!$Y:$Y,"Approved"))</f>
        <v/>
      </c>
    </row>
    <row r="223">
      <c r="N223">
        <f>IF(A223="","",COUNTIF('30_NGAN_HANG'!$B:$B,A223))</f>
        <v/>
      </c>
      <c r="O223">
        <f>IF(A223="","",COUNTIFS('30_NGAN_HANG'!$B:$B,A223,'30_NGAN_HANG'!$Y:$Y,"Approved"))</f>
        <v/>
      </c>
    </row>
    <row r="224">
      <c r="N224">
        <f>IF(A224="","",COUNTIF('30_NGAN_HANG'!$B:$B,A224))</f>
        <v/>
      </c>
      <c r="O224">
        <f>IF(A224="","",COUNTIFS('30_NGAN_HANG'!$B:$B,A224,'30_NGAN_HANG'!$Y:$Y,"Approved"))</f>
        <v/>
      </c>
    </row>
    <row r="225">
      <c r="N225">
        <f>IF(A225="","",COUNTIF('30_NGAN_HANG'!$B:$B,A225))</f>
        <v/>
      </c>
      <c r="O225">
        <f>IF(A225="","",COUNTIFS('30_NGAN_HANG'!$B:$B,A225,'30_NGAN_HANG'!$Y:$Y,"Approved"))</f>
        <v/>
      </c>
    </row>
    <row r="226">
      <c r="N226">
        <f>IF(A226="","",COUNTIF('30_NGAN_HANG'!$B:$B,A226))</f>
        <v/>
      </c>
      <c r="O226">
        <f>IF(A226="","",COUNTIFS('30_NGAN_HANG'!$B:$B,A226,'30_NGAN_HANG'!$Y:$Y,"Approved"))</f>
        <v/>
      </c>
    </row>
    <row r="227">
      <c r="N227">
        <f>IF(A227="","",COUNTIF('30_NGAN_HANG'!$B:$B,A227))</f>
        <v/>
      </c>
      <c r="O227">
        <f>IF(A227="","",COUNTIFS('30_NGAN_HANG'!$B:$B,A227,'30_NGAN_HANG'!$Y:$Y,"Approved"))</f>
        <v/>
      </c>
    </row>
    <row r="228">
      <c r="N228">
        <f>IF(A228="","",COUNTIF('30_NGAN_HANG'!$B:$B,A228))</f>
        <v/>
      </c>
      <c r="O228">
        <f>IF(A228="","",COUNTIFS('30_NGAN_HANG'!$B:$B,A228,'30_NGAN_HANG'!$Y:$Y,"Approved"))</f>
        <v/>
      </c>
    </row>
    <row r="229">
      <c r="N229">
        <f>IF(A229="","",COUNTIF('30_NGAN_HANG'!$B:$B,A229))</f>
        <v/>
      </c>
      <c r="O229">
        <f>IF(A229="","",COUNTIFS('30_NGAN_HANG'!$B:$B,A229,'30_NGAN_HANG'!$Y:$Y,"Approved"))</f>
        <v/>
      </c>
    </row>
    <row r="230">
      <c r="N230">
        <f>IF(A230="","",COUNTIF('30_NGAN_HANG'!$B:$B,A230))</f>
        <v/>
      </c>
      <c r="O230">
        <f>IF(A230="","",COUNTIFS('30_NGAN_HANG'!$B:$B,A230,'30_NGAN_HANG'!$Y:$Y,"Approved"))</f>
        <v/>
      </c>
    </row>
    <row r="231">
      <c r="N231">
        <f>IF(A231="","",COUNTIF('30_NGAN_HANG'!$B:$B,A231))</f>
        <v/>
      </c>
      <c r="O231">
        <f>IF(A231="","",COUNTIFS('30_NGAN_HANG'!$B:$B,A231,'30_NGAN_HANG'!$Y:$Y,"Approved"))</f>
        <v/>
      </c>
    </row>
    <row r="232">
      <c r="N232">
        <f>IF(A232="","",COUNTIF('30_NGAN_HANG'!$B:$B,A232))</f>
        <v/>
      </c>
      <c r="O232">
        <f>IF(A232="","",COUNTIFS('30_NGAN_HANG'!$B:$B,A232,'30_NGAN_HANG'!$Y:$Y,"Approved"))</f>
        <v/>
      </c>
    </row>
    <row r="233">
      <c r="N233">
        <f>IF(A233="","",COUNTIF('30_NGAN_HANG'!$B:$B,A233))</f>
        <v/>
      </c>
      <c r="O233">
        <f>IF(A233="","",COUNTIFS('30_NGAN_HANG'!$B:$B,A233,'30_NGAN_HANG'!$Y:$Y,"Approved"))</f>
        <v/>
      </c>
    </row>
    <row r="234">
      <c r="N234">
        <f>IF(A234="","",COUNTIF('30_NGAN_HANG'!$B:$B,A234))</f>
        <v/>
      </c>
      <c r="O234">
        <f>IF(A234="","",COUNTIFS('30_NGAN_HANG'!$B:$B,A234,'30_NGAN_HANG'!$Y:$Y,"Approved"))</f>
        <v/>
      </c>
    </row>
    <row r="235">
      <c r="N235">
        <f>IF(A235="","",COUNTIF('30_NGAN_HANG'!$B:$B,A235))</f>
        <v/>
      </c>
      <c r="O235">
        <f>IF(A235="","",COUNTIFS('30_NGAN_HANG'!$B:$B,A235,'30_NGAN_HANG'!$Y:$Y,"Approved"))</f>
        <v/>
      </c>
    </row>
    <row r="236">
      <c r="N236">
        <f>IF(A236="","",COUNTIF('30_NGAN_HANG'!$B:$B,A236))</f>
        <v/>
      </c>
      <c r="O236">
        <f>IF(A236="","",COUNTIFS('30_NGAN_HANG'!$B:$B,A236,'30_NGAN_HANG'!$Y:$Y,"Approved"))</f>
        <v/>
      </c>
    </row>
    <row r="237">
      <c r="N237">
        <f>IF(A237="","",COUNTIF('30_NGAN_HANG'!$B:$B,A237))</f>
        <v/>
      </c>
      <c r="O237">
        <f>IF(A237="","",COUNTIFS('30_NGAN_HANG'!$B:$B,A237,'30_NGAN_HANG'!$Y:$Y,"Approved"))</f>
        <v/>
      </c>
    </row>
    <row r="238">
      <c r="N238">
        <f>IF(A238="","",COUNTIF('30_NGAN_HANG'!$B:$B,A238))</f>
        <v/>
      </c>
      <c r="O238">
        <f>IF(A238="","",COUNTIFS('30_NGAN_HANG'!$B:$B,A238,'30_NGAN_HANG'!$Y:$Y,"Approved"))</f>
        <v/>
      </c>
    </row>
    <row r="239">
      <c r="N239">
        <f>IF(A239="","",COUNTIF('30_NGAN_HANG'!$B:$B,A239))</f>
        <v/>
      </c>
      <c r="O239">
        <f>IF(A239="","",COUNTIFS('30_NGAN_HANG'!$B:$B,A239,'30_NGAN_HANG'!$Y:$Y,"Approved"))</f>
        <v/>
      </c>
    </row>
    <row r="240">
      <c r="N240">
        <f>IF(A240="","",COUNTIF('30_NGAN_HANG'!$B:$B,A240))</f>
        <v/>
      </c>
      <c r="O240">
        <f>IF(A240="","",COUNTIFS('30_NGAN_HANG'!$B:$B,A240,'30_NGAN_HANG'!$Y:$Y,"Approved"))</f>
        <v/>
      </c>
    </row>
    <row r="241">
      <c r="N241">
        <f>IF(A241="","",COUNTIF('30_NGAN_HANG'!$B:$B,A241))</f>
        <v/>
      </c>
      <c r="O241">
        <f>IF(A241="","",COUNTIFS('30_NGAN_HANG'!$B:$B,A241,'30_NGAN_HANG'!$Y:$Y,"Approved"))</f>
        <v/>
      </c>
    </row>
    <row r="242">
      <c r="N242">
        <f>IF(A242="","",COUNTIF('30_NGAN_HANG'!$B:$B,A242))</f>
        <v/>
      </c>
      <c r="O242">
        <f>IF(A242="","",COUNTIFS('30_NGAN_HANG'!$B:$B,A242,'30_NGAN_HANG'!$Y:$Y,"Approved"))</f>
        <v/>
      </c>
    </row>
    <row r="243">
      <c r="N243">
        <f>IF(A243="","",COUNTIF('30_NGAN_HANG'!$B:$B,A243))</f>
        <v/>
      </c>
      <c r="O243">
        <f>IF(A243="","",COUNTIFS('30_NGAN_HANG'!$B:$B,A243,'30_NGAN_HANG'!$Y:$Y,"Approved"))</f>
        <v/>
      </c>
    </row>
    <row r="244">
      <c r="N244">
        <f>IF(A244="","",COUNTIF('30_NGAN_HANG'!$B:$B,A244))</f>
        <v/>
      </c>
      <c r="O244">
        <f>IF(A244="","",COUNTIFS('30_NGAN_HANG'!$B:$B,A244,'30_NGAN_HANG'!$Y:$Y,"Approved"))</f>
        <v/>
      </c>
    </row>
    <row r="245">
      <c r="N245">
        <f>IF(A245="","",COUNTIF('30_NGAN_HANG'!$B:$B,A245))</f>
        <v/>
      </c>
      <c r="O245">
        <f>IF(A245="","",COUNTIFS('30_NGAN_HANG'!$B:$B,A245,'30_NGAN_HANG'!$Y:$Y,"Approved"))</f>
        <v/>
      </c>
    </row>
    <row r="246">
      <c r="N246">
        <f>IF(A246="","",COUNTIF('30_NGAN_HANG'!$B:$B,A246))</f>
        <v/>
      </c>
      <c r="O246">
        <f>IF(A246="","",COUNTIFS('30_NGAN_HANG'!$B:$B,A246,'30_NGAN_HANG'!$Y:$Y,"Approved"))</f>
        <v/>
      </c>
    </row>
    <row r="247">
      <c r="N247">
        <f>IF(A247="","",COUNTIF('30_NGAN_HANG'!$B:$B,A247))</f>
        <v/>
      </c>
      <c r="O247">
        <f>IF(A247="","",COUNTIFS('30_NGAN_HANG'!$B:$B,A247,'30_NGAN_HANG'!$Y:$Y,"Approved"))</f>
        <v/>
      </c>
    </row>
    <row r="248">
      <c r="N248">
        <f>IF(A248="","",COUNTIF('30_NGAN_HANG'!$B:$B,A248))</f>
        <v/>
      </c>
      <c r="O248">
        <f>IF(A248="","",COUNTIFS('30_NGAN_HANG'!$B:$B,A248,'30_NGAN_HANG'!$Y:$Y,"Approved"))</f>
        <v/>
      </c>
    </row>
    <row r="249">
      <c r="N249">
        <f>IF(A249="","",COUNTIF('30_NGAN_HANG'!$B:$B,A249))</f>
        <v/>
      </c>
      <c r="O249">
        <f>IF(A249="","",COUNTIFS('30_NGAN_HANG'!$B:$B,A249,'30_NGAN_HANG'!$Y:$Y,"Approved"))</f>
        <v/>
      </c>
    </row>
    <row r="250">
      <c r="N250">
        <f>IF(A250="","",COUNTIF('30_NGAN_HANG'!$B:$B,A250))</f>
        <v/>
      </c>
      <c r="O250">
        <f>IF(A250="","",COUNTIFS('30_NGAN_HANG'!$B:$B,A250,'30_NGAN_HANG'!$Y:$Y,"Approved"))</f>
        <v/>
      </c>
    </row>
    <row r="251">
      <c r="N251">
        <f>IF(A251="","",COUNTIF('30_NGAN_HANG'!$B:$B,A251))</f>
        <v/>
      </c>
      <c r="O251">
        <f>IF(A251="","",COUNTIFS('30_NGAN_HANG'!$B:$B,A251,'30_NGAN_HANG'!$Y:$Y,"Approved"))</f>
        <v/>
      </c>
    </row>
    <row r="252">
      <c r="N252">
        <f>IF(A252="","",COUNTIF('30_NGAN_HANG'!$B:$B,A252))</f>
        <v/>
      </c>
      <c r="O252">
        <f>IF(A252="","",COUNTIFS('30_NGAN_HANG'!$B:$B,A252,'30_NGAN_HANG'!$Y:$Y,"Approved"))</f>
        <v/>
      </c>
    </row>
    <row r="253">
      <c r="N253">
        <f>IF(A253="","",COUNTIF('30_NGAN_HANG'!$B:$B,A253))</f>
        <v/>
      </c>
      <c r="O253">
        <f>IF(A253="","",COUNTIFS('30_NGAN_HANG'!$B:$B,A253,'30_NGAN_HANG'!$Y:$Y,"Approved"))</f>
        <v/>
      </c>
    </row>
    <row r="254">
      <c r="N254">
        <f>IF(A254="","",COUNTIF('30_NGAN_HANG'!$B:$B,A254))</f>
        <v/>
      </c>
      <c r="O254">
        <f>IF(A254="","",COUNTIFS('30_NGAN_HANG'!$B:$B,A254,'30_NGAN_HANG'!$Y:$Y,"Approved"))</f>
        <v/>
      </c>
    </row>
    <row r="255">
      <c r="N255">
        <f>IF(A255="","",COUNTIF('30_NGAN_HANG'!$B:$B,A255))</f>
        <v/>
      </c>
      <c r="O255">
        <f>IF(A255="","",COUNTIFS('30_NGAN_HANG'!$B:$B,A255,'30_NGAN_HANG'!$Y:$Y,"Approved"))</f>
        <v/>
      </c>
    </row>
    <row r="256">
      <c r="N256">
        <f>IF(A256="","",COUNTIF('30_NGAN_HANG'!$B:$B,A256))</f>
        <v/>
      </c>
      <c r="O256">
        <f>IF(A256="","",COUNTIFS('30_NGAN_HANG'!$B:$B,A256,'30_NGAN_HANG'!$Y:$Y,"Approved"))</f>
        <v/>
      </c>
    </row>
    <row r="257">
      <c r="N257">
        <f>IF(A257="","",COUNTIF('30_NGAN_HANG'!$B:$B,A257))</f>
        <v/>
      </c>
      <c r="O257">
        <f>IF(A257="","",COUNTIFS('30_NGAN_HANG'!$B:$B,A257,'30_NGAN_HANG'!$Y:$Y,"Approved"))</f>
        <v/>
      </c>
    </row>
    <row r="258">
      <c r="N258">
        <f>IF(A258="","",COUNTIF('30_NGAN_HANG'!$B:$B,A258))</f>
        <v/>
      </c>
      <c r="O258">
        <f>IF(A258="","",COUNTIFS('30_NGAN_HANG'!$B:$B,A258,'30_NGAN_HANG'!$Y:$Y,"Approved"))</f>
        <v/>
      </c>
    </row>
    <row r="259">
      <c r="N259">
        <f>IF(A259="","",COUNTIF('30_NGAN_HANG'!$B:$B,A259))</f>
        <v/>
      </c>
      <c r="O259">
        <f>IF(A259="","",COUNTIFS('30_NGAN_HANG'!$B:$B,A259,'30_NGAN_HANG'!$Y:$Y,"Approved"))</f>
        <v/>
      </c>
    </row>
    <row r="260">
      <c r="N260">
        <f>IF(A260="","",COUNTIF('30_NGAN_HANG'!$B:$B,A260))</f>
        <v/>
      </c>
      <c r="O260">
        <f>IF(A260="","",COUNTIFS('30_NGAN_HANG'!$B:$B,A260,'30_NGAN_HANG'!$Y:$Y,"Approved"))</f>
        <v/>
      </c>
    </row>
    <row r="261">
      <c r="N261">
        <f>IF(A261="","",COUNTIF('30_NGAN_HANG'!$B:$B,A261))</f>
        <v/>
      </c>
      <c r="O261">
        <f>IF(A261="","",COUNTIFS('30_NGAN_HANG'!$B:$B,A261,'30_NGAN_HANG'!$Y:$Y,"Approved"))</f>
        <v/>
      </c>
    </row>
    <row r="262">
      <c r="N262">
        <f>IF(A262="","",COUNTIF('30_NGAN_HANG'!$B:$B,A262))</f>
        <v/>
      </c>
      <c r="O262">
        <f>IF(A262="","",COUNTIFS('30_NGAN_HANG'!$B:$B,A262,'30_NGAN_HANG'!$Y:$Y,"Approved"))</f>
        <v/>
      </c>
    </row>
    <row r="263">
      <c r="N263">
        <f>IF(A263="","",COUNTIF('30_NGAN_HANG'!$B:$B,A263))</f>
        <v/>
      </c>
      <c r="O263">
        <f>IF(A263="","",COUNTIFS('30_NGAN_HANG'!$B:$B,A263,'30_NGAN_HANG'!$Y:$Y,"Approved"))</f>
        <v/>
      </c>
    </row>
    <row r="264">
      <c r="N264">
        <f>IF(A264="","",COUNTIF('30_NGAN_HANG'!$B:$B,A264))</f>
        <v/>
      </c>
      <c r="O264">
        <f>IF(A264="","",COUNTIFS('30_NGAN_HANG'!$B:$B,A264,'30_NGAN_HANG'!$Y:$Y,"Approved"))</f>
        <v/>
      </c>
    </row>
    <row r="265">
      <c r="N265">
        <f>IF(A265="","",COUNTIF('30_NGAN_HANG'!$B:$B,A265))</f>
        <v/>
      </c>
      <c r="O265">
        <f>IF(A265="","",COUNTIFS('30_NGAN_HANG'!$B:$B,A265,'30_NGAN_HANG'!$Y:$Y,"Approved"))</f>
        <v/>
      </c>
    </row>
    <row r="266">
      <c r="N266">
        <f>IF(A266="","",COUNTIF('30_NGAN_HANG'!$B:$B,A266))</f>
        <v/>
      </c>
      <c r="O266">
        <f>IF(A266="","",COUNTIFS('30_NGAN_HANG'!$B:$B,A266,'30_NGAN_HANG'!$Y:$Y,"Approved"))</f>
        <v/>
      </c>
    </row>
    <row r="267">
      <c r="N267">
        <f>IF(A267="","",COUNTIF('30_NGAN_HANG'!$B:$B,A267))</f>
        <v/>
      </c>
      <c r="O267">
        <f>IF(A267="","",COUNTIFS('30_NGAN_HANG'!$B:$B,A267,'30_NGAN_HANG'!$Y:$Y,"Approved"))</f>
        <v/>
      </c>
    </row>
    <row r="268">
      <c r="N268">
        <f>IF(A268="","",COUNTIF('30_NGAN_HANG'!$B:$B,A268))</f>
        <v/>
      </c>
      <c r="O268">
        <f>IF(A268="","",COUNTIFS('30_NGAN_HANG'!$B:$B,A268,'30_NGAN_HANG'!$Y:$Y,"Approved"))</f>
        <v/>
      </c>
    </row>
    <row r="269">
      <c r="N269">
        <f>IF(A269="","",COUNTIF('30_NGAN_HANG'!$B:$B,A269))</f>
        <v/>
      </c>
      <c r="O269">
        <f>IF(A269="","",COUNTIFS('30_NGAN_HANG'!$B:$B,A269,'30_NGAN_HANG'!$Y:$Y,"Approved"))</f>
        <v/>
      </c>
    </row>
    <row r="270">
      <c r="N270">
        <f>IF(A270="","",COUNTIF('30_NGAN_HANG'!$B:$B,A270))</f>
        <v/>
      </c>
      <c r="O270">
        <f>IF(A270="","",COUNTIFS('30_NGAN_HANG'!$B:$B,A270,'30_NGAN_HANG'!$Y:$Y,"Approved"))</f>
        <v/>
      </c>
    </row>
    <row r="271">
      <c r="N271">
        <f>IF(A271="","",COUNTIF('30_NGAN_HANG'!$B:$B,A271))</f>
        <v/>
      </c>
      <c r="O271">
        <f>IF(A271="","",COUNTIFS('30_NGAN_HANG'!$B:$B,A271,'30_NGAN_HANG'!$Y:$Y,"Approved"))</f>
        <v/>
      </c>
    </row>
    <row r="272">
      <c r="N272">
        <f>IF(A272="","",COUNTIF('30_NGAN_HANG'!$B:$B,A272))</f>
        <v/>
      </c>
      <c r="O272">
        <f>IF(A272="","",COUNTIFS('30_NGAN_HANG'!$B:$B,A272,'30_NGAN_HANG'!$Y:$Y,"Approved"))</f>
        <v/>
      </c>
    </row>
    <row r="273">
      <c r="N273">
        <f>IF(A273="","",COUNTIF('30_NGAN_HANG'!$B:$B,A273))</f>
        <v/>
      </c>
      <c r="O273">
        <f>IF(A273="","",COUNTIFS('30_NGAN_HANG'!$B:$B,A273,'30_NGAN_HANG'!$Y:$Y,"Approved"))</f>
        <v/>
      </c>
    </row>
    <row r="274">
      <c r="N274">
        <f>IF(A274="","",COUNTIF('30_NGAN_HANG'!$B:$B,A274))</f>
        <v/>
      </c>
      <c r="O274">
        <f>IF(A274="","",COUNTIFS('30_NGAN_HANG'!$B:$B,A274,'30_NGAN_HANG'!$Y:$Y,"Approved"))</f>
        <v/>
      </c>
    </row>
    <row r="275">
      <c r="N275">
        <f>IF(A275="","",COUNTIF('30_NGAN_HANG'!$B:$B,A275))</f>
        <v/>
      </c>
      <c r="O275">
        <f>IF(A275="","",COUNTIFS('30_NGAN_HANG'!$B:$B,A275,'30_NGAN_HANG'!$Y:$Y,"Approved"))</f>
        <v/>
      </c>
    </row>
    <row r="276">
      <c r="N276">
        <f>IF(A276="","",COUNTIF('30_NGAN_HANG'!$B:$B,A276))</f>
        <v/>
      </c>
      <c r="O276">
        <f>IF(A276="","",COUNTIFS('30_NGAN_HANG'!$B:$B,A276,'30_NGAN_HANG'!$Y:$Y,"Approved"))</f>
        <v/>
      </c>
    </row>
    <row r="277">
      <c r="N277">
        <f>IF(A277="","",COUNTIF('30_NGAN_HANG'!$B:$B,A277))</f>
        <v/>
      </c>
      <c r="O277">
        <f>IF(A277="","",COUNTIFS('30_NGAN_HANG'!$B:$B,A277,'30_NGAN_HANG'!$Y:$Y,"Approved"))</f>
        <v/>
      </c>
    </row>
    <row r="278">
      <c r="N278">
        <f>IF(A278="","",COUNTIF('30_NGAN_HANG'!$B:$B,A278))</f>
        <v/>
      </c>
      <c r="O278">
        <f>IF(A278="","",COUNTIFS('30_NGAN_HANG'!$B:$B,A278,'30_NGAN_HANG'!$Y:$Y,"Approved"))</f>
        <v/>
      </c>
    </row>
    <row r="279">
      <c r="N279">
        <f>IF(A279="","",COUNTIF('30_NGAN_HANG'!$B:$B,A279))</f>
        <v/>
      </c>
      <c r="O279">
        <f>IF(A279="","",COUNTIFS('30_NGAN_HANG'!$B:$B,A279,'30_NGAN_HANG'!$Y:$Y,"Approved"))</f>
        <v/>
      </c>
    </row>
    <row r="280">
      <c r="N280">
        <f>IF(A280="","",COUNTIF('30_NGAN_HANG'!$B:$B,A280))</f>
        <v/>
      </c>
      <c r="O280">
        <f>IF(A280="","",COUNTIFS('30_NGAN_HANG'!$B:$B,A280,'30_NGAN_HANG'!$Y:$Y,"Approved"))</f>
        <v/>
      </c>
    </row>
    <row r="281">
      <c r="N281">
        <f>IF(A281="","",COUNTIF('30_NGAN_HANG'!$B:$B,A281))</f>
        <v/>
      </c>
      <c r="O281">
        <f>IF(A281="","",COUNTIFS('30_NGAN_HANG'!$B:$B,A281,'30_NGAN_HANG'!$Y:$Y,"Approved"))</f>
        <v/>
      </c>
    </row>
    <row r="282">
      <c r="N282">
        <f>IF(A282="","",COUNTIF('30_NGAN_HANG'!$B:$B,A282))</f>
        <v/>
      </c>
      <c r="O282">
        <f>IF(A282="","",COUNTIFS('30_NGAN_HANG'!$B:$B,A282,'30_NGAN_HANG'!$Y:$Y,"Approved"))</f>
        <v/>
      </c>
    </row>
    <row r="283">
      <c r="N283">
        <f>IF(A283="","",COUNTIF('30_NGAN_HANG'!$B:$B,A283))</f>
        <v/>
      </c>
      <c r="O283">
        <f>IF(A283="","",COUNTIFS('30_NGAN_HANG'!$B:$B,A283,'30_NGAN_HANG'!$Y:$Y,"Approved"))</f>
        <v/>
      </c>
    </row>
    <row r="284">
      <c r="N284">
        <f>IF(A284="","",COUNTIF('30_NGAN_HANG'!$B:$B,A284))</f>
        <v/>
      </c>
      <c r="O284">
        <f>IF(A284="","",COUNTIFS('30_NGAN_HANG'!$B:$B,A284,'30_NGAN_HANG'!$Y:$Y,"Approved"))</f>
        <v/>
      </c>
    </row>
    <row r="285">
      <c r="N285">
        <f>IF(A285="","",COUNTIF('30_NGAN_HANG'!$B:$B,A285))</f>
        <v/>
      </c>
      <c r="O285">
        <f>IF(A285="","",COUNTIFS('30_NGAN_HANG'!$B:$B,A285,'30_NGAN_HANG'!$Y:$Y,"Approved"))</f>
        <v/>
      </c>
    </row>
    <row r="286">
      <c r="N286">
        <f>IF(A286="","",COUNTIF('30_NGAN_HANG'!$B:$B,A286))</f>
        <v/>
      </c>
      <c r="O286">
        <f>IF(A286="","",COUNTIFS('30_NGAN_HANG'!$B:$B,A286,'30_NGAN_HANG'!$Y:$Y,"Approved"))</f>
        <v/>
      </c>
    </row>
    <row r="287">
      <c r="N287">
        <f>IF(A287="","",COUNTIF('30_NGAN_HANG'!$B:$B,A287))</f>
        <v/>
      </c>
      <c r="O287">
        <f>IF(A287="","",COUNTIFS('30_NGAN_HANG'!$B:$B,A287,'30_NGAN_HANG'!$Y:$Y,"Approved"))</f>
        <v/>
      </c>
    </row>
    <row r="288">
      <c r="N288">
        <f>IF(A288="","",COUNTIF('30_NGAN_HANG'!$B:$B,A288))</f>
        <v/>
      </c>
      <c r="O288">
        <f>IF(A288="","",COUNTIFS('30_NGAN_HANG'!$B:$B,A288,'30_NGAN_HANG'!$Y:$Y,"Approved"))</f>
        <v/>
      </c>
    </row>
    <row r="289">
      <c r="N289">
        <f>IF(A289="","",COUNTIF('30_NGAN_HANG'!$B:$B,A289))</f>
        <v/>
      </c>
      <c r="O289">
        <f>IF(A289="","",COUNTIFS('30_NGAN_HANG'!$B:$B,A289,'30_NGAN_HANG'!$Y:$Y,"Approved"))</f>
        <v/>
      </c>
    </row>
    <row r="290">
      <c r="N290">
        <f>IF(A290="","",COUNTIF('30_NGAN_HANG'!$B:$B,A290))</f>
        <v/>
      </c>
      <c r="O290">
        <f>IF(A290="","",COUNTIFS('30_NGAN_HANG'!$B:$B,A290,'30_NGAN_HANG'!$Y:$Y,"Approved"))</f>
        <v/>
      </c>
    </row>
    <row r="291">
      <c r="N291">
        <f>IF(A291="","",COUNTIF('30_NGAN_HANG'!$B:$B,A291))</f>
        <v/>
      </c>
      <c r="O291">
        <f>IF(A291="","",COUNTIFS('30_NGAN_HANG'!$B:$B,A291,'30_NGAN_HANG'!$Y:$Y,"Approved"))</f>
        <v/>
      </c>
    </row>
    <row r="292">
      <c r="N292">
        <f>IF(A292="","",COUNTIF('30_NGAN_HANG'!$B:$B,A292))</f>
        <v/>
      </c>
      <c r="O292">
        <f>IF(A292="","",COUNTIFS('30_NGAN_HANG'!$B:$B,A292,'30_NGAN_HANG'!$Y:$Y,"Approved"))</f>
        <v/>
      </c>
    </row>
    <row r="293">
      <c r="N293">
        <f>IF(A293="","",COUNTIF('30_NGAN_HANG'!$B:$B,A293))</f>
        <v/>
      </c>
      <c r="O293">
        <f>IF(A293="","",COUNTIFS('30_NGAN_HANG'!$B:$B,A293,'30_NGAN_HANG'!$Y:$Y,"Approved"))</f>
        <v/>
      </c>
    </row>
    <row r="294">
      <c r="N294">
        <f>IF(A294="","",COUNTIF('30_NGAN_HANG'!$B:$B,A294))</f>
        <v/>
      </c>
      <c r="O294">
        <f>IF(A294="","",COUNTIFS('30_NGAN_HANG'!$B:$B,A294,'30_NGAN_HANG'!$Y:$Y,"Approved"))</f>
        <v/>
      </c>
    </row>
    <row r="295">
      <c r="N295">
        <f>IF(A295="","",COUNTIF('30_NGAN_HANG'!$B:$B,A295))</f>
        <v/>
      </c>
      <c r="O295">
        <f>IF(A295="","",COUNTIFS('30_NGAN_HANG'!$B:$B,A295,'30_NGAN_HANG'!$Y:$Y,"Approved"))</f>
        <v/>
      </c>
    </row>
    <row r="296">
      <c r="N296">
        <f>IF(A296="","",COUNTIF('30_NGAN_HANG'!$B:$B,A296))</f>
        <v/>
      </c>
      <c r="O296">
        <f>IF(A296="","",COUNTIFS('30_NGAN_HANG'!$B:$B,A296,'30_NGAN_HANG'!$Y:$Y,"Approved"))</f>
        <v/>
      </c>
    </row>
    <row r="297">
      <c r="N297">
        <f>IF(A297="","",COUNTIF('30_NGAN_HANG'!$B:$B,A297))</f>
        <v/>
      </c>
      <c r="O297">
        <f>IF(A297="","",COUNTIFS('30_NGAN_HANG'!$B:$B,A297,'30_NGAN_HANG'!$Y:$Y,"Approved"))</f>
        <v/>
      </c>
    </row>
    <row r="298">
      <c r="N298">
        <f>IF(A298="","",COUNTIF('30_NGAN_HANG'!$B:$B,A298))</f>
        <v/>
      </c>
      <c r="O298">
        <f>IF(A298="","",COUNTIFS('30_NGAN_HANG'!$B:$B,A298,'30_NGAN_HANG'!$Y:$Y,"Approved"))</f>
        <v/>
      </c>
    </row>
    <row r="299">
      <c r="N299">
        <f>IF(A299="","",COUNTIF('30_NGAN_HANG'!$B:$B,A299))</f>
        <v/>
      </c>
      <c r="O299">
        <f>IF(A299="","",COUNTIFS('30_NGAN_HANG'!$B:$B,A299,'30_NGAN_HANG'!$Y:$Y,"Approved"))</f>
        <v/>
      </c>
    </row>
    <row r="300">
      <c r="N300">
        <f>IF(A300="","",COUNTIF('30_NGAN_HANG'!$B:$B,A300))</f>
        <v/>
      </c>
      <c r="O300">
        <f>IF(A300="","",COUNTIFS('30_NGAN_HANG'!$B:$B,A300,'30_NGAN_HANG'!$Y:$Y,"Approved"))</f>
        <v/>
      </c>
    </row>
  </sheetData>
  <dataValidations count="3">
    <dataValidation sqref="C3:C300" showDropDown="0" showInputMessage="0" showErrorMessage="0" allowBlank="1" type="list">
      <formula1>='99_DANH_MUC'!$A$2:$A$4</formula1>
    </dataValidation>
    <dataValidation sqref="K3:K300" showDropDown="0" showInputMessage="0" showErrorMessage="0" allowBlank="1" type="list">
      <formula1>='99_DANH_MUC'!$G$2:$G$4</formula1>
    </dataValidation>
    <dataValidation sqref="M3:M300" showDropDown="0" showInputMessage="0" showErrorMessage="0" allowBlank="1" type="list">
      <formula1>='99_DANH_MUC'!$E$2:$E$5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C55A11"/>
    <outlinePr summaryBelow="1" summaryRight="1"/>
    <pageSetUpPr/>
  </sheetPr>
  <dimension ref="A1:O30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12" customWidth="1" min="4" max="4"/>
    <col width="34" customWidth="1" min="5" max="5"/>
    <col width="40" customWidth="1" min="6" max="6"/>
    <col width="24" customWidth="1" min="7" max="7"/>
    <col width="28" customWidth="1" min="8" max="8"/>
    <col width="26" customWidth="1" min="9" max="9"/>
    <col width="32" customWidth="1" min="10" max="10"/>
    <col width="28" customWidth="1" min="11" max="11"/>
    <col width="24" customWidth="1" min="12" max="12"/>
    <col width="24" customWidth="1" min="13" max="13"/>
    <col width="32" customWidth="1" min="14" max="14"/>
    <col width="34" customWidth="1" min="15" max="15"/>
  </cols>
  <sheetData>
    <row r="1">
      <c r="A1" s="7" t="inlineStr">
        <is>
          <t>文字と語彙 › 漢字の表記  |  1 dòng = 1 yêu cầu sinh câu. Cam = bắt buộc, vàng = gợi ý cho AI.</t>
        </is>
      </c>
    </row>
    <row r="2" ht="42" customHeight="1">
      <c r="A2" s="8" t="inlineStr">
        <is>
          <t>Mã yêu cầu</t>
        </is>
      </c>
      <c r="B2" s="8" t="inlineStr">
        <is>
          <t>Mã đề (kế hoạch)</t>
        </is>
      </c>
      <c r="C2" s="8" t="inlineStr">
        <is>
          <t>Quyển</t>
        </is>
      </c>
      <c r="D2" s="8" t="inlineStr">
        <is>
          <t>Bài</t>
        </is>
      </c>
      <c r="E2" s="8" t="inlineStr">
        <is>
          <t>Số câu cần sinh</t>
        </is>
      </c>
      <c r="F2" s="9" t="inlineStr">
        <is>
          <t>Từ viết hiragana (gạch chân)</t>
        </is>
      </c>
      <c r="G2" s="9" t="inlineStr">
        <is>
          <t>Kanji đúng</t>
        </is>
      </c>
      <c r="H2" s="13" t="inlineStr">
        <is>
          <t>Câu ngữ cảnh</t>
        </is>
      </c>
      <c r="I2" s="13" t="inlineStr">
        <is>
          <t>Kanji nhiễu</t>
        </is>
      </c>
      <c r="J2" s="8" t="inlineStr">
        <is>
          <t>Ghi chú cho AI</t>
        </is>
      </c>
      <c r="K2" s="8" t="inlineStr">
        <is>
          <t>Công cụ sinh</t>
        </is>
      </c>
      <c r="L2" s="8" t="inlineStr">
        <is>
          <t>Người nhập</t>
        </is>
      </c>
      <c r="M2" s="8" t="inlineStr">
        <is>
          <t>Trạng thái</t>
        </is>
      </c>
      <c r="N2" s="10" t="inlineStr">
        <is>
          <t>Số câu đã sinh</t>
        </is>
      </c>
      <c r="O2" s="10" t="inlineStr">
        <is>
          <t>Số câu Approved</t>
        </is>
      </c>
    </row>
    <row r="3">
      <c r="A3" t="inlineStr">
        <is>
          <t>IN_04-0001</t>
        </is>
      </c>
      <c r="C3" t="inlineStr">
        <is>
          <t>入門</t>
        </is>
      </c>
      <c r="D3" t="n">
        <v>1</v>
      </c>
      <c r="E3" t="n">
        <v>3</v>
      </c>
      <c r="F3" t="inlineStr">
        <is>
          <t>やすみ</t>
        </is>
      </c>
      <c r="G3" t="inlineStr">
        <is>
          <t>休み</t>
        </is>
      </c>
      <c r="H3" t="inlineStr">
        <is>
          <t>あしたは やすみです。</t>
        </is>
      </c>
      <c r="I3" t="inlineStr">
        <is>
          <t>体み;休見;安み</t>
        </is>
      </c>
      <c r="J3" t="inlineStr">
        <is>
          <t>VÍ DỤ — xoá dòng này khi dùng thật</t>
        </is>
      </c>
      <c r="K3" t="inlineStr">
        <is>
          <t>ChatGPT</t>
        </is>
      </c>
      <c r="M3" t="inlineStr">
        <is>
          <t>Nháp</t>
        </is>
      </c>
      <c r="N3">
        <f>IF(A3="","",COUNTIF('30_NGAN_HANG'!$B:$B,A3))</f>
        <v/>
      </c>
      <c r="O3">
        <f>IF(A3="","",COUNTIFS('30_NGAN_HANG'!$B:$B,A3,'30_NGAN_HANG'!$Y:$Y,"Approved"))</f>
        <v/>
      </c>
    </row>
    <row r="4">
      <c r="N4">
        <f>IF(A4="","",COUNTIF('30_NGAN_HANG'!$B:$B,A4))</f>
        <v/>
      </c>
      <c r="O4">
        <f>IF(A4="","",COUNTIFS('30_NGAN_HANG'!$B:$B,A4,'30_NGAN_HANG'!$Y:$Y,"Approved"))</f>
        <v/>
      </c>
    </row>
    <row r="5">
      <c r="N5">
        <f>IF(A5="","",COUNTIF('30_NGAN_HANG'!$B:$B,A5))</f>
        <v/>
      </c>
      <c r="O5">
        <f>IF(A5="","",COUNTIFS('30_NGAN_HANG'!$B:$B,A5,'30_NGAN_HANG'!$Y:$Y,"Approved"))</f>
        <v/>
      </c>
    </row>
    <row r="6">
      <c r="N6">
        <f>IF(A6="","",COUNTIF('30_NGAN_HANG'!$B:$B,A6))</f>
        <v/>
      </c>
      <c r="O6">
        <f>IF(A6="","",COUNTIFS('30_NGAN_HANG'!$B:$B,A6,'30_NGAN_HANG'!$Y:$Y,"Approved"))</f>
        <v/>
      </c>
    </row>
    <row r="7">
      <c r="N7">
        <f>IF(A7="","",COUNTIF('30_NGAN_HANG'!$B:$B,A7))</f>
        <v/>
      </c>
      <c r="O7">
        <f>IF(A7="","",COUNTIFS('30_NGAN_HANG'!$B:$B,A7,'30_NGAN_HANG'!$Y:$Y,"Approved"))</f>
        <v/>
      </c>
    </row>
    <row r="8">
      <c r="N8">
        <f>IF(A8="","",COUNTIF('30_NGAN_HANG'!$B:$B,A8))</f>
        <v/>
      </c>
      <c r="O8">
        <f>IF(A8="","",COUNTIFS('30_NGAN_HANG'!$B:$B,A8,'30_NGAN_HANG'!$Y:$Y,"Approved"))</f>
        <v/>
      </c>
    </row>
    <row r="9">
      <c r="N9">
        <f>IF(A9="","",COUNTIF('30_NGAN_HANG'!$B:$B,A9))</f>
        <v/>
      </c>
      <c r="O9">
        <f>IF(A9="","",COUNTIFS('30_NGAN_HANG'!$B:$B,A9,'30_NGAN_HANG'!$Y:$Y,"Approved"))</f>
        <v/>
      </c>
    </row>
    <row r="10">
      <c r="N10">
        <f>IF(A10="","",COUNTIF('30_NGAN_HANG'!$B:$B,A10))</f>
        <v/>
      </c>
      <c r="O10">
        <f>IF(A10="","",COUNTIFS('30_NGAN_HANG'!$B:$B,A10,'30_NGAN_HANG'!$Y:$Y,"Approved"))</f>
        <v/>
      </c>
    </row>
    <row r="11">
      <c r="N11">
        <f>IF(A11="","",COUNTIF('30_NGAN_HANG'!$B:$B,A11))</f>
        <v/>
      </c>
      <c r="O11">
        <f>IF(A11="","",COUNTIFS('30_NGAN_HANG'!$B:$B,A11,'30_NGAN_HANG'!$Y:$Y,"Approved"))</f>
        <v/>
      </c>
    </row>
    <row r="12">
      <c r="N12">
        <f>IF(A12="","",COUNTIF('30_NGAN_HANG'!$B:$B,A12))</f>
        <v/>
      </c>
      <c r="O12">
        <f>IF(A12="","",COUNTIFS('30_NGAN_HANG'!$B:$B,A12,'30_NGAN_HANG'!$Y:$Y,"Approved"))</f>
        <v/>
      </c>
    </row>
    <row r="13">
      <c r="N13">
        <f>IF(A13="","",COUNTIF('30_NGAN_HANG'!$B:$B,A13))</f>
        <v/>
      </c>
      <c r="O13">
        <f>IF(A13="","",COUNTIFS('30_NGAN_HANG'!$B:$B,A13,'30_NGAN_HANG'!$Y:$Y,"Approved"))</f>
        <v/>
      </c>
    </row>
    <row r="14">
      <c r="N14">
        <f>IF(A14="","",COUNTIF('30_NGAN_HANG'!$B:$B,A14))</f>
        <v/>
      </c>
      <c r="O14">
        <f>IF(A14="","",COUNTIFS('30_NGAN_HANG'!$B:$B,A14,'30_NGAN_HANG'!$Y:$Y,"Approved"))</f>
        <v/>
      </c>
    </row>
    <row r="15">
      <c r="N15">
        <f>IF(A15="","",COUNTIF('30_NGAN_HANG'!$B:$B,A15))</f>
        <v/>
      </c>
      <c r="O15">
        <f>IF(A15="","",COUNTIFS('30_NGAN_HANG'!$B:$B,A15,'30_NGAN_HANG'!$Y:$Y,"Approved"))</f>
        <v/>
      </c>
    </row>
    <row r="16">
      <c r="N16">
        <f>IF(A16="","",COUNTIF('30_NGAN_HANG'!$B:$B,A16))</f>
        <v/>
      </c>
      <c r="O16">
        <f>IF(A16="","",COUNTIFS('30_NGAN_HANG'!$B:$B,A16,'30_NGAN_HANG'!$Y:$Y,"Approved"))</f>
        <v/>
      </c>
    </row>
    <row r="17">
      <c r="N17">
        <f>IF(A17="","",COUNTIF('30_NGAN_HANG'!$B:$B,A17))</f>
        <v/>
      </c>
      <c r="O17">
        <f>IF(A17="","",COUNTIFS('30_NGAN_HANG'!$B:$B,A17,'30_NGAN_HANG'!$Y:$Y,"Approved"))</f>
        <v/>
      </c>
    </row>
    <row r="18">
      <c r="N18">
        <f>IF(A18="","",COUNTIF('30_NGAN_HANG'!$B:$B,A18))</f>
        <v/>
      </c>
      <c r="O18">
        <f>IF(A18="","",COUNTIFS('30_NGAN_HANG'!$B:$B,A18,'30_NGAN_HANG'!$Y:$Y,"Approved"))</f>
        <v/>
      </c>
    </row>
    <row r="19">
      <c r="N19">
        <f>IF(A19="","",COUNTIF('30_NGAN_HANG'!$B:$B,A19))</f>
        <v/>
      </c>
      <c r="O19">
        <f>IF(A19="","",COUNTIFS('30_NGAN_HANG'!$B:$B,A19,'30_NGAN_HANG'!$Y:$Y,"Approved"))</f>
        <v/>
      </c>
    </row>
    <row r="20">
      <c r="N20">
        <f>IF(A20="","",COUNTIF('30_NGAN_HANG'!$B:$B,A20))</f>
        <v/>
      </c>
      <c r="O20">
        <f>IF(A20="","",COUNTIFS('30_NGAN_HANG'!$B:$B,A20,'30_NGAN_HANG'!$Y:$Y,"Approved"))</f>
        <v/>
      </c>
    </row>
    <row r="21">
      <c r="N21">
        <f>IF(A21="","",COUNTIF('30_NGAN_HANG'!$B:$B,A21))</f>
        <v/>
      </c>
      <c r="O21">
        <f>IF(A21="","",COUNTIFS('30_NGAN_HANG'!$B:$B,A21,'30_NGAN_HANG'!$Y:$Y,"Approved"))</f>
        <v/>
      </c>
    </row>
    <row r="22">
      <c r="N22">
        <f>IF(A22="","",COUNTIF('30_NGAN_HANG'!$B:$B,A22))</f>
        <v/>
      </c>
      <c r="O22">
        <f>IF(A22="","",COUNTIFS('30_NGAN_HANG'!$B:$B,A22,'30_NGAN_HANG'!$Y:$Y,"Approved"))</f>
        <v/>
      </c>
    </row>
    <row r="23">
      <c r="N23">
        <f>IF(A23="","",COUNTIF('30_NGAN_HANG'!$B:$B,A23))</f>
        <v/>
      </c>
      <c r="O23">
        <f>IF(A23="","",COUNTIFS('30_NGAN_HANG'!$B:$B,A23,'30_NGAN_HANG'!$Y:$Y,"Approved"))</f>
        <v/>
      </c>
    </row>
    <row r="24">
      <c r="N24">
        <f>IF(A24="","",COUNTIF('30_NGAN_HANG'!$B:$B,A24))</f>
        <v/>
      </c>
      <c r="O24">
        <f>IF(A24="","",COUNTIFS('30_NGAN_HANG'!$B:$B,A24,'30_NGAN_HANG'!$Y:$Y,"Approved"))</f>
        <v/>
      </c>
    </row>
    <row r="25">
      <c r="N25">
        <f>IF(A25="","",COUNTIF('30_NGAN_HANG'!$B:$B,A25))</f>
        <v/>
      </c>
      <c r="O25">
        <f>IF(A25="","",COUNTIFS('30_NGAN_HANG'!$B:$B,A25,'30_NGAN_HANG'!$Y:$Y,"Approved"))</f>
        <v/>
      </c>
    </row>
    <row r="26">
      <c r="N26">
        <f>IF(A26="","",COUNTIF('30_NGAN_HANG'!$B:$B,A26))</f>
        <v/>
      </c>
      <c r="O26">
        <f>IF(A26="","",COUNTIFS('30_NGAN_HANG'!$B:$B,A26,'30_NGAN_HANG'!$Y:$Y,"Approved"))</f>
        <v/>
      </c>
    </row>
    <row r="27">
      <c r="N27">
        <f>IF(A27="","",COUNTIF('30_NGAN_HANG'!$B:$B,A27))</f>
        <v/>
      </c>
      <c r="O27">
        <f>IF(A27="","",COUNTIFS('30_NGAN_HANG'!$B:$B,A27,'30_NGAN_HANG'!$Y:$Y,"Approved"))</f>
        <v/>
      </c>
    </row>
    <row r="28">
      <c r="N28">
        <f>IF(A28="","",COUNTIF('30_NGAN_HANG'!$B:$B,A28))</f>
        <v/>
      </c>
      <c r="O28">
        <f>IF(A28="","",COUNTIFS('30_NGAN_HANG'!$B:$B,A28,'30_NGAN_HANG'!$Y:$Y,"Approved"))</f>
        <v/>
      </c>
    </row>
    <row r="29">
      <c r="N29">
        <f>IF(A29="","",COUNTIF('30_NGAN_HANG'!$B:$B,A29))</f>
        <v/>
      </c>
      <c r="O29">
        <f>IF(A29="","",COUNTIFS('30_NGAN_HANG'!$B:$B,A29,'30_NGAN_HANG'!$Y:$Y,"Approved"))</f>
        <v/>
      </c>
    </row>
    <row r="30">
      <c r="N30">
        <f>IF(A30="","",COUNTIF('30_NGAN_HANG'!$B:$B,A30))</f>
        <v/>
      </c>
      <c r="O30">
        <f>IF(A30="","",COUNTIFS('30_NGAN_HANG'!$B:$B,A30,'30_NGAN_HANG'!$Y:$Y,"Approved"))</f>
        <v/>
      </c>
    </row>
    <row r="31">
      <c r="N31">
        <f>IF(A31="","",COUNTIF('30_NGAN_HANG'!$B:$B,A31))</f>
        <v/>
      </c>
      <c r="O31">
        <f>IF(A31="","",COUNTIFS('30_NGAN_HANG'!$B:$B,A31,'30_NGAN_HANG'!$Y:$Y,"Approved"))</f>
        <v/>
      </c>
    </row>
    <row r="32">
      <c r="N32">
        <f>IF(A32="","",COUNTIF('30_NGAN_HANG'!$B:$B,A32))</f>
        <v/>
      </c>
      <c r="O32">
        <f>IF(A32="","",COUNTIFS('30_NGAN_HANG'!$B:$B,A32,'30_NGAN_HANG'!$Y:$Y,"Approved"))</f>
        <v/>
      </c>
    </row>
    <row r="33">
      <c r="N33">
        <f>IF(A33="","",COUNTIF('30_NGAN_HANG'!$B:$B,A33))</f>
        <v/>
      </c>
      <c r="O33">
        <f>IF(A33="","",COUNTIFS('30_NGAN_HANG'!$B:$B,A33,'30_NGAN_HANG'!$Y:$Y,"Approved"))</f>
        <v/>
      </c>
    </row>
    <row r="34">
      <c r="N34">
        <f>IF(A34="","",COUNTIF('30_NGAN_HANG'!$B:$B,A34))</f>
        <v/>
      </c>
      <c r="O34">
        <f>IF(A34="","",COUNTIFS('30_NGAN_HANG'!$B:$B,A34,'30_NGAN_HANG'!$Y:$Y,"Approved"))</f>
        <v/>
      </c>
    </row>
    <row r="35">
      <c r="N35">
        <f>IF(A35="","",COUNTIF('30_NGAN_HANG'!$B:$B,A35))</f>
        <v/>
      </c>
      <c r="O35">
        <f>IF(A35="","",COUNTIFS('30_NGAN_HANG'!$B:$B,A35,'30_NGAN_HANG'!$Y:$Y,"Approved"))</f>
        <v/>
      </c>
    </row>
    <row r="36">
      <c r="N36">
        <f>IF(A36="","",COUNTIF('30_NGAN_HANG'!$B:$B,A36))</f>
        <v/>
      </c>
      <c r="O36">
        <f>IF(A36="","",COUNTIFS('30_NGAN_HANG'!$B:$B,A36,'30_NGAN_HANG'!$Y:$Y,"Approved"))</f>
        <v/>
      </c>
    </row>
    <row r="37">
      <c r="N37">
        <f>IF(A37="","",COUNTIF('30_NGAN_HANG'!$B:$B,A37))</f>
        <v/>
      </c>
      <c r="O37">
        <f>IF(A37="","",COUNTIFS('30_NGAN_HANG'!$B:$B,A37,'30_NGAN_HANG'!$Y:$Y,"Approved"))</f>
        <v/>
      </c>
    </row>
    <row r="38">
      <c r="N38">
        <f>IF(A38="","",COUNTIF('30_NGAN_HANG'!$B:$B,A38))</f>
        <v/>
      </c>
      <c r="O38">
        <f>IF(A38="","",COUNTIFS('30_NGAN_HANG'!$B:$B,A38,'30_NGAN_HANG'!$Y:$Y,"Approved"))</f>
        <v/>
      </c>
    </row>
    <row r="39">
      <c r="N39">
        <f>IF(A39="","",COUNTIF('30_NGAN_HANG'!$B:$B,A39))</f>
        <v/>
      </c>
      <c r="O39">
        <f>IF(A39="","",COUNTIFS('30_NGAN_HANG'!$B:$B,A39,'30_NGAN_HANG'!$Y:$Y,"Approved"))</f>
        <v/>
      </c>
    </row>
    <row r="40">
      <c r="N40">
        <f>IF(A40="","",COUNTIF('30_NGAN_HANG'!$B:$B,A40))</f>
        <v/>
      </c>
      <c r="O40">
        <f>IF(A40="","",COUNTIFS('30_NGAN_HANG'!$B:$B,A40,'30_NGAN_HANG'!$Y:$Y,"Approved"))</f>
        <v/>
      </c>
    </row>
    <row r="41">
      <c r="N41">
        <f>IF(A41="","",COUNTIF('30_NGAN_HANG'!$B:$B,A41))</f>
        <v/>
      </c>
      <c r="O41">
        <f>IF(A41="","",COUNTIFS('30_NGAN_HANG'!$B:$B,A41,'30_NGAN_HANG'!$Y:$Y,"Approved"))</f>
        <v/>
      </c>
    </row>
    <row r="42">
      <c r="N42">
        <f>IF(A42="","",COUNTIF('30_NGAN_HANG'!$B:$B,A42))</f>
        <v/>
      </c>
      <c r="O42">
        <f>IF(A42="","",COUNTIFS('30_NGAN_HANG'!$B:$B,A42,'30_NGAN_HANG'!$Y:$Y,"Approved"))</f>
        <v/>
      </c>
    </row>
    <row r="43">
      <c r="N43">
        <f>IF(A43="","",COUNTIF('30_NGAN_HANG'!$B:$B,A43))</f>
        <v/>
      </c>
      <c r="O43">
        <f>IF(A43="","",COUNTIFS('30_NGAN_HANG'!$B:$B,A43,'30_NGAN_HANG'!$Y:$Y,"Approved"))</f>
        <v/>
      </c>
    </row>
    <row r="44">
      <c r="N44">
        <f>IF(A44="","",COUNTIF('30_NGAN_HANG'!$B:$B,A44))</f>
        <v/>
      </c>
      <c r="O44">
        <f>IF(A44="","",COUNTIFS('30_NGAN_HANG'!$B:$B,A44,'30_NGAN_HANG'!$Y:$Y,"Approved"))</f>
        <v/>
      </c>
    </row>
    <row r="45">
      <c r="N45">
        <f>IF(A45="","",COUNTIF('30_NGAN_HANG'!$B:$B,A45))</f>
        <v/>
      </c>
      <c r="O45">
        <f>IF(A45="","",COUNTIFS('30_NGAN_HANG'!$B:$B,A45,'30_NGAN_HANG'!$Y:$Y,"Approved"))</f>
        <v/>
      </c>
    </row>
    <row r="46">
      <c r="N46">
        <f>IF(A46="","",COUNTIF('30_NGAN_HANG'!$B:$B,A46))</f>
        <v/>
      </c>
      <c r="O46">
        <f>IF(A46="","",COUNTIFS('30_NGAN_HANG'!$B:$B,A46,'30_NGAN_HANG'!$Y:$Y,"Approved"))</f>
        <v/>
      </c>
    </row>
    <row r="47">
      <c r="N47">
        <f>IF(A47="","",COUNTIF('30_NGAN_HANG'!$B:$B,A47))</f>
        <v/>
      </c>
      <c r="O47">
        <f>IF(A47="","",COUNTIFS('30_NGAN_HANG'!$B:$B,A47,'30_NGAN_HANG'!$Y:$Y,"Approved"))</f>
        <v/>
      </c>
    </row>
    <row r="48">
      <c r="N48">
        <f>IF(A48="","",COUNTIF('30_NGAN_HANG'!$B:$B,A48))</f>
        <v/>
      </c>
      <c r="O48">
        <f>IF(A48="","",COUNTIFS('30_NGAN_HANG'!$B:$B,A48,'30_NGAN_HANG'!$Y:$Y,"Approved"))</f>
        <v/>
      </c>
    </row>
    <row r="49">
      <c r="N49">
        <f>IF(A49="","",COUNTIF('30_NGAN_HANG'!$B:$B,A49))</f>
        <v/>
      </c>
      <c r="O49">
        <f>IF(A49="","",COUNTIFS('30_NGAN_HANG'!$B:$B,A49,'30_NGAN_HANG'!$Y:$Y,"Approved"))</f>
        <v/>
      </c>
    </row>
    <row r="50">
      <c r="N50">
        <f>IF(A50="","",COUNTIF('30_NGAN_HANG'!$B:$B,A50))</f>
        <v/>
      </c>
      <c r="O50">
        <f>IF(A50="","",COUNTIFS('30_NGAN_HANG'!$B:$B,A50,'30_NGAN_HANG'!$Y:$Y,"Approved"))</f>
        <v/>
      </c>
    </row>
    <row r="51">
      <c r="N51">
        <f>IF(A51="","",COUNTIF('30_NGAN_HANG'!$B:$B,A51))</f>
        <v/>
      </c>
      <c r="O51">
        <f>IF(A51="","",COUNTIFS('30_NGAN_HANG'!$B:$B,A51,'30_NGAN_HANG'!$Y:$Y,"Approved"))</f>
        <v/>
      </c>
    </row>
    <row r="52">
      <c r="N52">
        <f>IF(A52="","",COUNTIF('30_NGAN_HANG'!$B:$B,A52))</f>
        <v/>
      </c>
      <c r="O52">
        <f>IF(A52="","",COUNTIFS('30_NGAN_HANG'!$B:$B,A52,'30_NGAN_HANG'!$Y:$Y,"Approved"))</f>
        <v/>
      </c>
    </row>
    <row r="53">
      <c r="N53">
        <f>IF(A53="","",COUNTIF('30_NGAN_HANG'!$B:$B,A53))</f>
        <v/>
      </c>
      <c r="O53">
        <f>IF(A53="","",COUNTIFS('30_NGAN_HANG'!$B:$B,A53,'30_NGAN_HANG'!$Y:$Y,"Approved"))</f>
        <v/>
      </c>
    </row>
    <row r="54">
      <c r="N54">
        <f>IF(A54="","",COUNTIF('30_NGAN_HANG'!$B:$B,A54))</f>
        <v/>
      </c>
      <c r="O54">
        <f>IF(A54="","",COUNTIFS('30_NGAN_HANG'!$B:$B,A54,'30_NGAN_HANG'!$Y:$Y,"Approved"))</f>
        <v/>
      </c>
    </row>
    <row r="55">
      <c r="N55">
        <f>IF(A55="","",COUNTIF('30_NGAN_HANG'!$B:$B,A55))</f>
        <v/>
      </c>
      <c r="O55">
        <f>IF(A55="","",COUNTIFS('30_NGAN_HANG'!$B:$B,A55,'30_NGAN_HANG'!$Y:$Y,"Approved"))</f>
        <v/>
      </c>
    </row>
    <row r="56">
      <c r="N56">
        <f>IF(A56="","",COUNTIF('30_NGAN_HANG'!$B:$B,A56))</f>
        <v/>
      </c>
      <c r="O56">
        <f>IF(A56="","",COUNTIFS('30_NGAN_HANG'!$B:$B,A56,'30_NGAN_HANG'!$Y:$Y,"Approved"))</f>
        <v/>
      </c>
    </row>
    <row r="57">
      <c r="N57">
        <f>IF(A57="","",COUNTIF('30_NGAN_HANG'!$B:$B,A57))</f>
        <v/>
      </c>
      <c r="O57">
        <f>IF(A57="","",COUNTIFS('30_NGAN_HANG'!$B:$B,A57,'30_NGAN_HANG'!$Y:$Y,"Approved"))</f>
        <v/>
      </c>
    </row>
    <row r="58">
      <c r="N58">
        <f>IF(A58="","",COUNTIF('30_NGAN_HANG'!$B:$B,A58))</f>
        <v/>
      </c>
      <c r="O58">
        <f>IF(A58="","",COUNTIFS('30_NGAN_HANG'!$B:$B,A58,'30_NGAN_HANG'!$Y:$Y,"Approved"))</f>
        <v/>
      </c>
    </row>
    <row r="59">
      <c r="N59">
        <f>IF(A59="","",COUNTIF('30_NGAN_HANG'!$B:$B,A59))</f>
        <v/>
      </c>
      <c r="O59">
        <f>IF(A59="","",COUNTIFS('30_NGAN_HANG'!$B:$B,A59,'30_NGAN_HANG'!$Y:$Y,"Approved"))</f>
        <v/>
      </c>
    </row>
    <row r="60">
      <c r="N60">
        <f>IF(A60="","",COUNTIF('30_NGAN_HANG'!$B:$B,A60))</f>
        <v/>
      </c>
      <c r="O60">
        <f>IF(A60="","",COUNTIFS('30_NGAN_HANG'!$B:$B,A60,'30_NGAN_HANG'!$Y:$Y,"Approved"))</f>
        <v/>
      </c>
    </row>
    <row r="61">
      <c r="N61">
        <f>IF(A61="","",COUNTIF('30_NGAN_HANG'!$B:$B,A61))</f>
        <v/>
      </c>
      <c r="O61">
        <f>IF(A61="","",COUNTIFS('30_NGAN_HANG'!$B:$B,A61,'30_NGAN_HANG'!$Y:$Y,"Approved"))</f>
        <v/>
      </c>
    </row>
    <row r="62">
      <c r="N62">
        <f>IF(A62="","",COUNTIF('30_NGAN_HANG'!$B:$B,A62))</f>
        <v/>
      </c>
      <c r="O62">
        <f>IF(A62="","",COUNTIFS('30_NGAN_HANG'!$B:$B,A62,'30_NGAN_HANG'!$Y:$Y,"Approved"))</f>
        <v/>
      </c>
    </row>
    <row r="63">
      <c r="N63">
        <f>IF(A63="","",COUNTIF('30_NGAN_HANG'!$B:$B,A63))</f>
        <v/>
      </c>
      <c r="O63">
        <f>IF(A63="","",COUNTIFS('30_NGAN_HANG'!$B:$B,A63,'30_NGAN_HANG'!$Y:$Y,"Approved"))</f>
        <v/>
      </c>
    </row>
    <row r="64">
      <c r="N64">
        <f>IF(A64="","",COUNTIF('30_NGAN_HANG'!$B:$B,A64))</f>
        <v/>
      </c>
      <c r="O64">
        <f>IF(A64="","",COUNTIFS('30_NGAN_HANG'!$B:$B,A64,'30_NGAN_HANG'!$Y:$Y,"Approved"))</f>
        <v/>
      </c>
    </row>
    <row r="65">
      <c r="N65">
        <f>IF(A65="","",COUNTIF('30_NGAN_HANG'!$B:$B,A65))</f>
        <v/>
      </c>
      <c r="O65">
        <f>IF(A65="","",COUNTIFS('30_NGAN_HANG'!$B:$B,A65,'30_NGAN_HANG'!$Y:$Y,"Approved"))</f>
        <v/>
      </c>
    </row>
    <row r="66">
      <c r="N66">
        <f>IF(A66="","",COUNTIF('30_NGAN_HANG'!$B:$B,A66))</f>
        <v/>
      </c>
      <c r="O66">
        <f>IF(A66="","",COUNTIFS('30_NGAN_HANG'!$B:$B,A66,'30_NGAN_HANG'!$Y:$Y,"Approved"))</f>
        <v/>
      </c>
    </row>
    <row r="67">
      <c r="N67">
        <f>IF(A67="","",COUNTIF('30_NGAN_HANG'!$B:$B,A67))</f>
        <v/>
      </c>
      <c r="O67">
        <f>IF(A67="","",COUNTIFS('30_NGAN_HANG'!$B:$B,A67,'30_NGAN_HANG'!$Y:$Y,"Approved"))</f>
        <v/>
      </c>
    </row>
    <row r="68">
      <c r="N68">
        <f>IF(A68="","",COUNTIF('30_NGAN_HANG'!$B:$B,A68))</f>
        <v/>
      </c>
      <c r="O68">
        <f>IF(A68="","",COUNTIFS('30_NGAN_HANG'!$B:$B,A68,'30_NGAN_HANG'!$Y:$Y,"Approved"))</f>
        <v/>
      </c>
    </row>
    <row r="69">
      <c r="N69">
        <f>IF(A69="","",COUNTIF('30_NGAN_HANG'!$B:$B,A69))</f>
        <v/>
      </c>
      <c r="O69">
        <f>IF(A69="","",COUNTIFS('30_NGAN_HANG'!$B:$B,A69,'30_NGAN_HANG'!$Y:$Y,"Approved"))</f>
        <v/>
      </c>
    </row>
    <row r="70">
      <c r="N70">
        <f>IF(A70="","",COUNTIF('30_NGAN_HANG'!$B:$B,A70))</f>
        <v/>
      </c>
      <c r="O70">
        <f>IF(A70="","",COUNTIFS('30_NGAN_HANG'!$B:$B,A70,'30_NGAN_HANG'!$Y:$Y,"Approved"))</f>
        <v/>
      </c>
    </row>
    <row r="71">
      <c r="N71">
        <f>IF(A71="","",COUNTIF('30_NGAN_HANG'!$B:$B,A71))</f>
        <v/>
      </c>
      <c r="O71">
        <f>IF(A71="","",COUNTIFS('30_NGAN_HANG'!$B:$B,A71,'30_NGAN_HANG'!$Y:$Y,"Approved"))</f>
        <v/>
      </c>
    </row>
    <row r="72">
      <c r="N72">
        <f>IF(A72="","",COUNTIF('30_NGAN_HANG'!$B:$B,A72))</f>
        <v/>
      </c>
      <c r="O72">
        <f>IF(A72="","",COUNTIFS('30_NGAN_HANG'!$B:$B,A72,'30_NGAN_HANG'!$Y:$Y,"Approved"))</f>
        <v/>
      </c>
    </row>
    <row r="73">
      <c r="N73">
        <f>IF(A73="","",COUNTIF('30_NGAN_HANG'!$B:$B,A73))</f>
        <v/>
      </c>
      <c r="O73">
        <f>IF(A73="","",COUNTIFS('30_NGAN_HANG'!$B:$B,A73,'30_NGAN_HANG'!$Y:$Y,"Approved"))</f>
        <v/>
      </c>
    </row>
    <row r="74">
      <c r="N74">
        <f>IF(A74="","",COUNTIF('30_NGAN_HANG'!$B:$B,A74))</f>
        <v/>
      </c>
      <c r="O74">
        <f>IF(A74="","",COUNTIFS('30_NGAN_HANG'!$B:$B,A74,'30_NGAN_HANG'!$Y:$Y,"Approved"))</f>
        <v/>
      </c>
    </row>
    <row r="75">
      <c r="N75">
        <f>IF(A75="","",COUNTIF('30_NGAN_HANG'!$B:$B,A75))</f>
        <v/>
      </c>
      <c r="O75">
        <f>IF(A75="","",COUNTIFS('30_NGAN_HANG'!$B:$B,A75,'30_NGAN_HANG'!$Y:$Y,"Approved"))</f>
        <v/>
      </c>
    </row>
    <row r="76">
      <c r="N76">
        <f>IF(A76="","",COUNTIF('30_NGAN_HANG'!$B:$B,A76))</f>
        <v/>
      </c>
      <c r="O76">
        <f>IF(A76="","",COUNTIFS('30_NGAN_HANG'!$B:$B,A76,'30_NGAN_HANG'!$Y:$Y,"Approved"))</f>
        <v/>
      </c>
    </row>
    <row r="77">
      <c r="N77">
        <f>IF(A77="","",COUNTIF('30_NGAN_HANG'!$B:$B,A77))</f>
        <v/>
      </c>
      <c r="O77">
        <f>IF(A77="","",COUNTIFS('30_NGAN_HANG'!$B:$B,A77,'30_NGAN_HANG'!$Y:$Y,"Approved"))</f>
        <v/>
      </c>
    </row>
    <row r="78">
      <c r="N78">
        <f>IF(A78="","",COUNTIF('30_NGAN_HANG'!$B:$B,A78))</f>
        <v/>
      </c>
      <c r="O78">
        <f>IF(A78="","",COUNTIFS('30_NGAN_HANG'!$B:$B,A78,'30_NGAN_HANG'!$Y:$Y,"Approved"))</f>
        <v/>
      </c>
    </row>
    <row r="79">
      <c r="N79">
        <f>IF(A79="","",COUNTIF('30_NGAN_HANG'!$B:$B,A79))</f>
        <v/>
      </c>
      <c r="O79">
        <f>IF(A79="","",COUNTIFS('30_NGAN_HANG'!$B:$B,A79,'30_NGAN_HANG'!$Y:$Y,"Approved"))</f>
        <v/>
      </c>
    </row>
    <row r="80">
      <c r="N80">
        <f>IF(A80="","",COUNTIF('30_NGAN_HANG'!$B:$B,A80))</f>
        <v/>
      </c>
      <c r="O80">
        <f>IF(A80="","",COUNTIFS('30_NGAN_HANG'!$B:$B,A80,'30_NGAN_HANG'!$Y:$Y,"Approved"))</f>
        <v/>
      </c>
    </row>
    <row r="81">
      <c r="N81">
        <f>IF(A81="","",COUNTIF('30_NGAN_HANG'!$B:$B,A81))</f>
        <v/>
      </c>
      <c r="O81">
        <f>IF(A81="","",COUNTIFS('30_NGAN_HANG'!$B:$B,A81,'30_NGAN_HANG'!$Y:$Y,"Approved"))</f>
        <v/>
      </c>
    </row>
    <row r="82">
      <c r="N82">
        <f>IF(A82="","",COUNTIF('30_NGAN_HANG'!$B:$B,A82))</f>
        <v/>
      </c>
      <c r="O82">
        <f>IF(A82="","",COUNTIFS('30_NGAN_HANG'!$B:$B,A82,'30_NGAN_HANG'!$Y:$Y,"Approved"))</f>
        <v/>
      </c>
    </row>
    <row r="83">
      <c r="N83">
        <f>IF(A83="","",COUNTIF('30_NGAN_HANG'!$B:$B,A83))</f>
        <v/>
      </c>
      <c r="O83">
        <f>IF(A83="","",COUNTIFS('30_NGAN_HANG'!$B:$B,A83,'30_NGAN_HANG'!$Y:$Y,"Approved"))</f>
        <v/>
      </c>
    </row>
    <row r="84">
      <c r="N84">
        <f>IF(A84="","",COUNTIF('30_NGAN_HANG'!$B:$B,A84))</f>
        <v/>
      </c>
      <c r="O84">
        <f>IF(A84="","",COUNTIFS('30_NGAN_HANG'!$B:$B,A84,'30_NGAN_HANG'!$Y:$Y,"Approved"))</f>
        <v/>
      </c>
    </row>
    <row r="85">
      <c r="N85">
        <f>IF(A85="","",COUNTIF('30_NGAN_HANG'!$B:$B,A85))</f>
        <v/>
      </c>
      <c r="O85">
        <f>IF(A85="","",COUNTIFS('30_NGAN_HANG'!$B:$B,A85,'30_NGAN_HANG'!$Y:$Y,"Approved"))</f>
        <v/>
      </c>
    </row>
    <row r="86">
      <c r="N86">
        <f>IF(A86="","",COUNTIF('30_NGAN_HANG'!$B:$B,A86))</f>
        <v/>
      </c>
      <c r="O86">
        <f>IF(A86="","",COUNTIFS('30_NGAN_HANG'!$B:$B,A86,'30_NGAN_HANG'!$Y:$Y,"Approved"))</f>
        <v/>
      </c>
    </row>
    <row r="87">
      <c r="N87">
        <f>IF(A87="","",COUNTIF('30_NGAN_HANG'!$B:$B,A87))</f>
        <v/>
      </c>
      <c r="O87">
        <f>IF(A87="","",COUNTIFS('30_NGAN_HANG'!$B:$B,A87,'30_NGAN_HANG'!$Y:$Y,"Approved"))</f>
        <v/>
      </c>
    </row>
    <row r="88">
      <c r="N88">
        <f>IF(A88="","",COUNTIF('30_NGAN_HANG'!$B:$B,A88))</f>
        <v/>
      </c>
      <c r="O88">
        <f>IF(A88="","",COUNTIFS('30_NGAN_HANG'!$B:$B,A88,'30_NGAN_HANG'!$Y:$Y,"Approved"))</f>
        <v/>
      </c>
    </row>
    <row r="89">
      <c r="N89">
        <f>IF(A89="","",COUNTIF('30_NGAN_HANG'!$B:$B,A89))</f>
        <v/>
      </c>
      <c r="O89">
        <f>IF(A89="","",COUNTIFS('30_NGAN_HANG'!$B:$B,A89,'30_NGAN_HANG'!$Y:$Y,"Approved"))</f>
        <v/>
      </c>
    </row>
    <row r="90">
      <c r="N90">
        <f>IF(A90="","",COUNTIF('30_NGAN_HANG'!$B:$B,A90))</f>
        <v/>
      </c>
      <c r="O90">
        <f>IF(A90="","",COUNTIFS('30_NGAN_HANG'!$B:$B,A90,'30_NGAN_HANG'!$Y:$Y,"Approved"))</f>
        <v/>
      </c>
    </row>
    <row r="91">
      <c r="N91">
        <f>IF(A91="","",COUNTIF('30_NGAN_HANG'!$B:$B,A91))</f>
        <v/>
      </c>
      <c r="O91">
        <f>IF(A91="","",COUNTIFS('30_NGAN_HANG'!$B:$B,A91,'30_NGAN_HANG'!$Y:$Y,"Approved"))</f>
        <v/>
      </c>
    </row>
    <row r="92">
      <c r="N92">
        <f>IF(A92="","",COUNTIF('30_NGAN_HANG'!$B:$B,A92))</f>
        <v/>
      </c>
      <c r="O92">
        <f>IF(A92="","",COUNTIFS('30_NGAN_HANG'!$B:$B,A92,'30_NGAN_HANG'!$Y:$Y,"Approved"))</f>
        <v/>
      </c>
    </row>
    <row r="93">
      <c r="N93">
        <f>IF(A93="","",COUNTIF('30_NGAN_HANG'!$B:$B,A93))</f>
        <v/>
      </c>
      <c r="O93">
        <f>IF(A93="","",COUNTIFS('30_NGAN_HANG'!$B:$B,A93,'30_NGAN_HANG'!$Y:$Y,"Approved"))</f>
        <v/>
      </c>
    </row>
    <row r="94">
      <c r="N94">
        <f>IF(A94="","",COUNTIF('30_NGAN_HANG'!$B:$B,A94))</f>
        <v/>
      </c>
      <c r="O94">
        <f>IF(A94="","",COUNTIFS('30_NGAN_HANG'!$B:$B,A94,'30_NGAN_HANG'!$Y:$Y,"Approved"))</f>
        <v/>
      </c>
    </row>
    <row r="95">
      <c r="N95">
        <f>IF(A95="","",COUNTIF('30_NGAN_HANG'!$B:$B,A95))</f>
        <v/>
      </c>
      <c r="O95">
        <f>IF(A95="","",COUNTIFS('30_NGAN_HANG'!$B:$B,A95,'30_NGAN_HANG'!$Y:$Y,"Approved"))</f>
        <v/>
      </c>
    </row>
    <row r="96">
      <c r="N96">
        <f>IF(A96="","",COUNTIF('30_NGAN_HANG'!$B:$B,A96))</f>
        <v/>
      </c>
      <c r="O96">
        <f>IF(A96="","",COUNTIFS('30_NGAN_HANG'!$B:$B,A96,'30_NGAN_HANG'!$Y:$Y,"Approved"))</f>
        <v/>
      </c>
    </row>
    <row r="97">
      <c r="N97">
        <f>IF(A97="","",COUNTIF('30_NGAN_HANG'!$B:$B,A97))</f>
        <v/>
      </c>
      <c r="O97">
        <f>IF(A97="","",COUNTIFS('30_NGAN_HANG'!$B:$B,A97,'30_NGAN_HANG'!$Y:$Y,"Approved"))</f>
        <v/>
      </c>
    </row>
    <row r="98">
      <c r="N98">
        <f>IF(A98="","",COUNTIF('30_NGAN_HANG'!$B:$B,A98))</f>
        <v/>
      </c>
      <c r="O98">
        <f>IF(A98="","",COUNTIFS('30_NGAN_HANG'!$B:$B,A98,'30_NGAN_HANG'!$Y:$Y,"Approved"))</f>
        <v/>
      </c>
    </row>
    <row r="99">
      <c r="N99">
        <f>IF(A99="","",COUNTIF('30_NGAN_HANG'!$B:$B,A99))</f>
        <v/>
      </c>
      <c r="O99">
        <f>IF(A99="","",COUNTIFS('30_NGAN_HANG'!$B:$B,A99,'30_NGAN_HANG'!$Y:$Y,"Approved"))</f>
        <v/>
      </c>
    </row>
    <row r="100">
      <c r="N100">
        <f>IF(A100="","",COUNTIF('30_NGAN_HANG'!$B:$B,A100))</f>
        <v/>
      </c>
      <c r="O100">
        <f>IF(A100="","",COUNTIFS('30_NGAN_HANG'!$B:$B,A100,'30_NGAN_HANG'!$Y:$Y,"Approved"))</f>
        <v/>
      </c>
    </row>
    <row r="101">
      <c r="N101">
        <f>IF(A101="","",COUNTIF('30_NGAN_HANG'!$B:$B,A101))</f>
        <v/>
      </c>
      <c r="O101">
        <f>IF(A101="","",COUNTIFS('30_NGAN_HANG'!$B:$B,A101,'30_NGAN_HANG'!$Y:$Y,"Approved"))</f>
        <v/>
      </c>
    </row>
    <row r="102">
      <c r="N102">
        <f>IF(A102="","",COUNTIF('30_NGAN_HANG'!$B:$B,A102))</f>
        <v/>
      </c>
      <c r="O102">
        <f>IF(A102="","",COUNTIFS('30_NGAN_HANG'!$B:$B,A102,'30_NGAN_HANG'!$Y:$Y,"Approved"))</f>
        <v/>
      </c>
    </row>
    <row r="103">
      <c r="N103">
        <f>IF(A103="","",COUNTIF('30_NGAN_HANG'!$B:$B,A103))</f>
        <v/>
      </c>
      <c r="O103">
        <f>IF(A103="","",COUNTIFS('30_NGAN_HANG'!$B:$B,A103,'30_NGAN_HANG'!$Y:$Y,"Approved"))</f>
        <v/>
      </c>
    </row>
    <row r="104">
      <c r="N104">
        <f>IF(A104="","",COUNTIF('30_NGAN_HANG'!$B:$B,A104))</f>
        <v/>
      </c>
      <c r="O104">
        <f>IF(A104="","",COUNTIFS('30_NGAN_HANG'!$B:$B,A104,'30_NGAN_HANG'!$Y:$Y,"Approved"))</f>
        <v/>
      </c>
    </row>
    <row r="105">
      <c r="N105">
        <f>IF(A105="","",COUNTIF('30_NGAN_HANG'!$B:$B,A105))</f>
        <v/>
      </c>
      <c r="O105">
        <f>IF(A105="","",COUNTIFS('30_NGAN_HANG'!$B:$B,A105,'30_NGAN_HANG'!$Y:$Y,"Approved"))</f>
        <v/>
      </c>
    </row>
    <row r="106">
      <c r="N106">
        <f>IF(A106="","",COUNTIF('30_NGAN_HANG'!$B:$B,A106))</f>
        <v/>
      </c>
      <c r="O106">
        <f>IF(A106="","",COUNTIFS('30_NGAN_HANG'!$B:$B,A106,'30_NGAN_HANG'!$Y:$Y,"Approved"))</f>
        <v/>
      </c>
    </row>
    <row r="107">
      <c r="N107">
        <f>IF(A107="","",COUNTIF('30_NGAN_HANG'!$B:$B,A107))</f>
        <v/>
      </c>
      <c r="O107">
        <f>IF(A107="","",COUNTIFS('30_NGAN_HANG'!$B:$B,A107,'30_NGAN_HANG'!$Y:$Y,"Approved"))</f>
        <v/>
      </c>
    </row>
    <row r="108">
      <c r="N108">
        <f>IF(A108="","",COUNTIF('30_NGAN_HANG'!$B:$B,A108))</f>
        <v/>
      </c>
      <c r="O108">
        <f>IF(A108="","",COUNTIFS('30_NGAN_HANG'!$B:$B,A108,'30_NGAN_HANG'!$Y:$Y,"Approved"))</f>
        <v/>
      </c>
    </row>
    <row r="109">
      <c r="N109">
        <f>IF(A109="","",COUNTIF('30_NGAN_HANG'!$B:$B,A109))</f>
        <v/>
      </c>
      <c r="O109">
        <f>IF(A109="","",COUNTIFS('30_NGAN_HANG'!$B:$B,A109,'30_NGAN_HANG'!$Y:$Y,"Approved"))</f>
        <v/>
      </c>
    </row>
    <row r="110">
      <c r="N110">
        <f>IF(A110="","",COUNTIF('30_NGAN_HANG'!$B:$B,A110))</f>
        <v/>
      </c>
      <c r="O110">
        <f>IF(A110="","",COUNTIFS('30_NGAN_HANG'!$B:$B,A110,'30_NGAN_HANG'!$Y:$Y,"Approved"))</f>
        <v/>
      </c>
    </row>
    <row r="111">
      <c r="N111">
        <f>IF(A111="","",COUNTIF('30_NGAN_HANG'!$B:$B,A111))</f>
        <v/>
      </c>
      <c r="O111">
        <f>IF(A111="","",COUNTIFS('30_NGAN_HANG'!$B:$B,A111,'30_NGAN_HANG'!$Y:$Y,"Approved"))</f>
        <v/>
      </c>
    </row>
    <row r="112">
      <c r="N112">
        <f>IF(A112="","",COUNTIF('30_NGAN_HANG'!$B:$B,A112))</f>
        <v/>
      </c>
      <c r="O112">
        <f>IF(A112="","",COUNTIFS('30_NGAN_HANG'!$B:$B,A112,'30_NGAN_HANG'!$Y:$Y,"Approved"))</f>
        <v/>
      </c>
    </row>
    <row r="113">
      <c r="N113">
        <f>IF(A113="","",COUNTIF('30_NGAN_HANG'!$B:$B,A113))</f>
        <v/>
      </c>
      <c r="O113">
        <f>IF(A113="","",COUNTIFS('30_NGAN_HANG'!$B:$B,A113,'30_NGAN_HANG'!$Y:$Y,"Approved"))</f>
        <v/>
      </c>
    </row>
    <row r="114">
      <c r="N114">
        <f>IF(A114="","",COUNTIF('30_NGAN_HANG'!$B:$B,A114))</f>
        <v/>
      </c>
      <c r="O114">
        <f>IF(A114="","",COUNTIFS('30_NGAN_HANG'!$B:$B,A114,'30_NGAN_HANG'!$Y:$Y,"Approved"))</f>
        <v/>
      </c>
    </row>
    <row r="115">
      <c r="N115">
        <f>IF(A115="","",COUNTIF('30_NGAN_HANG'!$B:$B,A115))</f>
        <v/>
      </c>
      <c r="O115">
        <f>IF(A115="","",COUNTIFS('30_NGAN_HANG'!$B:$B,A115,'30_NGAN_HANG'!$Y:$Y,"Approved"))</f>
        <v/>
      </c>
    </row>
    <row r="116">
      <c r="N116">
        <f>IF(A116="","",COUNTIF('30_NGAN_HANG'!$B:$B,A116))</f>
        <v/>
      </c>
      <c r="O116">
        <f>IF(A116="","",COUNTIFS('30_NGAN_HANG'!$B:$B,A116,'30_NGAN_HANG'!$Y:$Y,"Approved"))</f>
        <v/>
      </c>
    </row>
    <row r="117">
      <c r="N117">
        <f>IF(A117="","",COUNTIF('30_NGAN_HANG'!$B:$B,A117))</f>
        <v/>
      </c>
      <c r="O117">
        <f>IF(A117="","",COUNTIFS('30_NGAN_HANG'!$B:$B,A117,'30_NGAN_HANG'!$Y:$Y,"Approved"))</f>
        <v/>
      </c>
    </row>
    <row r="118">
      <c r="N118">
        <f>IF(A118="","",COUNTIF('30_NGAN_HANG'!$B:$B,A118))</f>
        <v/>
      </c>
      <c r="O118">
        <f>IF(A118="","",COUNTIFS('30_NGAN_HANG'!$B:$B,A118,'30_NGAN_HANG'!$Y:$Y,"Approved"))</f>
        <v/>
      </c>
    </row>
    <row r="119">
      <c r="N119">
        <f>IF(A119="","",COUNTIF('30_NGAN_HANG'!$B:$B,A119))</f>
        <v/>
      </c>
      <c r="O119">
        <f>IF(A119="","",COUNTIFS('30_NGAN_HANG'!$B:$B,A119,'30_NGAN_HANG'!$Y:$Y,"Approved"))</f>
        <v/>
      </c>
    </row>
    <row r="120">
      <c r="N120">
        <f>IF(A120="","",COUNTIF('30_NGAN_HANG'!$B:$B,A120))</f>
        <v/>
      </c>
      <c r="O120">
        <f>IF(A120="","",COUNTIFS('30_NGAN_HANG'!$B:$B,A120,'30_NGAN_HANG'!$Y:$Y,"Approved"))</f>
        <v/>
      </c>
    </row>
    <row r="121">
      <c r="N121">
        <f>IF(A121="","",COUNTIF('30_NGAN_HANG'!$B:$B,A121))</f>
        <v/>
      </c>
      <c r="O121">
        <f>IF(A121="","",COUNTIFS('30_NGAN_HANG'!$B:$B,A121,'30_NGAN_HANG'!$Y:$Y,"Approved"))</f>
        <v/>
      </c>
    </row>
    <row r="122">
      <c r="N122">
        <f>IF(A122="","",COUNTIF('30_NGAN_HANG'!$B:$B,A122))</f>
        <v/>
      </c>
      <c r="O122">
        <f>IF(A122="","",COUNTIFS('30_NGAN_HANG'!$B:$B,A122,'30_NGAN_HANG'!$Y:$Y,"Approved"))</f>
        <v/>
      </c>
    </row>
    <row r="123">
      <c r="N123">
        <f>IF(A123="","",COUNTIF('30_NGAN_HANG'!$B:$B,A123))</f>
        <v/>
      </c>
      <c r="O123">
        <f>IF(A123="","",COUNTIFS('30_NGAN_HANG'!$B:$B,A123,'30_NGAN_HANG'!$Y:$Y,"Approved"))</f>
        <v/>
      </c>
    </row>
    <row r="124">
      <c r="N124">
        <f>IF(A124="","",COUNTIF('30_NGAN_HANG'!$B:$B,A124))</f>
        <v/>
      </c>
      <c r="O124">
        <f>IF(A124="","",COUNTIFS('30_NGAN_HANG'!$B:$B,A124,'30_NGAN_HANG'!$Y:$Y,"Approved"))</f>
        <v/>
      </c>
    </row>
    <row r="125">
      <c r="N125">
        <f>IF(A125="","",COUNTIF('30_NGAN_HANG'!$B:$B,A125))</f>
        <v/>
      </c>
      <c r="O125">
        <f>IF(A125="","",COUNTIFS('30_NGAN_HANG'!$B:$B,A125,'30_NGAN_HANG'!$Y:$Y,"Approved"))</f>
        <v/>
      </c>
    </row>
    <row r="126">
      <c r="N126">
        <f>IF(A126="","",COUNTIF('30_NGAN_HANG'!$B:$B,A126))</f>
        <v/>
      </c>
      <c r="O126">
        <f>IF(A126="","",COUNTIFS('30_NGAN_HANG'!$B:$B,A126,'30_NGAN_HANG'!$Y:$Y,"Approved"))</f>
        <v/>
      </c>
    </row>
    <row r="127">
      <c r="N127">
        <f>IF(A127="","",COUNTIF('30_NGAN_HANG'!$B:$B,A127))</f>
        <v/>
      </c>
      <c r="O127">
        <f>IF(A127="","",COUNTIFS('30_NGAN_HANG'!$B:$B,A127,'30_NGAN_HANG'!$Y:$Y,"Approved"))</f>
        <v/>
      </c>
    </row>
    <row r="128">
      <c r="N128">
        <f>IF(A128="","",COUNTIF('30_NGAN_HANG'!$B:$B,A128))</f>
        <v/>
      </c>
      <c r="O128">
        <f>IF(A128="","",COUNTIFS('30_NGAN_HANG'!$B:$B,A128,'30_NGAN_HANG'!$Y:$Y,"Approved"))</f>
        <v/>
      </c>
    </row>
    <row r="129">
      <c r="N129">
        <f>IF(A129="","",COUNTIF('30_NGAN_HANG'!$B:$B,A129))</f>
        <v/>
      </c>
      <c r="O129">
        <f>IF(A129="","",COUNTIFS('30_NGAN_HANG'!$B:$B,A129,'30_NGAN_HANG'!$Y:$Y,"Approved"))</f>
        <v/>
      </c>
    </row>
    <row r="130">
      <c r="N130">
        <f>IF(A130="","",COUNTIF('30_NGAN_HANG'!$B:$B,A130))</f>
        <v/>
      </c>
      <c r="O130">
        <f>IF(A130="","",COUNTIFS('30_NGAN_HANG'!$B:$B,A130,'30_NGAN_HANG'!$Y:$Y,"Approved"))</f>
        <v/>
      </c>
    </row>
    <row r="131">
      <c r="N131">
        <f>IF(A131="","",COUNTIF('30_NGAN_HANG'!$B:$B,A131))</f>
        <v/>
      </c>
      <c r="O131">
        <f>IF(A131="","",COUNTIFS('30_NGAN_HANG'!$B:$B,A131,'30_NGAN_HANG'!$Y:$Y,"Approved"))</f>
        <v/>
      </c>
    </row>
    <row r="132">
      <c r="N132">
        <f>IF(A132="","",COUNTIF('30_NGAN_HANG'!$B:$B,A132))</f>
        <v/>
      </c>
      <c r="O132">
        <f>IF(A132="","",COUNTIFS('30_NGAN_HANG'!$B:$B,A132,'30_NGAN_HANG'!$Y:$Y,"Approved"))</f>
        <v/>
      </c>
    </row>
    <row r="133">
      <c r="N133">
        <f>IF(A133="","",COUNTIF('30_NGAN_HANG'!$B:$B,A133))</f>
        <v/>
      </c>
      <c r="O133">
        <f>IF(A133="","",COUNTIFS('30_NGAN_HANG'!$B:$B,A133,'30_NGAN_HANG'!$Y:$Y,"Approved"))</f>
        <v/>
      </c>
    </row>
    <row r="134">
      <c r="N134">
        <f>IF(A134="","",COUNTIF('30_NGAN_HANG'!$B:$B,A134))</f>
        <v/>
      </c>
      <c r="O134">
        <f>IF(A134="","",COUNTIFS('30_NGAN_HANG'!$B:$B,A134,'30_NGAN_HANG'!$Y:$Y,"Approved"))</f>
        <v/>
      </c>
    </row>
    <row r="135">
      <c r="N135">
        <f>IF(A135="","",COUNTIF('30_NGAN_HANG'!$B:$B,A135))</f>
        <v/>
      </c>
      <c r="O135">
        <f>IF(A135="","",COUNTIFS('30_NGAN_HANG'!$B:$B,A135,'30_NGAN_HANG'!$Y:$Y,"Approved"))</f>
        <v/>
      </c>
    </row>
    <row r="136">
      <c r="N136">
        <f>IF(A136="","",COUNTIF('30_NGAN_HANG'!$B:$B,A136))</f>
        <v/>
      </c>
      <c r="O136">
        <f>IF(A136="","",COUNTIFS('30_NGAN_HANG'!$B:$B,A136,'30_NGAN_HANG'!$Y:$Y,"Approved"))</f>
        <v/>
      </c>
    </row>
    <row r="137">
      <c r="N137">
        <f>IF(A137="","",COUNTIF('30_NGAN_HANG'!$B:$B,A137))</f>
        <v/>
      </c>
      <c r="O137">
        <f>IF(A137="","",COUNTIFS('30_NGAN_HANG'!$B:$B,A137,'30_NGAN_HANG'!$Y:$Y,"Approved"))</f>
        <v/>
      </c>
    </row>
    <row r="138">
      <c r="N138">
        <f>IF(A138="","",COUNTIF('30_NGAN_HANG'!$B:$B,A138))</f>
        <v/>
      </c>
      <c r="O138">
        <f>IF(A138="","",COUNTIFS('30_NGAN_HANG'!$B:$B,A138,'30_NGAN_HANG'!$Y:$Y,"Approved"))</f>
        <v/>
      </c>
    </row>
    <row r="139">
      <c r="N139">
        <f>IF(A139="","",COUNTIF('30_NGAN_HANG'!$B:$B,A139))</f>
        <v/>
      </c>
      <c r="O139">
        <f>IF(A139="","",COUNTIFS('30_NGAN_HANG'!$B:$B,A139,'30_NGAN_HANG'!$Y:$Y,"Approved"))</f>
        <v/>
      </c>
    </row>
    <row r="140">
      <c r="N140">
        <f>IF(A140="","",COUNTIF('30_NGAN_HANG'!$B:$B,A140))</f>
        <v/>
      </c>
      <c r="O140">
        <f>IF(A140="","",COUNTIFS('30_NGAN_HANG'!$B:$B,A140,'30_NGAN_HANG'!$Y:$Y,"Approved"))</f>
        <v/>
      </c>
    </row>
    <row r="141">
      <c r="N141">
        <f>IF(A141="","",COUNTIF('30_NGAN_HANG'!$B:$B,A141))</f>
        <v/>
      </c>
      <c r="O141">
        <f>IF(A141="","",COUNTIFS('30_NGAN_HANG'!$B:$B,A141,'30_NGAN_HANG'!$Y:$Y,"Approved"))</f>
        <v/>
      </c>
    </row>
    <row r="142">
      <c r="N142">
        <f>IF(A142="","",COUNTIF('30_NGAN_HANG'!$B:$B,A142))</f>
        <v/>
      </c>
      <c r="O142">
        <f>IF(A142="","",COUNTIFS('30_NGAN_HANG'!$B:$B,A142,'30_NGAN_HANG'!$Y:$Y,"Approved"))</f>
        <v/>
      </c>
    </row>
    <row r="143">
      <c r="N143">
        <f>IF(A143="","",COUNTIF('30_NGAN_HANG'!$B:$B,A143))</f>
        <v/>
      </c>
      <c r="O143">
        <f>IF(A143="","",COUNTIFS('30_NGAN_HANG'!$B:$B,A143,'30_NGAN_HANG'!$Y:$Y,"Approved"))</f>
        <v/>
      </c>
    </row>
    <row r="144">
      <c r="N144">
        <f>IF(A144="","",COUNTIF('30_NGAN_HANG'!$B:$B,A144))</f>
        <v/>
      </c>
      <c r="O144">
        <f>IF(A144="","",COUNTIFS('30_NGAN_HANG'!$B:$B,A144,'30_NGAN_HANG'!$Y:$Y,"Approved"))</f>
        <v/>
      </c>
    </row>
    <row r="145">
      <c r="N145">
        <f>IF(A145="","",COUNTIF('30_NGAN_HANG'!$B:$B,A145))</f>
        <v/>
      </c>
      <c r="O145">
        <f>IF(A145="","",COUNTIFS('30_NGAN_HANG'!$B:$B,A145,'30_NGAN_HANG'!$Y:$Y,"Approved"))</f>
        <v/>
      </c>
    </row>
    <row r="146">
      <c r="N146">
        <f>IF(A146="","",COUNTIF('30_NGAN_HANG'!$B:$B,A146))</f>
        <v/>
      </c>
      <c r="O146">
        <f>IF(A146="","",COUNTIFS('30_NGAN_HANG'!$B:$B,A146,'30_NGAN_HANG'!$Y:$Y,"Approved"))</f>
        <v/>
      </c>
    </row>
    <row r="147">
      <c r="N147">
        <f>IF(A147="","",COUNTIF('30_NGAN_HANG'!$B:$B,A147))</f>
        <v/>
      </c>
      <c r="O147">
        <f>IF(A147="","",COUNTIFS('30_NGAN_HANG'!$B:$B,A147,'30_NGAN_HANG'!$Y:$Y,"Approved"))</f>
        <v/>
      </c>
    </row>
    <row r="148">
      <c r="N148">
        <f>IF(A148="","",COUNTIF('30_NGAN_HANG'!$B:$B,A148))</f>
        <v/>
      </c>
      <c r="O148">
        <f>IF(A148="","",COUNTIFS('30_NGAN_HANG'!$B:$B,A148,'30_NGAN_HANG'!$Y:$Y,"Approved"))</f>
        <v/>
      </c>
    </row>
    <row r="149">
      <c r="N149">
        <f>IF(A149="","",COUNTIF('30_NGAN_HANG'!$B:$B,A149))</f>
        <v/>
      </c>
      <c r="O149">
        <f>IF(A149="","",COUNTIFS('30_NGAN_HANG'!$B:$B,A149,'30_NGAN_HANG'!$Y:$Y,"Approved"))</f>
        <v/>
      </c>
    </row>
    <row r="150">
      <c r="N150">
        <f>IF(A150="","",COUNTIF('30_NGAN_HANG'!$B:$B,A150))</f>
        <v/>
      </c>
      <c r="O150">
        <f>IF(A150="","",COUNTIFS('30_NGAN_HANG'!$B:$B,A150,'30_NGAN_HANG'!$Y:$Y,"Approved"))</f>
        <v/>
      </c>
    </row>
    <row r="151">
      <c r="N151">
        <f>IF(A151="","",COUNTIF('30_NGAN_HANG'!$B:$B,A151))</f>
        <v/>
      </c>
      <c r="O151">
        <f>IF(A151="","",COUNTIFS('30_NGAN_HANG'!$B:$B,A151,'30_NGAN_HANG'!$Y:$Y,"Approved"))</f>
        <v/>
      </c>
    </row>
    <row r="152">
      <c r="N152">
        <f>IF(A152="","",COUNTIF('30_NGAN_HANG'!$B:$B,A152))</f>
        <v/>
      </c>
      <c r="O152">
        <f>IF(A152="","",COUNTIFS('30_NGAN_HANG'!$B:$B,A152,'30_NGAN_HANG'!$Y:$Y,"Approved"))</f>
        <v/>
      </c>
    </row>
    <row r="153">
      <c r="N153">
        <f>IF(A153="","",COUNTIF('30_NGAN_HANG'!$B:$B,A153))</f>
        <v/>
      </c>
      <c r="O153">
        <f>IF(A153="","",COUNTIFS('30_NGAN_HANG'!$B:$B,A153,'30_NGAN_HANG'!$Y:$Y,"Approved"))</f>
        <v/>
      </c>
    </row>
    <row r="154">
      <c r="N154">
        <f>IF(A154="","",COUNTIF('30_NGAN_HANG'!$B:$B,A154))</f>
        <v/>
      </c>
      <c r="O154">
        <f>IF(A154="","",COUNTIFS('30_NGAN_HANG'!$B:$B,A154,'30_NGAN_HANG'!$Y:$Y,"Approved"))</f>
        <v/>
      </c>
    </row>
    <row r="155">
      <c r="N155">
        <f>IF(A155="","",COUNTIF('30_NGAN_HANG'!$B:$B,A155))</f>
        <v/>
      </c>
      <c r="O155">
        <f>IF(A155="","",COUNTIFS('30_NGAN_HANG'!$B:$B,A155,'30_NGAN_HANG'!$Y:$Y,"Approved"))</f>
        <v/>
      </c>
    </row>
    <row r="156">
      <c r="N156">
        <f>IF(A156="","",COUNTIF('30_NGAN_HANG'!$B:$B,A156))</f>
        <v/>
      </c>
      <c r="O156">
        <f>IF(A156="","",COUNTIFS('30_NGAN_HANG'!$B:$B,A156,'30_NGAN_HANG'!$Y:$Y,"Approved"))</f>
        <v/>
      </c>
    </row>
    <row r="157">
      <c r="N157">
        <f>IF(A157="","",COUNTIF('30_NGAN_HANG'!$B:$B,A157))</f>
        <v/>
      </c>
      <c r="O157">
        <f>IF(A157="","",COUNTIFS('30_NGAN_HANG'!$B:$B,A157,'30_NGAN_HANG'!$Y:$Y,"Approved"))</f>
        <v/>
      </c>
    </row>
    <row r="158">
      <c r="N158">
        <f>IF(A158="","",COUNTIF('30_NGAN_HANG'!$B:$B,A158))</f>
        <v/>
      </c>
      <c r="O158">
        <f>IF(A158="","",COUNTIFS('30_NGAN_HANG'!$B:$B,A158,'30_NGAN_HANG'!$Y:$Y,"Approved"))</f>
        <v/>
      </c>
    </row>
    <row r="159">
      <c r="N159">
        <f>IF(A159="","",COUNTIF('30_NGAN_HANG'!$B:$B,A159))</f>
        <v/>
      </c>
      <c r="O159">
        <f>IF(A159="","",COUNTIFS('30_NGAN_HANG'!$B:$B,A159,'30_NGAN_HANG'!$Y:$Y,"Approved"))</f>
        <v/>
      </c>
    </row>
    <row r="160">
      <c r="N160">
        <f>IF(A160="","",COUNTIF('30_NGAN_HANG'!$B:$B,A160))</f>
        <v/>
      </c>
      <c r="O160">
        <f>IF(A160="","",COUNTIFS('30_NGAN_HANG'!$B:$B,A160,'30_NGAN_HANG'!$Y:$Y,"Approved"))</f>
        <v/>
      </c>
    </row>
    <row r="161">
      <c r="N161">
        <f>IF(A161="","",COUNTIF('30_NGAN_HANG'!$B:$B,A161))</f>
        <v/>
      </c>
      <c r="O161">
        <f>IF(A161="","",COUNTIFS('30_NGAN_HANG'!$B:$B,A161,'30_NGAN_HANG'!$Y:$Y,"Approved"))</f>
        <v/>
      </c>
    </row>
    <row r="162">
      <c r="N162">
        <f>IF(A162="","",COUNTIF('30_NGAN_HANG'!$B:$B,A162))</f>
        <v/>
      </c>
      <c r="O162">
        <f>IF(A162="","",COUNTIFS('30_NGAN_HANG'!$B:$B,A162,'30_NGAN_HANG'!$Y:$Y,"Approved"))</f>
        <v/>
      </c>
    </row>
    <row r="163">
      <c r="N163">
        <f>IF(A163="","",COUNTIF('30_NGAN_HANG'!$B:$B,A163))</f>
        <v/>
      </c>
      <c r="O163">
        <f>IF(A163="","",COUNTIFS('30_NGAN_HANG'!$B:$B,A163,'30_NGAN_HANG'!$Y:$Y,"Approved"))</f>
        <v/>
      </c>
    </row>
    <row r="164">
      <c r="N164">
        <f>IF(A164="","",COUNTIF('30_NGAN_HANG'!$B:$B,A164))</f>
        <v/>
      </c>
      <c r="O164">
        <f>IF(A164="","",COUNTIFS('30_NGAN_HANG'!$B:$B,A164,'30_NGAN_HANG'!$Y:$Y,"Approved"))</f>
        <v/>
      </c>
    </row>
    <row r="165">
      <c r="N165">
        <f>IF(A165="","",COUNTIF('30_NGAN_HANG'!$B:$B,A165))</f>
        <v/>
      </c>
      <c r="O165">
        <f>IF(A165="","",COUNTIFS('30_NGAN_HANG'!$B:$B,A165,'30_NGAN_HANG'!$Y:$Y,"Approved"))</f>
        <v/>
      </c>
    </row>
    <row r="166">
      <c r="N166">
        <f>IF(A166="","",COUNTIF('30_NGAN_HANG'!$B:$B,A166))</f>
        <v/>
      </c>
      <c r="O166">
        <f>IF(A166="","",COUNTIFS('30_NGAN_HANG'!$B:$B,A166,'30_NGAN_HANG'!$Y:$Y,"Approved"))</f>
        <v/>
      </c>
    </row>
    <row r="167">
      <c r="N167">
        <f>IF(A167="","",COUNTIF('30_NGAN_HANG'!$B:$B,A167))</f>
        <v/>
      </c>
      <c r="O167">
        <f>IF(A167="","",COUNTIFS('30_NGAN_HANG'!$B:$B,A167,'30_NGAN_HANG'!$Y:$Y,"Approved"))</f>
        <v/>
      </c>
    </row>
    <row r="168">
      <c r="N168">
        <f>IF(A168="","",COUNTIF('30_NGAN_HANG'!$B:$B,A168))</f>
        <v/>
      </c>
      <c r="O168">
        <f>IF(A168="","",COUNTIFS('30_NGAN_HANG'!$B:$B,A168,'30_NGAN_HANG'!$Y:$Y,"Approved"))</f>
        <v/>
      </c>
    </row>
    <row r="169">
      <c r="N169">
        <f>IF(A169="","",COUNTIF('30_NGAN_HANG'!$B:$B,A169))</f>
        <v/>
      </c>
      <c r="O169">
        <f>IF(A169="","",COUNTIFS('30_NGAN_HANG'!$B:$B,A169,'30_NGAN_HANG'!$Y:$Y,"Approved"))</f>
        <v/>
      </c>
    </row>
    <row r="170">
      <c r="N170">
        <f>IF(A170="","",COUNTIF('30_NGAN_HANG'!$B:$B,A170))</f>
        <v/>
      </c>
      <c r="O170">
        <f>IF(A170="","",COUNTIFS('30_NGAN_HANG'!$B:$B,A170,'30_NGAN_HANG'!$Y:$Y,"Approved"))</f>
        <v/>
      </c>
    </row>
    <row r="171">
      <c r="N171">
        <f>IF(A171="","",COUNTIF('30_NGAN_HANG'!$B:$B,A171))</f>
        <v/>
      </c>
      <c r="O171">
        <f>IF(A171="","",COUNTIFS('30_NGAN_HANG'!$B:$B,A171,'30_NGAN_HANG'!$Y:$Y,"Approved"))</f>
        <v/>
      </c>
    </row>
    <row r="172">
      <c r="N172">
        <f>IF(A172="","",COUNTIF('30_NGAN_HANG'!$B:$B,A172))</f>
        <v/>
      </c>
      <c r="O172">
        <f>IF(A172="","",COUNTIFS('30_NGAN_HANG'!$B:$B,A172,'30_NGAN_HANG'!$Y:$Y,"Approved"))</f>
        <v/>
      </c>
    </row>
    <row r="173">
      <c r="N173">
        <f>IF(A173="","",COUNTIF('30_NGAN_HANG'!$B:$B,A173))</f>
        <v/>
      </c>
      <c r="O173">
        <f>IF(A173="","",COUNTIFS('30_NGAN_HANG'!$B:$B,A173,'30_NGAN_HANG'!$Y:$Y,"Approved"))</f>
        <v/>
      </c>
    </row>
    <row r="174">
      <c r="N174">
        <f>IF(A174="","",COUNTIF('30_NGAN_HANG'!$B:$B,A174))</f>
        <v/>
      </c>
      <c r="O174">
        <f>IF(A174="","",COUNTIFS('30_NGAN_HANG'!$B:$B,A174,'30_NGAN_HANG'!$Y:$Y,"Approved"))</f>
        <v/>
      </c>
    </row>
    <row r="175">
      <c r="N175">
        <f>IF(A175="","",COUNTIF('30_NGAN_HANG'!$B:$B,A175))</f>
        <v/>
      </c>
      <c r="O175">
        <f>IF(A175="","",COUNTIFS('30_NGAN_HANG'!$B:$B,A175,'30_NGAN_HANG'!$Y:$Y,"Approved"))</f>
        <v/>
      </c>
    </row>
    <row r="176">
      <c r="N176">
        <f>IF(A176="","",COUNTIF('30_NGAN_HANG'!$B:$B,A176))</f>
        <v/>
      </c>
      <c r="O176">
        <f>IF(A176="","",COUNTIFS('30_NGAN_HANG'!$B:$B,A176,'30_NGAN_HANG'!$Y:$Y,"Approved"))</f>
        <v/>
      </c>
    </row>
    <row r="177">
      <c r="N177">
        <f>IF(A177="","",COUNTIF('30_NGAN_HANG'!$B:$B,A177))</f>
        <v/>
      </c>
      <c r="O177">
        <f>IF(A177="","",COUNTIFS('30_NGAN_HANG'!$B:$B,A177,'30_NGAN_HANG'!$Y:$Y,"Approved"))</f>
        <v/>
      </c>
    </row>
    <row r="178">
      <c r="N178">
        <f>IF(A178="","",COUNTIF('30_NGAN_HANG'!$B:$B,A178))</f>
        <v/>
      </c>
      <c r="O178">
        <f>IF(A178="","",COUNTIFS('30_NGAN_HANG'!$B:$B,A178,'30_NGAN_HANG'!$Y:$Y,"Approved"))</f>
        <v/>
      </c>
    </row>
    <row r="179">
      <c r="N179">
        <f>IF(A179="","",COUNTIF('30_NGAN_HANG'!$B:$B,A179))</f>
        <v/>
      </c>
      <c r="O179">
        <f>IF(A179="","",COUNTIFS('30_NGAN_HANG'!$B:$B,A179,'30_NGAN_HANG'!$Y:$Y,"Approved"))</f>
        <v/>
      </c>
    </row>
    <row r="180">
      <c r="N180">
        <f>IF(A180="","",COUNTIF('30_NGAN_HANG'!$B:$B,A180))</f>
        <v/>
      </c>
      <c r="O180">
        <f>IF(A180="","",COUNTIFS('30_NGAN_HANG'!$B:$B,A180,'30_NGAN_HANG'!$Y:$Y,"Approved"))</f>
        <v/>
      </c>
    </row>
    <row r="181">
      <c r="N181">
        <f>IF(A181="","",COUNTIF('30_NGAN_HANG'!$B:$B,A181))</f>
        <v/>
      </c>
      <c r="O181">
        <f>IF(A181="","",COUNTIFS('30_NGAN_HANG'!$B:$B,A181,'30_NGAN_HANG'!$Y:$Y,"Approved"))</f>
        <v/>
      </c>
    </row>
    <row r="182">
      <c r="N182">
        <f>IF(A182="","",COUNTIF('30_NGAN_HANG'!$B:$B,A182))</f>
        <v/>
      </c>
      <c r="O182">
        <f>IF(A182="","",COUNTIFS('30_NGAN_HANG'!$B:$B,A182,'30_NGAN_HANG'!$Y:$Y,"Approved"))</f>
        <v/>
      </c>
    </row>
    <row r="183">
      <c r="N183">
        <f>IF(A183="","",COUNTIF('30_NGAN_HANG'!$B:$B,A183))</f>
        <v/>
      </c>
      <c r="O183">
        <f>IF(A183="","",COUNTIFS('30_NGAN_HANG'!$B:$B,A183,'30_NGAN_HANG'!$Y:$Y,"Approved"))</f>
        <v/>
      </c>
    </row>
    <row r="184">
      <c r="N184">
        <f>IF(A184="","",COUNTIF('30_NGAN_HANG'!$B:$B,A184))</f>
        <v/>
      </c>
      <c r="O184">
        <f>IF(A184="","",COUNTIFS('30_NGAN_HANG'!$B:$B,A184,'30_NGAN_HANG'!$Y:$Y,"Approved"))</f>
        <v/>
      </c>
    </row>
    <row r="185">
      <c r="N185">
        <f>IF(A185="","",COUNTIF('30_NGAN_HANG'!$B:$B,A185))</f>
        <v/>
      </c>
      <c r="O185">
        <f>IF(A185="","",COUNTIFS('30_NGAN_HANG'!$B:$B,A185,'30_NGAN_HANG'!$Y:$Y,"Approved"))</f>
        <v/>
      </c>
    </row>
    <row r="186">
      <c r="N186">
        <f>IF(A186="","",COUNTIF('30_NGAN_HANG'!$B:$B,A186))</f>
        <v/>
      </c>
      <c r="O186">
        <f>IF(A186="","",COUNTIFS('30_NGAN_HANG'!$B:$B,A186,'30_NGAN_HANG'!$Y:$Y,"Approved"))</f>
        <v/>
      </c>
    </row>
    <row r="187">
      <c r="N187">
        <f>IF(A187="","",COUNTIF('30_NGAN_HANG'!$B:$B,A187))</f>
        <v/>
      </c>
      <c r="O187">
        <f>IF(A187="","",COUNTIFS('30_NGAN_HANG'!$B:$B,A187,'30_NGAN_HANG'!$Y:$Y,"Approved"))</f>
        <v/>
      </c>
    </row>
    <row r="188">
      <c r="N188">
        <f>IF(A188="","",COUNTIF('30_NGAN_HANG'!$B:$B,A188))</f>
        <v/>
      </c>
      <c r="O188">
        <f>IF(A188="","",COUNTIFS('30_NGAN_HANG'!$B:$B,A188,'30_NGAN_HANG'!$Y:$Y,"Approved"))</f>
        <v/>
      </c>
    </row>
    <row r="189">
      <c r="N189">
        <f>IF(A189="","",COUNTIF('30_NGAN_HANG'!$B:$B,A189))</f>
        <v/>
      </c>
      <c r="O189">
        <f>IF(A189="","",COUNTIFS('30_NGAN_HANG'!$B:$B,A189,'30_NGAN_HANG'!$Y:$Y,"Approved"))</f>
        <v/>
      </c>
    </row>
    <row r="190">
      <c r="N190">
        <f>IF(A190="","",COUNTIF('30_NGAN_HANG'!$B:$B,A190))</f>
        <v/>
      </c>
      <c r="O190">
        <f>IF(A190="","",COUNTIFS('30_NGAN_HANG'!$B:$B,A190,'30_NGAN_HANG'!$Y:$Y,"Approved"))</f>
        <v/>
      </c>
    </row>
    <row r="191">
      <c r="N191">
        <f>IF(A191="","",COUNTIF('30_NGAN_HANG'!$B:$B,A191))</f>
        <v/>
      </c>
      <c r="O191">
        <f>IF(A191="","",COUNTIFS('30_NGAN_HANG'!$B:$B,A191,'30_NGAN_HANG'!$Y:$Y,"Approved"))</f>
        <v/>
      </c>
    </row>
    <row r="192">
      <c r="N192">
        <f>IF(A192="","",COUNTIF('30_NGAN_HANG'!$B:$B,A192))</f>
        <v/>
      </c>
      <c r="O192">
        <f>IF(A192="","",COUNTIFS('30_NGAN_HANG'!$B:$B,A192,'30_NGAN_HANG'!$Y:$Y,"Approved"))</f>
        <v/>
      </c>
    </row>
    <row r="193">
      <c r="N193">
        <f>IF(A193="","",COUNTIF('30_NGAN_HANG'!$B:$B,A193))</f>
        <v/>
      </c>
      <c r="O193">
        <f>IF(A193="","",COUNTIFS('30_NGAN_HANG'!$B:$B,A193,'30_NGAN_HANG'!$Y:$Y,"Approved"))</f>
        <v/>
      </c>
    </row>
    <row r="194">
      <c r="N194">
        <f>IF(A194="","",COUNTIF('30_NGAN_HANG'!$B:$B,A194))</f>
        <v/>
      </c>
      <c r="O194">
        <f>IF(A194="","",COUNTIFS('30_NGAN_HANG'!$B:$B,A194,'30_NGAN_HANG'!$Y:$Y,"Approved"))</f>
        <v/>
      </c>
    </row>
    <row r="195">
      <c r="N195">
        <f>IF(A195="","",COUNTIF('30_NGAN_HANG'!$B:$B,A195))</f>
        <v/>
      </c>
      <c r="O195">
        <f>IF(A195="","",COUNTIFS('30_NGAN_HANG'!$B:$B,A195,'30_NGAN_HANG'!$Y:$Y,"Approved"))</f>
        <v/>
      </c>
    </row>
    <row r="196">
      <c r="N196">
        <f>IF(A196="","",COUNTIF('30_NGAN_HANG'!$B:$B,A196))</f>
        <v/>
      </c>
      <c r="O196">
        <f>IF(A196="","",COUNTIFS('30_NGAN_HANG'!$B:$B,A196,'30_NGAN_HANG'!$Y:$Y,"Approved"))</f>
        <v/>
      </c>
    </row>
    <row r="197">
      <c r="N197">
        <f>IF(A197="","",COUNTIF('30_NGAN_HANG'!$B:$B,A197))</f>
        <v/>
      </c>
      <c r="O197">
        <f>IF(A197="","",COUNTIFS('30_NGAN_HANG'!$B:$B,A197,'30_NGAN_HANG'!$Y:$Y,"Approved"))</f>
        <v/>
      </c>
    </row>
    <row r="198">
      <c r="N198">
        <f>IF(A198="","",COUNTIF('30_NGAN_HANG'!$B:$B,A198))</f>
        <v/>
      </c>
      <c r="O198">
        <f>IF(A198="","",COUNTIFS('30_NGAN_HANG'!$B:$B,A198,'30_NGAN_HANG'!$Y:$Y,"Approved"))</f>
        <v/>
      </c>
    </row>
    <row r="199">
      <c r="N199">
        <f>IF(A199="","",COUNTIF('30_NGAN_HANG'!$B:$B,A199))</f>
        <v/>
      </c>
      <c r="O199">
        <f>IF(A199="","",COUNTIFS('30_NGAN_HANG'!$B:$B,A199,'30_NGAN_HANG'!$Y:$Y,"Approved"))</f>
        <v/>
      </c>
    </row>
    <row r="200">
      <c r="N200">
        <f>IF(A200="","",COUNTIF('30_NGAN_HANG'!$B:$B,A200))</f>
        <v/>
      </c>
      <c r="O200">
        <f>IF(A200="","",COUNTIFS('30_NGAN_HANG'!$B:$B,A200,'30_NGAN_HANG'!$Y:$Y,"Approved"))</f>
        <v/>
      </c>
    </row>
    <row r="201">
      <c r="N201">
        <f>IF(A201="","",COUNTIF('30_NGAN_HANG'!$B:$B,A201))</f>
        <v/>
      </c>
      <c r="O201">
        <f>IF(A201="","",COUNTIFS('30_NGAN_HANG'!$B:$B,A201,'30_NGAN_HANG'!$Y:$Y,"Approved"))</f>
        <v/>
      </c>
    </row>
    <row r="202">
      <c r="N202">
        <f>IF(A202="","",COUNTIF('30_NGAN_HANG'!$B:$B,A202))</f>
        <v/>
      </c>
      <c r="O202">
        <f>IF(A202="","",COUNTIFS('30_NGAN_HANG'!$B:$B,A202,'30_NGAN_HANG'!$Y:$Y,"Approved"))</f>
        <v/>
      </c>
    </row>
    <row r="203">
      <c r="N203">
        <f>IF(A203="","",COUNTIF('30_NGAN_HANG'!$B:$B,A203))</f>
        <v/>
      </c>
      <c r="O203">
        <f>IF(A203="","",COUNTIFS('30_NGAN_HANG'!$B:$B,A203,'30_NGAN_HANG'!$Y:$Y,"Approved"))</f>
        <v/>
      </c>
    </row>
    <row r="204">
      <c r="N204">
        <f>IF(A204="","",COUNTIF('30_NGAN_HANG'!$B:$B,A204))</f>
        <v/>
      </c>
      <c r="O204">
        <f>IF(A204="","",COUNTIFS('30_NGAN_HANG'!$B:$B,A204,'30_NGAN_HANG'!$Y:$Y,"Approved"))</f>
        <v/>
      </c>
    </row>
    <row r="205">
      <c r="N205">
        <f>IF(A205="","",COUNTIF('30_NGAN_HANG'!$B:$B,A205))</f>
        <v/>
      </c>
      <c r="O205">
        <f>IF(A205="","",COUNTIFS('30_NGAN_HANG'!$B:$B,A205,'30_NGAN_HANG'!$Y:$Y,"Approved"))</f>
        <v/>
      </c>
    </row>
    <row r="206">
      <c r="N206">
        <f>IF(A206="","",COUNTIF('30_NGAN_HANG'!$B:$B,A206))</f>
        <v/>
      </c>
      <c r="O206">
        <f>IF(A206="","",COUNTIFS('30_NGAN_HANG'!$B:$B,A206,'30_NGAN_HANG'!$Y:$Y,"Approved"))</f>
        <v/>
      </c>
    </row>
    <row r="207">
      <c r="N207">
        <f>IF(A207="","",COUNTIF('30_NGAN_HANG'!$B:$B,A207))</f>
        <v/>
      </c>
      <c r="O207">
        <f>IF(A207="","",COUNTIFS('30_NGAN_HANG'!$B:$B,A207,'30_NGAN_HANG'!$Y:$Y,"Approved"))</f>
        <v/>
      </c>
    </row>
    <row r="208">
      <c r="N208">
        <f>IF(A208="","",COUNTIF('30_NGAN_HANG'!$B:$B,A208))</f>
        <v/>
      </c>
      <c r="O208">
        <f>IF(A208="","",COUNTIFS('30_NGAN_HANG'!$B:$B,A208,'30_NGAN_HANG'!$Y:$Y,"Approved"))</f>
        <v/>
      </c>
    </row>
    <row r="209">
      <c r="N209">
        <f>IF(A209="","",COUNTIF('30_NGAN_HANG'!$B:$B,A209))</f>
        <v/>
      </c>
      <c r="O209">
        <f>IF(A209="","",COUNTIFS('30_NGAN_HANG'!$B:$B,A209,'30_NGAN_HANG'!$Y:$Y,"Approved"))</f>
        <v/>
      </c>
    </row>
    <row r="210">
      <c r="N210">
        <f>IF(A210="","",COUNTIF('30_NGAN_HANG'!$B:$B,A210))</f>
        <v/>
      </c>
      <c r="O210">
        <f>IF(A210="","",COUNTIFS('30_NGAN_HANG'!$B:$B,A210,'30_NGAN_HANG'!$Y:$Y,"Approved"))</f>
        <v/>
      </c>
    </row>
    <row r="211">
      <c r="N211">
        <f>IF(A211="","",COUNTIF('30_NGAN_HANG'!$B:$B,A211))</f>
        <v/>
      </c>
      <c r="O211">
        <f>IF(A211="","",COUNTIFS('30_NGAN_HANG'!$B:$B,A211,'30_NGAN_HANG'!$Y:$Y,"Approved"))</f>
        <v/>
      </c>
    </row>
    <row r="212">
      <c r="N212">
        <f>IF(A212="","",COUNTIF('30_NGAN_HANG'!$B:$B,A212))</f>
        <v/>
      </c>
      <c r="O212">
        <f>IF(A212="","",COUNTIFS('30_NGAN_HANG'!$B:$B,A212,'30_NGAN_HANG'!$Y:$Y,"Approved"))</f>
        <v/>
      </c>
    </row>
    <row r="213">
      <c r="N213">
        <f>IF(A213="","",COUNTIF('30_NGAN_HANG'!$B:$B,A213))</f>
        <v/>
      </c>
      <c r="O213">
        <f>IF(A213="","",COUNTIFS('30_NGAN_HANG'!$B:$B,A213,'30_NGAN_HANG'!$Y:$Y,"Approved"))</f>
        <v/>
      </c>
    </row>
    <row r="214">
      <c r="N214">
        <f>IF(A214="","",COUNTIF('30_NGAN_HANG'!$B:$B,A214))</f>
        <v/>
      </c>
      <c r="O214">
        <f>IF(A214="","",COUNTIFS('30_NGAN_HANG'!$B:$B,A214,'30_NGAN_HANG'!$Y:$Y,"Approved"))</f>
        <v/>
      </c>
    </row>
    <row r="215">
      <c r="N215">
        <f>IF(A215="","",COUNTIF('30_NGAN_HANG'!$B:$B,A215))</f>
        <v/>
      </c>
      <c r="O215">
        <f>IF(A215="","",COUNTIFS('30_NGAN_HANG'!$B:$B,A215,'30_NGAN_HANG'!$Y:$Y,"Approved"))</f>
        <v/>
      </c>
    </row>
    <row r="216">
      <c r="N216">
        <f>IF(A216="","",COUNTIF('30_NGAN_HANG'!$B:$B,A216))</f>
        <v/>
      </c>
      <c r="O216">
        <f>IF(A216="","",COUNTIFS('30_NGAN_HANG'!$B:$B,A216,'30_NGAN_HANG'!$Y:$Y,"Approved"))</f>
        <v/>
      </c>
    </row>
    <row r="217">
      <c r="N217">
        <f>IF(A217="","",COUNTIF('30_NGAN_HANG'!$B:$B,A217))</f>
        <v/>
      </c>
      <c r="O217">
        <f>IF(A217="","",COUNTIFS('30_NGAN_HANG'!$B:$B,A217,'30_NGAN_HANG'!$Y:$Y,"Approved"))</f>
        <v/>
      </c>
    </row>
    <row r="218">
      <c r="N218">
        <f>IF(A218="","",COUNTIF('30_NGAN_HANG'!$B:$B,A218))</f>
        <v/>
      </c>
      <c r="O218">
        <f>IF(A218="","",COUNTIFS('30_NGAN_HANG'!$B:$B,A218,'30_NGAN_HANG'!$Y:$Y,"Approved"))</f>
        <v/>
      </c>
    </row>
    <row r="219">
      <c r="N219">
        <f>IF(A219="","",COUNTIF('30_NGAN_HANG'!$B:$B,A219))</f>
        <v/>
      </c>
      <c r="O219">
        <f>IF(A219="","",COUNTIFS('30_NGAN_HANG'!$B:$B,A219,'30_NGAN_HANG'!$Y:$Y,"Approved"))</f>
        <v/>
      </c>
    </row>
    <row r="220">
      <c r="N220">
        <f>IF(A220="","",COUNTIF('30_NGAN_HANG'!$B:$B,A220))</f>
        <v/>
      </c>
      <c r="O220">
        <f>IF(A220="","",COUNTIFS('30_NGAN_HANG'!$B:$B,A220,'30_NGAN_HANG'!$Y:$Y,"Approved"))</f>
        <v/>
      </c>
    </row>
    <row r="221">
      <c r="N221">
        <f>IF(A221="","",COUNTIF('30_NGAN_HANG'!$B:$B,A221))</f>
        <v/>
      </c>
      <c r="O221">
        <f>IF(A221="","",COUNTIFS('30_NGAN_HANG'!$B:$B,A221,'30_NGAN_HANG'!$Y:$Y,"Approved"))</f>
        <v/>
      </c>
    </row>
    <row r="222">
      <c r="N222">
        <f>IF(A222="","",COUNTIF('30_NGAN_HANG'!$B:$B,A222))</f>
        <v/>
      </c>
      <c r="O222">
        <f>IF(A222="","",COUNTIFS('30_NGAN_HANG'!$B:$B,A222,'30_NGAN_HANG'!$Y:$Y,"Approved"))</f>
        <v/>
      </c>
    </row>
    <row r="223">
      <c r="N223">
        <f>IF(A223="","",COUNTIF('30_NGAN_HANG'!$B:$B,A223))</f>
        <v/>
      </c>
      <c r="O223">
        <f>IF(A223="","",COUNTIFS('30_NGAN_HANG'!$B:$B,A223,'30_NGAN_HANG'!$Y:$Y,"Approved"))</f>
        <v/>
      </c>
    </row>
    <row r="224">
      <c r="N224">
        <f>IF(A224="","",COUNTIF('30_NGAN_HANG'!$B:$B,A224))</f>
        <v/>
      </c>
      <c r="O224">
        <f>IF(A224="","",COUNTIFS('30_NGAN_HANG'!$B:$B,A224,'30_NGAN_HANG'!$Y:$Y,"Approved"))</f>
        <v/>
      </c>
    </row>
    <row r="225">
      <c r="N225">
        <f>IF(A225="","",COUNTIF('30_NGAN_HANG'!$B:$B,A225))</f>
        <v/>
      </c>
      <c r="O225">
        <f>IF(A225="","",COUNTIFS('30_NGAN_HANG'!$B:$B,A225,'30_NGAN_HANG'!$Y:$Y,"Approved"))</f>
        <v/>
      </c>
    </row>
    <row r="226">
      <c r="N226">
        <f>IF(A226="","",COUNTIF('30_NGAN_HANG'!$B:$B,A226))</f>
        <v/>
      </c>
      <c r="O226">
        <f>IF(A226="","",COUNTIFS('30_NGAN_HANG'!$B:$B,A226,'30_NGAN_HANG'!$Y:$Y,"Approved"))</f>
        <v/>
      </c>
    </row>
    <row r="227">
      <c r="N227">
        <f>IF(A227="","",COUNTIF('30_NGAN_HANG'!$B:$B,A227))</f>
        <v/>
      </c>
      <c r="O227">
        <f>IF(A227="","",COUNTIFS('30_NGAN_HANG'!$B:$B,A227,'30_NGAN_HANG'!$Y:$Y,"Approved"))</f>
        <v/>
      </c>
    </row>
    <row r="228">
      <c r="N228">
        <f>IF(A228="","",COUNTIF('30_NGAN_HANG'!$B:$B,A228))</f>
        <v/>
      </c>
      <c r="O228">
        <f>IF(A228="","",COUNTIFS('30_NGAN_HANG'!$B:$B,A228,'30_NGAN_HANG'!$Y:$Y,"Approved"))</f>
        <v/>
      </c>
    </row>
    <row r="229">
      <c r="N229">
        <f>IF(A229="","",COUNTIF('30_NGAN_HANG'!$B:$B,A229))</f>
        <v/>
      </c>
      <c r="O229">
        <f>IF(A229="","",COUNTIFS('30_NGAN_HANG'!$B:$B,A229,'30_NGAN_HANG'!$Y:$Y,"Approved"))</f>
        <v/>
      </c>
    </row>
    <row r="230">
      <c r="N230">
        <f>IF(A230="","",COUNTIF('30_NGAN_HANG'!$B:$B,A230))</f>
        <v/>
      </c>
      <c r="O230">
        <f>IF(A230="","",COUNTIFS('30_NGAN_HANG'!$B:$B,A230,'30_NGAN_HANG'!$Y:$Y,"Approved"))</f>
        <v/>
      </c>
    </row>
    <row r="231">
      <c r="N231">
        <f>IF(A231="","",COUNTIF('30_NGAN_HANG'!$B:$B,A231))</f>
        <v/>
      </c>
      <c r="O231">
        <f>IF(A231="","",COUNTIFS('30_NGAN_HANG'!$B:$B,A231,'30_NGAN_HANG'!$Y:$Y,"Approved"))</f>
        <v/>
      </c>
    </row>
    <row r="232">
      <c r="N232">
        <f>IF(A232="","",COUNTIF('30_NGAN_HANG'!$B:$B,A232))</f>
        <v/>
      </c>
      <c r="O232">
        <f>IF(A232="","",COUNTIFS('30_NGAN_HANG'!$B:$B,A232,'30_NGAN_HANG'!$Y:$Y,"Approved"))</f>
        <v/>
      </c>
    </row>
    <row r="233">
      <c r="N233">
        <f>IF(A233="","",COUNTIF('30_NGAN_HANG'!$B:$B,A233))</f>
        <v/>
      </c>
      <c r="O233">
        <f>IF(A233="","",COUNTIFS('30_NGAN_HANG'!$B:$B,A233,'30_NGAN_HANG'!$Y:$Y,"Approved"))</f>
        <v/>
      </c>
    </row>
    <row r="234">
      <c r="N234">
        <f>IF(A234="","",COUNTIF('30_NGAN_HANG'!$B:$B,A234))</f>
        <v/>
      </c>
      <c r="O234">
        <f>IF(A234="","",COUNTIFS('30_NGAN_HANG'!$B:$B,A234,'30_NGAN_HANG'!$Y:$Y,"Approved"))</f>
        <v/>
      </c>
    </row>
    <row r="235">
      <c r="N235">
        <f>IF(A235="","",COUNTIF('30_NGAN_HANG'!$B:$B,A235))</f>
        <v/>
      </c>
      <c r="O235">
        <f>IF(A235="","",COUNTIFS('30_NGAN_HANG'!$B:$B,A235,'30_NGAN_HANG'!$Y:$Y,"Approved"))</f>
        <v/>
      </c>
    </row>
    <row r="236">
      <c r="N236">
        <f>IF(A236="","",COUNTIF('30_NGAN_HANG'!$B:$B,A236))</f>
        <v/>
      </c>
      <c r="O236">
        <f>IF(A236="","",COUNTIFS('30_NGAN_HANG'!$B:$B,A236,'30_NGAN_HANG'!$Y:$Y,"Approved"))</f>
        <v/>
      </c>
    </row>
    <row r="237">
      <c r="N237">
        <f>IF(A237="","",COUNTIF('30_NGAN_HANG'!$B:$B,A237))</f>
        <v/>
      </c>
      <c r="O237">
        <f>IF(A237="","",COUNTIFS('30_NGAN_HANG'!$B:$B,A237,'30_NGAN_HANG'!$Y:$Y,"Approved"))</f>
        <v/>
      </c>
    </row>
    <row r="238">
      <c r="N238">
        <f>IF(A238="","",COUNTIF('30_NGAN_HANG'!$B:$B,A238))</f>
        <v/>
      </c>
      <c r="O238">
        <f>IF(A238="","",COUNTIFS('30_NGAN_HANG'!$B:$B,A238,'30_NGAN_HANG'!$Y:$Y,"Approved"))</f>
        <v/>
      </c>
    </row>
    <row r="239">
      <c r="N239">
        <f>IF(A239="","",COUNTIF('30_NGAN_HANG'!$B:$B,A239))</f>
        <v/>
      </c>
      <c r="O239">
        <f>IF(A239="","",COUNTIFS('30_NGAN_HANG'!$B:$B,A239,'30_NGAN_HANG'!$Y:$Y,"Approved"))</f>
        <v/>
      </c>
    </row>
    <row r="240">
      <c r="N240">
        <f>IF(A240="","",COUNTIF('30_NGAN_HANG'!$B:$B,A240))</f>
        <v/>
      </c>
      <c r="O240">
        <f>IF(A240="","",COUNTIFS('30_NGAN_HANG'!$B:$B,A240,'30_NGAN_HANG'!$Y:$Y,"Approved"))</f>
        <v/>
      </c>
    </row>
    <row r="241">
      <c r="N241">
        <f>IF(A241="","",COUNTIF('30_NGAN_HANG'!$B:$B,A241))</f>
        <v/>
      </c>
      <c r="O241">
        <f>IF(A241="","",COUNTIFS('30_NGAN_HANG'!$B:$B,A241,'30_NGAN_HANG'!$Y:$Y,"Approved"))</f>
        <v/>
      </c>
    </row>
    <row r="242">
      <c r="N242">
        <f>IF(A242="","",COUNTIF('30_NGAN_HANG'!$B:$B,A242))</f>
        <v/>
      </c>
      <c r="O242">
        <f>IF(A242="","",COUNTIFS('30_NGAN_HANG'!$B:$B,A242,'30_NGAN_HANG'!$Y:$Y,"Approved"))</f>
        <v/>
      </c>
    </row>
    <row r="243">
      <c r="N243">
        <f>IF(A243="","",COUNTIF('30_NGAN_HANG'!$B:$B,A243))</f>
        <v/>
      </c>
      <c r="O243">
        <f>IF(A243="","",COUNTIFS('30_NGAN_HANG'!$B:$B,A243,'30_NGAN_HANG'!$Y:$Y,"Approved"))</f>
        <v/>
      </c>
    </row>
    <row r="244">
      <c r="N244">
        <f>IF(A244="","",COUNTIF('30_NGAN_HANG'!$B:$B,A244))</f>
        <v/>
      </c>
      <c r="O244">
        <f>IF(A244="","",COUNTIFS('30_NGAN_HANG'!$B:$B,A244,'30_NGAN_HANG'!$Y:$Y,"Approved"))</f>
        <v/>
      </c>
    </row>
    <row r="245">
      <c r="N245">
        <f>IF(A245="","",COUNTIF('30_NGAN_HANG'!$B:$B,A245))</f>
        <v/>
      </c>
      <c r="O245">
        <f>IF(A245="","",COUNTIFS('30_NGAN_HANG'!$B:$B,A245,'30_NGAN_HANG'!$Y:$Y,"Approved"))</f>
        <v/>
      </c>
    </row>
    <row r="246">
      <c r="N246">
        <f>IF(A246="","",COUNTIF('30_NGAN_HANG'!$B:$B,A246))</f>
        <v/>
      </c>
      <c r="O246">
        <f>IF(A246="","",COUNTIFS('30_NGAN_HANG'!$B:$B,A246,'30_NGAN_HANG'!$Y:$Y,"Approved"))</f>
        <v/>
      </c>
    </row>
    <row r="247">
      <c r="N247">
        <f>IF(A247="","",COUNTIF('30_NGAN_HANG'!$B:$B,A247))</f>
        <v/>
      </c>
      <c r="O247">
        <f>IF(A247="","",COUNTIFS('30_NGAN_HANG'!$B:$B,A247,'30_NGAN_HANG'!$Y:$Y,"Approved"))</f>
        <v/>
      </c>
    </row>
    <row r="248">
      <c r="N248">
        <f>IF(A248="","",COUNTIF('30_NGAN_HANG'!$B:$B,A248))</f>
        <v/>
      </c>
      <c r="O248">
        <f>IF(A248="","",COUNTIFS('30_NGAN_HANG'!$B:$B,A248,'30_NGAN_HANG'!$Y:$Y,"Approved"))</f>
        <v/>
      </c>
    </row>
    <row r="249">
      <c r="N249">
        <f>IF(A249="","",COUNTIF('30_NGAN_HANG'!$B:$B,A249))</f>
        <v/>
      </c>
      <c r="O249">
        <f>IF(A249="","",COUNTIFS('30_NGAN_HANG'!$B:$B,A249,'30_NGAN_HANG'!$Y:$Y,"Approved"))</f>
        <v/>
      </c>
    </row>
    <row r="250">
      <c r="N250">
        <f>IF(A250="","",COUNTIF('30_NGAN_HANG'!$B:$B,A250))</f>
        <v/>
      </c>
      <c r="O250">
        <f>IF(A250="","",COUNTIFS('30_NGAN_HANG'!$B:$B,A250,'30_NGAN_HANG'!$Y:$Y,"Approved"))</f>
        <v/>
      </c>
    </row>
    <row r="251">
      <c r="N251">
        <f>IF(A251="","",COUNTIF('30_NGAN_HANG'!$B:$B,A251))</f>
        <v/>
      </c>
      <c r="O251">
        <f>IF(A251="","",COUNTIFS('30_NGAN_HANG'!$B:$B,A251,'30_NGAN_HANG'!$Y:$Y,"Approved"))</f>
        <v/>
      </c>
    </row>
    <row r="252">
      <c r="N252">
        <f>IF(A252="","",COUNTIF('30_NGAN_HANG'!$B:$B,A252))</f>
        <v/>
      </c>
      <c r="O252">
        <f>IF(A252="","",COUNTIFS('30_NGAN_HANG'!$B:$B,A252,'30_NGAN_HANG'!$Y:$Y,"Approved"))</f>
        <v/>
      </c>
    </row>
    <row r="253">
      <c r="N253">
        <f>IF(A253="","",COUNTIF('30_NGAN_HANG'!$B:$B,A253))</f>
        <v/>
      </c>
      <c r="O253">
        <f>IF(A253="","",COUNTIFS('30_NGAN_HANG'!$B:$B,A253,'30_NGAN_HANG'!$Y:$Y,"Approved"))</f>
        <v/>
      </c>
    </row>
    <row r="254">
      <c r="N254">
        <f>IF(A254="","",COUNTIF('30_NGAN_HANG'!$B:$B,A254))</f>
        <v/>
      </c>
      <c r="O254">
        <f>IF(A254="","",COUNTIFS('30_NGAN_HANG'!$B:$B,A254,'30_NGAN_HANG'!$Y:$Y,"Approved"))</f>
        <v/>
      </c>
    </row>
    <row r="255">
      <c r="N255">
        <f>IF(A255="","",COUNTIF('30_NGAN_HANG'!$B:$B,A255))</f>
        <v/>
      </c>
      <c r="O255">
        <f>IF(A255="","",COUNTIFS('30_NGAN_HANG'!$B:$B,A255,'30_NGAN_HANG'!$Y:$Y,"Approved"))</f>
        <v/>
      </c>
    </row>
    <row r="256">
      <c r="N256">
        <f>IF(A256="","",COUNTIF('30_NGAN_HANG'!$B:$B,A256))</f>
        <v/>
      </c>
      <c r="O256">
        <f>IF(A256="","",COUNTIFS('30_NGAN_HANG'!$B:$B,A256,'30_NGAN_HANG'!$Y:$Y,"Approved"))</f>
        <v/>
      </c>
    </row>
    <row r="257">
      <c r="N257">
        <f>IF(A257="","",COUNTIF('30_NGAN_HANG'!$B:$B,A257))</f>
        <v/>
      </c>
      <c r="O257">
        <f>IF(A257="","",COUNTIFS('30_NGAN_HANG'!$B:$B,A257,'30_NGAN_HANG'!$Y:$Y,"Approved"))</f>
        <v/>
      </c>
    </row>
    <row r="258">
      <c r="N258">
        <f>IF(A258="","",COUNTIF('30_NGAN_HANG'!$B:$B,A258))</f>
        <v/>
      </c>
      <c r="O258">
        <f>IF(A258="","",COUNTIFS('30_NGAN_HANG'!$B:$B,A258,'30_NGAN_HANG'!$Y:$Y,"Approved"))</f>
        <v/>
      </c>
    </row>
    <row r="259">
      <c r="N259">
        <f>IF(A259="","",COUNTIF('30_NGAN_HANG'!$B:$B,A259))</f>
        <v/>
      </c>
      <c r="O259">
        <f>IF(A259="","",COUNTIFS('30_NGAN_HANG'!$B:$B,A259,'30_NGAN_HANG'!$Y:$Y,"Approved"))</f>
        <v/>
      </c>
    </row>
    <row r="260">
      <c r="N260">
        <f>IF(A260="","",COUNTIF('30_NGAN_HANG'!$B:$B,A260))</f>
        <v/>
      </c>
      <c r="O260">
        <f>IF(A260="","",COUNTIFS('30_NGAN_HANG'!$B:$B,A260,'30_NGAN_HANG'!$Y:$Y,"Approved"))</f>
        <v/>
      </c>
    </row>
    <row r="261">
      <c r="N261">
        <f>IF(A261="","",COUNTIF('30_NGAN_HANG'!$B:$B,A261))</f>
        <v/>
      </c>
      <c r="O261">
        <f>IF(A261="","",COUNTIFS('30_NGAN_HANG'!$B:$B,A261,'30_NGAN_HANG'!$Y:$Y,"Approved"))</f>
        <v/>
      </c>
    </row>
    <row r="262">
      <c r="N262">
        <f>IF(A262="","",COUNTIF('30_NGAN_HANG'!$B:$B,A262))</f>
        <v/>
      </c>
      <c r="O262">
        <f>IF(A262="","",COUNTIFS('30_NGAN_HANG'!$B:$B,A262,'30_NGAN_HANG'!$Y:$Y,"Approved"))</f>
        <v/>
      </c>
    </row>
    <row r="263">
      <c r="N263">
        <f>IF(A263="","",COUNTIF('30_NGAN_HANG'!$B:$B,A263))</f>
        <v/>
      </c>
      <c r="O263">
        <f>IF(A263="","",COUNTIFS('30_NGAN_HANG'!$B:$B,A263,'30_NGAN_HANG'!$Y:$Y,"Approved"))</f>
        <v/>
      </c>
    </row>
    <row r="264">
      <c r="N264">
        <f>IF(A264="","",COUNTIF('30_NGAN_HANG'!$B:$B,A264))</f>
        <v/>
      </c>
      <c r="O264">
        <f>IF(A264="","",COUNTIFS('30_NGAN_HANG'!$B:$B,A264,'30_NGAN_HANG'!$Y:$Y,"Approved"))</f>
        <v/>
      </c>
    </row>
    <row r="265">
      <c r="N265">
        <f>IF(A265="","",COUNTIF('30_NGAN_HANG'!$B:$B,A265))</f>
        <v/>
      </c>
      <c r="O265">
        <f>IF(A265="","",COUNTIFS('30_NGAN_HANG'!$B:$B,A265,'30_NGAN_HANG'!$Y:$Y,"Approved"))</f>
        <v/>
      </c>
    </row>
    <row r="266">
      <c r="N266">
        <f>IF(A266="","",COUNTIF('30_NGAN_HANG'!$B:$B,A266))</f>
        <v/>
      </c>
      <c r="O266">
        <f>IF(A266="","",COUNTIFS('30_NGAN_HANG'!$B:$B,A266,'30_NGAN_HANG'!$Y:$Y,"Approved"))</f>
        <v/>
      </c>
    </row>
    <row r="267">
      <c r="N267">
        <f>IF(A267="","",COUNTIF('30_NGAN_HANG'!$B:$B,A267))</f>
        <v/>
      </c>
      <c r="O267">
        <f>IF(A267="","",COUNTIFS('30_NGAN_HANG'!$B:$B,A267,'30_NGAN_HANG'!$Y:$Y,"Approved"))</f>
        <v/>
      </c>
    </row>
    <row r="268">
      <c r="N268">
        <f>IF(A268="","",COUNTIF('30_NGAN_HANG'!$B:$B,A268))</f>
        <v/>
      </c>
      <c r="O268">
        <f>IF(A268="","",COUNTIFS('30_NGAN_HANG'!$B:$B,A268,'30_NGAN_HANG'!$Y:$Y,"Approved"))</f>
        <v/>
      </c>
    </row>
    <row r="269">
      <c r="N269">
        <f>IF(A269="","",COUNTIF('30_NGAN_HANG'!$B:$B,A269))</f>
        <v/>
      </c>
      <c r="O269">
        <f>IF(A269="","",COUNTIFS('30_NGAN_HANG'!$B:$B,A269,'30_NGAN_HANG'!$Y:$Y,"Approved"))</f>
        <v/>
      </c>
    </row>
    <row r="270">
      <c r="N270">
        <f>IF(A270="","",COUNTIF('30_NGAN_HANG'!$B:$B,A270))</f>
        <v/>
      </c>
      <c r="O270">
        <f>IF(A270="","",COUNTIFS('30_NGAN_HANG'!$B:$B,A270,'30_NGAN_HANG'!$Y:$Y,"Approved"))</f>
        <v/>
      </c>
    </row>
    <row r="271">
      <c r="N271">
        <f>IF(A271="","",COUNTIF('30_NGAN_HANG'!$B:$B,A271))</f>
        <v/>
      </c>
      <c r="O271">
        <f>IF(A271="","",COUNTIFS('30_NGAN_HANG'!$B:$B,A271,'30_NGAN_HANG'!$Y:$Y,"Approved"))</f>
        <v/>
      </c>
    </row>
    <row r="272">
      <c r="N272">
        <f>IF(A272="","",COUNTIF('30_NGAN_HANG'!$B:$B,A272))</f>
        <v/>
      </c>
      <c r="O272">
        <f>IF(A272="","",COUNTIFS('30_NGAN_HANG'!$B:$B,A272,'30_NGAN_HANG'!$Y:$Y,"Approved"))</f>
        <v/>
      </c>
    </row>
    <row r="273">
      <c r="N273">
        <f>IF(A273="","",COUNTIF('30_NGAN_HANG'!$B:$B,A273))</f>
        <v/>
      </c>
      <c r="O273">
        <f>IF(A273="","",COUNTIFS('30_NGAN_HANG'!$B:$B,A273,'30_NGAN_HANG'!$Y:$Y,"Approved"))</f>
        <v/>
      </c>
    </row>
    <row r="274">
      <c r="N274">
        <f>IF(A274="","",COUNTIF('30_NGAN_HANG'!$B:$B,A274))</f>
        <v/>
      </c>
      <c r="O274">
        <f>IF(A274="","",COUNTIFS('30_NGAN_HANG'!$B:$B,A274,'30_NGAN_HANG'!$Y:$Y,"Approved"))</f>
        <v/>
      </c>
    </row>
    <row r="275">
      <c r="N275">
        <f>IF(A275="","",COUNTIF('30_NGAN_HANG'!$B:$B,A275))</f>
        <v/>
      </c>
      <c r="O275">
        <f>IF(A275="","",COUNTIFS('30_NGAN_HANG'!$B:$B,A275,'30_NGAN_HANG'!$Y:$Y,"Approved"))</f>
        <v/>
      </c>
    </row>
    <row r="276">
      <c r="N276">
        <f>IF(A276="","",COUNTIF('30_NGAN_HANG'!$B:$B,A276))</f>
        <v/>
      </c>
      <c r="O276">
        <f>IF(A276="","",COUNTIFS('30_NGAN_HANG'!$B:$B,A276,'30_NGAN_HANG'!$Y:$Y,"Approved"))</f>
        <v/>
      </c>
    </row>
    <row r="277">
      <c r="N277">
        <f>IF(A277="","",COUNTIF('30_NGAN_HANG'!$B:$B,A277))</f>
        <v/>
      </c>
      <c r="O277">
        <f>IF(A277="","",COUNTIFS('30_NGAN_HANG'!$B:$B,A277,'30_NGAN_HANG'!$Y:$Y,"Approved"))</f>
        <v/>
      </c>
    </row>
    <row r="278">
      <c r="N278">
        <f>IF(A278="","",COUNTIF('30_NGAN_HANG'!$B:$B,A278))</f>
        <v/>
      </c>
      <c r="O278">
        <f>IF(A278="","",COUNTIFS('30_NGAN_HANG'!$B:$B,A278,'30_NGAN_HANG'!$Y:$Y,"Approved"))</f>
        <v/>
      </c>
    </row>
    <row r="279">
      <c r="N279">
        <f>IF(A279="","",COUNTIF('30_NGAN_HANG'!$B:$B,A279))</f>
        <v/>
      </c>
      <c r="O279">
        <f>IF(A279="","",COUNTIFS('30_NGAN_HANG'!$B:$B,A279,'30_NGAN_HANG'!$Y:$Y,"Approved"))</f>
        <v/>
      </c>
    </row>
    <row r="280">
      <c r="N280">
        <f>IF(A280="","",COUNTIF('30_NGAN_HANG'!$B:$B,A280))</f>
        <v/>
      </c>
      <c r="O280">
        <f>IF(A280="","",COUNTIFS('30_NGAN_HANG'!$B:$B,A280,'30_NGAN_HANG'!$Y:$Y,"Approved"))</f>
        <v/>
      </c>
    </row>
    <row r="281">
      <c r="N281">
        <f>IF(A281="","",COUNTIF('30_NGAN_HANG'!$B:$B,A281))</f>
        <v/>
      </c>
      <c r="O281">
        <f>IF(A281="","",COUNTIFS('30_NGAN_HANG'!$B:$B,A281,'30_NGAN_HANG'!$Y:$Y,"Approved"))</f>
        <v/>
      </c>
    </row>
    <row r="282">
      <c r="N282">
        <f>IF(A282="","",COUNTIF('30_NGAN_HANG'!$B:$B,A282))</f>
        <v/>
      </c>
      <c r="O282">
        <f>IF(A282="","",COUNTIFS('30_NGAN_HANG'!$B:$B,A282,'30_NGAN_HANG'!$Y:$Y,"Approved"))</f>
        <v/>
      </c>
    </row>
    <row r="283">
      <c r="N283">
        <f>IF(A283="","",COUNTIF('30_NGAN_HANG'!$B:$B,A283))</f>
        <v/>
      </c>
      <c r="O283">
        <f>IF(A283="","",COUNTIFS('30_NGAN_HANG'!$B:$B,A283,'30_NGAN_HANG'!$Y:$Y,"Approved"))</f>
        <v/>
      </c>
    </row>
    <row r="284">
      <c r="N284">
        <f>IF(A284="","",COUNTIF('30_NGAN_HANG'!$B:$B,A284))</f>
        <v/>
      </c>
      <c r="O284">
        <f>IF(A284="","",COUNTIFS('30_NGAN_HANG'!$B:$B,A284,'30_NGAN_HANG'!$Y:$Y,"Approved"))</f>
        <v/>
      </c>
    </row>
    <row r="285">
      <c r="N285">
        <f>IF(A285="","",COUNTIF('30_NGAN_HANG'!$B:$B,A285))</f>
        <v/>
      </c>
      <c r="O285">
        <f>IF(A285="","",COUNTIFS('30_NGAN_HANG'!$B:$B,A285,'30_NGAN_HANG'!$Y:$Y,"Approved"))</f>
        <v/>
      </c>
    </row>
    <row r="286">
      <c r="N286">
        <f>IF(A286="","",COUNTIF('30_NGAN_HANG'!$B:$B,A286))</f>
        <v/>
      </c>
      <c r="O286">
        <f>IF(A286="","",COUNTIFS('30_NGAN_HANG'!$B:$B,A286,'30_NGAN_HANG'!$Y:$Y,"Approved"))</f>
        <v/>
      </c>
    </row>
    <row r="287">
      <c r="N287">
        <f>IF(A287="","",COUNTIF('30_NGAN_HANG'!$B:$B,A287))</f>
        <v/>
      </c>
      <c r="O287">
        <f>IF(A287="","",COUNTIFS('30_NGAN_HANG'!$B:$B,A287,'30_NGAN_HANG'!$Y:$Y,"Approved"))</f>
        <v/>
      </c>
    </row>
    <row r="288">
      <c r="N288">
        <f>IF(A288="","",COUNTIF('30_NGAN_HANG'!$B:$B,A288))</f>
        <v/>
      </c>
      <c r="O288">
        <f>IF(A288="","",COUNTIFS('30_NGAN_HANG'!$B:$B,A288,'30_NGAN_HANG'!$Y:$Y,"Approved"))</f>
        <v/>
      </c>
    </row>
    <row r="289">
      <c r="N289">
        <f>IF(A289="","",COUNTIF('30_NGAN_HANG'!$B:$B,A289))</f>
        <v/>
      </c>
      <c r="O289">
        <f>IF(A289="","",COUNTIFS('30_NGAN_HANG'!$B:$B,A289,'30_NGAN_HANG'!$Y:$Y,"Approved"))</f>
        <v/>
      </c>
    </row>
    <row r="290">
      <c r="N290">
        <f>IF(A290="","",COUNTIF('30_NGAN_HANG'!$B:$B,A290))</f>
        <v/>
      </c>
      <c r="O290">
        <f>IF(A290="","",COUNTIFS('30_NGAN_HANG'!$B:$B,A290,'30_NGAN_HANG'!$Y:$Y,"Approved"))</f>
        <v/>
      </c>
    </row>
    <row r="291">
      <c r="N291">
        <f>IF(A291="","",COUNTIF('30_NGAN_HANG'!$B:$B,A291))</f>
        <v/>
      </c>
      <c r="O291">
        <f>IF(A291="","",COUNTIFS('30_NGAN_HANG'!$B:$B,A291,'30_NGAN_HANG'!$Y:$Y,"Approved"))</f>
        <v/>
      </c>
    </row>
    <row r="292">
      <c r="N292">
        <f>IF(A292="","",COUNTIF('30_NGAN_HANG'!$B:$B,A292))</f>
        <v/>
      </c>
      <c r="O292">
        <f>IF(A292="","",COUNTIFS('30_NGAN_HANG'!$B:$B,A292,'30_NGAN_HANG'!$Y:$Y,"Approved"))</f>
        <v/>
      </c>
    </row>
    <row r="293">
      <c r="N293">
        <f>IF(A293="","",COUNTIF('30_NGAN_HANG'!$B:$B,A293))</f>
        <v/>
      </c>
      <c r="O293">
        <f>IF(A293="","",COUNTIFS('30_NGAN_HANG'!$B:$B,A293,'30_NGAN_HANG'!$Y:$Y,"Approved"))</f>
        <v/>
      </c>
    </row>
    <row r="294">
      <c r="N294">
        <f>IF(A294="","",COUNTIF('30_NGAN_HANG'!$B:$B,A294))</f>
        <v/>
      </c>
      <c r="O294">
        <f>IF(A294="","",COUNTIFS('30_NGAN_HANG'!$B:$B,A294,'30_NGAN_HANG'!$Y:$Y,"Approved"))</f>
        <v/>
      </c>
    </row>
    <row r="295">
      <c r="N295">
        <f>IF(A295="","",COUNTIF('30_NGAN_HANG'!$B:$B,A295))</f>
        <v/>
      </c>
      <c r="O295">
        <f>IF(A295="","",COUNTIFS('30_NGAN_HANG'!$B:$B,A295,'30_NGAN_HANG'!$Y:$Y,"Approved"))</f>
        <v/>
      </c>
    </row>
    <row r="296">
      <c r="N296">
        <f>IF(A296="","",COUNTIF('30_NGAN_HANG'!$B:$B,A296))</f>
        <v/>
      </c>
      <c r="O296">
        <f>IF(A296="","",COUNTIFS('30_NGAN_HANG'!$B:$B,A296,'30_NGAN_HANG'!$Y:$Y,"Approved"))</f>
        <v/>
      </c>
    </row>
    <row r="297">
      <c r="N297">
        <f>IF(A297="","",COUNTIF('30_NGAN_HANG'!$B:$B,A297))</f>
        <v/>
      </c>
      <c r="O297">
        <f>IF(A297="","",COUNTIFS('30_NGAN_HANG'!$B:$B,A297,'30_NGAN_HANG'!$Y:$Y,"Approved"))</f>
        <v/>
      </c>
    </row>
    <row r="298">
      <c r="N298">
        <f>IF(A298="","",COUNTIF('30_NGAN_HANG'!$B:$B,A298))</f>
        <v/>
      </c>
      <c r="O298">
        <f>IF(A298="","",COUNTIFS('30_NGAN_HANG'!$B:$B,A298,'30_NGAN_HANG'!$Y:$Y,"Approved"))</f>
        <v/>
      </c>
    </row>
    <row r="299">
      <c r="N299">
        <f>IF(A299="","",COUNTIF('30_NGAN_HANG'!$B:$B,A299))</f>
        <v/>
      </c>
      <c r="O299">
        <f>IF(A299="","",COUNTIFS('30_NGAN_HANG'!$B:$B,A299,'30_NGAN_HANG'!$Y:$Y,"Approved"))</f>
        <v/>
      </c>
    </row>
    <row r="300">
      <c r="N300">
        <f>IF(A300="","",COUNTIF('30_NGAN_HANG'!$B:$B,A300))</f>
        <v/>
      </c>
      <c r="O300">
        <f>IF(A300="","",COUNTIFS('30_NGAN_HANG'!$B:$B,A300,'30_NGAN_HANG'!$Y:$Y,"Approved"))</f>
        <v/>
      </c>
    </row>
  </sheetData>
  <dataValidations count="3">
    <dataValidation sqref="C3:C300" showDropDown="0" showInputMessage="0" showErrorMessage="0" allowBlank="1" type="list">
      <formula1>='99_DANH_MUC'!$A$2:$A$4</formula1>
    </dataValidation>
    <dataValidation sqref="K3:K300" showDropDown="0" showInputMessage="0" showErrorMessage="0" allowBlank="1" type="list">
      <formula1>='99_DANH_MUC'!$G$2:$G$4</formula1>
    </dataValidation>
    <dataValidation sqref="M3:M300" showDropDown="0" showInputMessage="0" showErrorMessage="0" allowBlank="1" type="list">
      <formula1>='99_DANH_MUC'!$E$2:$E$5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C55A11"/>
    <outlinePr summaryBelow="1" summaryRight="1"/>
    <pageSetUpPr/>
  </sheetPr>
  <dimension ref="A1:R30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12" customWidth="1" min="4" max="4"/>
    <col width="34" customWidth="1" min="5" max="5"/>
    <col width="30" customWidth="1" min="6" max="6"/>
    <col width="40" customWidth="1" min="7" max="7"/>
    <col width="40" customWidth="1" min="8" max="8"/>
    <col width="26" customWidth="1" min="9" max="9"/>
    <col width="40" customWidth="1" min="10" max="10"/>
    <col width="40" customWidth="1" min="11" max="11"/>
    <col width="34" customWidth="1" min="12" max="12"/>
    <col width="32" customWidth="1" min="13" max="13"/>
    <col width="28" customWidth="1" min="14" max="14"/>
    <col width="24" customWidth="1" min="15" max="15"/>
    <col width="24" customWidth="1" min="16" max="16"/>
    <col width="32" customWidth="1" min="17" max="17"/>
    <col width="34" customWidth="1" min="18" max="18"/>
  </cols>
  <sheetData>
    <row r="1">
      <c r="A1" s="7" t="inlineStr">
        <is>
          <t>会話と表現 › 表現  |  1 dòng = 1 yêu cầu sinh câu. Cam = bắt buộc, vàng = gợi ý cho AI.</t>
        </is>
      </c>
    </row>
    <row r="2" ht="42" customHeight="1">
      <c r="A2" s="8" t="inlineStr">
        <is>
          <t>Mã yêu cầu</t>
        </is>
      </c>
      <c r="B2" s="8" t="inlineStr">
        <is>
          <t>Mã đề (kế hoạch)</t>
        </is>
      </c>
      <c r="C2" s="8" t="inlineStr">
        <is>
          <t>Quyển</t>
        </is>
      </c>
      <c r="D2" s="8" t="inlineStr">
        <is>
          <t>Bài</t>
        </is>
      </c>
      <c r="E2" s="8" t="inlineStr">
        <is>
          <t>Số câu cần sinh</t>
        </is>
      </c>
      <c r="F2" s="9" t="inlineStr">
        <is>
          <t>Mã tình huống</t>
        </is>
      </c>
      <c r="G2" s="9" t="inlineStr">
        <is>
          <t>Chức năng giao tiếp</t>
        </is>
      </c>
      <c r="H2" s="9" t="inlineStr">
        <is>
          <t>Người nói → người nghe</t>
        </is>
      </c>
      <c r="I2" s="9" t="inlineStr">
        <is>
          <t>Mức lịch sự</t>
        </is>
      </c>
      <c r="J2" s="13" t="inlineStr">
        <is>
          <t>Mô tả tình huống (VN hoặc JP)</t>
        </is>
      </c>
      <c r="K2" s="13" t="inlineStr">
        <is>
          <t>Câu đúng mong muốn</t>
        </is>
      </c>
      <c r="L2" s="13" t="inlineStr">
        <is>
          <t>Câu nhiễu gợi ý</t>
        </is>
      </c>
      <c r="M2" s="8" t="inlineStr">
        <is>
          <t>Ghi chú cho AI</t>
        </is>
      </c>
      <c r="N2" s="8" t="inlineStr">
        <is>
          <t>Công cụ sinh</t>
        </is>
      </c>
      <c r="O2" s="8" t="inlineStr">
        <is>
          <t>Người nhập</t>
        </is>
      </c>
      <c r="P2" s="8" t="inlineStr">
        <is>
          <t>Trạng thái</t>
        </is>
      </c>
      <c r="Q2" s="10" t="inlineStr">
        <is>
          <t>Số câu đã sinh</t>
        </is>
      </c>
      <c r="R2" s="10" t="inlineStr">
        <is>
          <t>Số câu Approved</t>
        </is>
      </c>
    </row>
    <row r="3">
      <c r="A3" t="inlineStr">
        <is>
          <t>IN_05-0001</t>
        </is>
      </c>
      <c r="C3" t="inlineStr">
        <is>
          <t>入門</t>
        </is>
      </c>
      <c r="D3" t="n">
        <v>1</v>
      </c>
      <c r="E3" t="n">
        <v>3</v>
      </c>
      <c r="F3" t="inlineStr">
        <is>
          <t>TH-VÍ DỤ</t>
        </is>
      </c>
      <c r="G3" t="inlineStr">
        <is>
          <t>Xin phép về trước</t>
        </is>
      </c>
      <c r="H3" t="inlineStr">
        <is>
          <t>nhân viên → sếp</t>
        </is>
      </c>
      <c r="I3" t="inlineStr">
        <is>
          <t>です・ます</t>
        </is>
      </c>
      <c r="J3" t="inlineStr">
        <is>
          <t>Hết giờ làm, muốn về trước sếp</t>
        </is>
      </c>
      <c r="K3" t="inlineStr">
        <is>
          <t>お先に失礼します。</t>
        </is>
      </c>
      <c r="L3" t="inlineStr">
        <is>
          <t>お疲れさまでした。;いってきます。</t>
        </is>
      </c>
      <c r="M3" t="inlineStr">
        <is>
          <t>VÍ DỤ — xoá dòng này khi dùng thật</t>
        </is>
      </c>
      <c r="N3" t="inlineStr">
        <is>
          <t>ChatGPT</t>
        </is>
      </c>
      <c r="P3" t="inlineStr">
        <is>
          <t>Nháp</t>
        </is>
      </c>
      <c r="Q3">
        <f>IF(A3="","",COUNTIF('30_NGAN_HANG'!$B:$B,A3))</f>
        <v/>
      </c>
      <c r="R3">
        <f>IF(A3="","",COUNTIFS('30_NGAN_HANG'!$B:$B,A3,'30_NGAN_HANG'!$Y:$Y,"Approved"))</f>
        <v/>
      </c>
    </row>
    <row r="4">
      <c r="Q4">
        <f>IF(A4="","",COUNTIF('30_NGAN_HANG'!$B:$B,A4))</f>
        <v/>
      </c>
      <c r="R4">
        <f>IF(A4="","",COUNTIFS('30_NGAN_HANG'!$B:$B,A4,'30_NGAN_HANG'!$Y:$Y,"Approved"))</f>
        <v/>
      </c>
    </row>
    <row r="5">
      <c r="Q5">
        <f>IF(A5="","",COUNTIF('30_NGAN_HANG'!$B:$B,A5))</f>
        <v/>
      </c>
      <c r="R5">
        <f>IF(A5="","",COUNTIFS('30_NGAN_HANG'!$B:$B,A5,'30_NGAN_HANG'!$Y:$Y,"Approved"))</f>
        <v/>
      </c>
    </row>
    <row r="6">
      <c r="Q6">
        <f>IF(A6="","",COUNTIF('30_NGAN_HANG'!$B:$B,A6))</f>
        <v/>
      </c>
      <c r="R6">
        <f>IF(A6="","",COUNTIFS('30_NGAN_HANG'!$B:$B,A6,'30_NGAN_HANG'!$Y:$Y,"Approved"))</f>
        <v/>
      </c>
    </row>
    <row r="7">
      <c r="Q7">
        <f>IF(A7="","",COUNTIF('30_NGAN_HANG'!$B:$B,A7))</f>
        <v/>
      </c>
      <c r="R7">
        <f>IF(A7="","",COUNTIFS('30_NGAN_HANG'!$B:$B,A7,'30_NGAN_HANG'!$Y:$Y,"Approved"))</f>
        <v/>
      </c>
    </row>
    <row r="8">
      <c r="Q8">
        <f>IF(A8="","",COUNTIF('30_NGAN_HANG'!$B:$B,A8))</f>
        <v/>
      </c>
      <c r="R8">
        <f>IF(A8="","",COUNTIFS('30_NGAN_HANG'!$B:$B,A8,'30_NGAN_HANG'!$Y:$Y,"Approved"))</f>
        <v/>
      </c>
    </row>
    <row r="9">
      <c r="Q9">
        <f>IF(A9="","",COUNTIF('30_NGAN_HANG'!$B:$B,A9))</f>
        <v/>
      </c>
      <c r="R9">
        <f>IF(A9="","",COUNTIFS('30_NGAN_HANG'!$B:$B,A9,'30_NGAN_HANG'!$Y:$Y,"Approved"))</f>
        <v/>
      </c>
    </row>
    <row r="10">
      <c r="Q10">
        <f>IF(A10="","",COUNTIF('30_NGAN_HANG'!$B:$B,A10))</f>
        <v/>
      </c>
      <c r="R10">
        <f>IF(A10="","",COUNTIFS('30_NGAN_HANG'!$B:$B,A10,'30_NGAN_HANG'!$Y:$Y,"Approved"))</f>
        <v/>
      </c>
    </row>
    <row r="11">
      <c r="Q11">
        <f>IF(A11="","",COUNTIF('30_NGAN_HANG'!$B:$B,A11))</f>
        <v/>
      </c>
      <c r="R11">
        <f>IF(A11="","",COUNTIFS('30_NGAN_HANG'!$B:$B,A11,'30_NGAN_HANG'!$Y:$Y,"Approved"))</f>
        <v/>
      </c>
    </row>
    <row r="12">
      <c r="Q12">
        <f>IF(A12="","",COUNTIF('30_NGAN_HANG'!$B:$B,A12))</f>
        <v/>
      </c>
      <c r="R12">
        <f>IF(A12="","",COUNTIFS('30_NGAN_HANG'!$B:$B,A12,'30_NGAN_HANG'!$Y:$Y,"Approved"))</f>
        <v/>
      </c>
    </row>
    <row r="13">
      <c r="Q13">
        <f>IF(A13="","",COUNTIF('30_NGAN_HANG'!$B:$B,A13))</f>
        <v/>
      </c>
      <c r="R13">
        <f>IF(A13="","",COUNTIFS('30_NGAN_HANG'!$B:$B,A13,'30_NGAN_HANG'!$Y:$Y,"Approved"))</f>
        <v/>
      </c>
    </row>
    <row r="14">
      <c r="Q14">
        <f>IF(A14="","",COUNTIF('30_NGAN_HANG'!$B:$B,A14))</f>
        <v/>
      </c>
      <c r="R14">
        <f>IF(A14="","",COUNTIFS('30_NGAN_HANG'!$B:$B,A14,'30_NGAN_HANG'!$Y:$Y,"Approved"))</f>
        <v/>
      </c>
    </row>
    <row r="15">
      <c r="Q15">
        <f>IF(A15="","",COUNTIF('30_NGAN_HANG'!$B:$B,A15))</f>
        <v/>
      </c>
      <c r="R15">
        <f>IF(A15="","",COUNTIFS('30_NGAN_HANG'!$B:$B,A15,'30_NGAN_HANG'!$Y:$Y,"Approved"))</f>
        <v/>
      </c>
    </row>
    <row r="16">
      <c r="Q16">
        <f>IF(A16="","",COUNTIF('30_NGAN_HANG'!$B:$B,A16))</f>
        <v/>
      </c>
      <c r="R16">
        <f>IF(A16="","",COUNTIFS('30_NGAN_HANG'!$B:$B,A16,'30_NGAN_HANG'!$Y:$Y,"Approved"))</f>
        <v/>
      </c>
    </row>
    <row r="17">
      <c r="Q17">
        <f>IF(A17="","",COUNTIF('30_NGAN_HANG'!$B:$B,A17))</f>
        <v/>
      </c>
      <c r="R17">
        <f>IF(A17="","",COUNTIFS('30_NGAN_HANG'!$B:$B,A17,'30_NGAN_HANG'!$Y:$Y,"Approved"))</f>
        <v/>
      </c>
    </row>
    <row r="18">
      <c r="Q18">
        <f>IF(A18="","",COUNTIF('30_NGAN_HANG'!$B:$B,A18))</f>
        <v/>
      </c>
      <c r="R18">
        <f>IF(A18="","",COUNTIFS('30_NGAN_HANG'!$B:$B,A18,'30_NGAN_HANG'!$Y:$Y,"Approved"))</f>
        <v/>
      </c>
    </row>
    <row r="19">
      <c r="Q19">
        <f>IF(A19="","",COUNTIF('30_NGAN_HANG'!$B:$B,A19))</f>
        <v/>
      </c>
      <c r="R19">
        <f>IF(A19="","",COUNTIFS('30_NGAN_HANG'!$B:$B,A19,'30_NGAN_HANG'!$Y:$Y,"Approved"))</f>
        <v/>
      </c>
    </row>
    <row r="20">
      <c r="Q20">
        <f>IF(A20="","",COUNTIF('30_NGAN_HANG'!$B:$B,A20))</f>
        <v/>
      </c>
      <c r="R20">
        <f>IF(A20="","",COUNTIFS('30_NGAN_HANG'!$B:$B,A20,'30_NGAN_HANG'!$Y:$Y,"Approved"))</f>
        <v/>
      </c>
    </row>
    <row r="21">
      <c r="Q21">
        <f>IF(A21="","",COUNTIF('30_NGAN_HANG'!$B:$B,A21))</f>
        <v/>
      </c>
      <c r="R21">
        <f>IF(A21="","",COUNTIFS('30_NGAN_HANG'!$B:$B,A21,'30_NGAN_HANG'!$Y:$Y,"Approved"))</f>
        <v/>
      </c>
    </row>
    <row r="22">
      <c r="Q22">
        <f>IF(A22="","",COUNTIF('30_NGAN_HANG'!$B:$B,A22))</f>
        <v/>
      </c>
      <c r="R22">
        <f>IF(A22="","",COUNTIFS('30_NGAN_HANG'!$B:$B,A22,'30_NGAN_HANG'!$Y:$Y,"Approved"))</f>
        <v/>
      </c>
    </row>
    <row r="23">
      <c r="Q23">
        <f>IF(A23="","",COUNTIF('30_NGAN_HANG'!$B:$B,A23))</f>
        <v/>
      </c>
      <c r="R23">
        <f>IF(A23="","",COUNTIFS('30_NGAN_HANG'!$B:$B,A23,'30_NGAN_HANG'!$Y:$Y,"Approved"))</f>
        <v/>
      </c>
    </row>
    <row r="24">
      <c r="Q24">
        <f>IF(A24="","",COUNTIF('30_NGAN_HANG'!$B:$B,A24))</f>
        <v/>
      </c>
      <c r="R24">
        <f>IF(A24="","",COUNTIFS('30_NGAN_HANG'!$B:$B,A24,'30_NGAN_HANG'!$Y:$Y,"Approved"))</f>
        <v/>
      </c>
    </row>
    <row r="25">
      <c r="Q25">
        <f>IF(A25="","",COUNTIF('30_NGAN_HANG'!$B:$B,A25))</f>
        <v/>
      </c>
      <c r="R25">
        <f>IF(A25="","",COUNTIFS('30_NGAN_HANG'!$B:$B,A25,'30_NGAN_HANG'!$Y:$Y,"Approved"))</f>
        <v/>
      </c>
    </row>
    <row r="26">
      <c r="Q26">
        <f>IF(A26="","",COUNTIF('30_NGAN_HANG'!$B:$B,A26))</f>
        <v/>
      </c>
      <c r="R26">
        <f>IF(A26="","",COUNTIFS('30_NGAN_HANG'!$B:$B,A26,'30_NGAN_HANG'!$Y:$Y,"Approved"))</f>
        <v/>
      </c>
    </row>
    <row r="27">
      <c r="Q27">
        <f>IF(A27="","",COUNTIF('30_NGAN_HANG'!$B:$B,A27))</f>
        <v/>
      </c>
      <c r="R27">
        <f>IF(A27="","",COUNTIFS('30_NGAN_HANG'!$B:$B,A27,'30_NGAN_HANG'!$Y:$Y,"Approved"))</f>
        <v/>
      </c>
    </row>
    <row r="28">
      <c r="Q28">
        <f>IF(A28="","",COUNTIF('30_NGAN_HANG'!$B:$B,A28))</f>
        <v/>
      </c>
      <c r="R28">
        <f>IF(A28="","",COUNTIFS('30_NGAN_HANG'!$B:$B,A28,'30_NGAN_HANG'!$Y:$Y,"Approved"))</f>
        <v/>
      </c>
    </row>
    <row r="29">
      <c r="Q29">
        <f>IF(A29="","",COUNTIF('30_NGAN_HANG'!$B:$B,A29))</f>
        <v/>
      </c>
      <c r="R29">
        <f>IF(A29="","",COUNTIFS('30_NGAN_HANG'!$B:$B,A29,'30_NGAN_HANG'!$Y:$Y,"Approved"))</f>
        <v/>
      </c>
    </row>
    <row r="30">
      <c r="Q30">
        <f>IF(A30="","",COUNTIF('30_NGAN_HANG'!$B:$B,A30))</f>
        <v/>
      </c>
      <c r="R30">
        <f>IF(A30="","",COUNTIFS('30_NGAN_HANG'!$B:$B,A30,'30_NGAN_HANG'!$Y:$Y,"Approved"))</f>
        <v/>
      </c>
    </row>
    <row r="31">
      <c r="Q31">
        <f>IF(A31="","",COUNTIF('30_NGAN_HANG'!$B:$B,A31))</f>
        <v/>
      </c>
      <c r="R31">
        <f>IF(A31="","",COUNTIFS('30_NGAN_HANG'!$B:$B,A31,'30_NGAN_HANG'!$Y:$Y,"Approved"))</f>
        <v/>
      </c>
    </row>
    <row r="32">
      <c r="Q32">
        <f>IF(A32="","",COUNTIF('30_NGAN_HANG'!$B:$B,A32))</f>
        <v/>
      </c>
      <c r="R32">
        <f>IF(A32="","",COUNTIFS('30_NGAN_HANG'!$B:$B,A32,'30_NGAN_HANG'!$Y:$Y,"Approved"))</f>
        <v/>
      </c>
    </row>
    <row r="33">
      <c r="Q33">
        <f>IF(A33="","",COUNTIF('30_NGAN_HANG'!$B:$B,A33))</f>
        <v/>
      </c>
      <c r="R33">
        <f>IF(A33="","",COUNTIFS('30_NGAN_HANG'!$B:$B,A33,'30_NGAN_HANG'!$Y:$Y,"Approved"))</f>
        <v/>
      </c>
    </row>
    <row r="34">
      <c r="Q34">
        <f>IF(A34="","",COUNTIF('30_NGAN_HANG'!$B:$B,A34))</f>
        <v/>
      </c>
      <c r="R34">
        <f>IF(A34="","",COUNTIFS('30_NGAN_HANG'!$B:$B,A34,'30_NGAN_HANG'!$Y:$Y,"Approved"))</f>
        <v/>
      </c>
    </row>
    <row r="35">
      <c r="Q35">
        <f>IF(A35="","",COUNTIF('30_NGAN_HANG'!$B:$B,A35))</f>
        <v/>
      </c>
      <c r="R35">
        <f>IF(A35="","",COUNTIFS('30_NGAN_HANG'!$B:$B,A35,'30_NGAN_HANG'!$Y:$Y,"Approved"))</f>
        <v/>
      </c>
    </row>
    <row r="36">
      <c r="Q36">
        <f>IF(A36="","",COUNTIF('30_NGAN_HANG'!$B:$B,A36))</f>
        <v/>
      </c>
      <c r="R36">
        <f>IF(A36="","",COUNTIFS('30_NGAN_HANG'!$B:$B,A36,'30_NGAN_HANG'!$Y:$Y,"Approved"))</f>
        <v/>
      </c>
    </row>
    <row r="37">
      <c r="Q37">
        <f>IF(A37="","",COUNTIF('30_NGAN_HANG'!$B:$B,A37))</f>
        <v/>
      </c>
      <c r="R37">
        <f>IF(A37="","",COUNTIFS('30_NGAN_HANG'!$B:$B,A37,'30_NGAN_HANG'!$Y:$Y,"Approved"))</f>
        <v/>
      </c>
    </row>
    <row r="38">
      <c r="Q38">
        <f>IF(A38="","",COUNTIF('30_NGAN_HANG'!$B:$B,A38))</f>
        <v/>
      </c>
      <c r="R38">
        <f>IF(A38="","",COUNTIFS('30_NGAN_HANG'!$B:$B,A38,'30_NGAN_HANG'!$Y:$Y,"Approved"))</f>
        <v/>
      </c>
    </row>
    <row r="39">
      <c r="Q39">
        <f>IF(A39="","",COUNTIF('30_NGAN_HANG'!$B:$B,A39))</f>
        <v/>
      </c>
      <c r="R39">
        <f>IF(A39="","",COUNTIFS('30_NGAN_HANG'!$B:$B,A39,'30_NGAN_HANG'!$Y:$Y,"Approved"))</f>
        <v/>
      </c>
    </row>
    <row r="40">
      <c r="Q40">
        <f>IF(A40="","",COUNTIF('30_NGAN_HANG'!$B:$B,A40))</f>
        <v/>
      </c>
      <c r="R40">
        <f>IF(A40="","",COUNTIFS('30_NGAN_HANG'!$B:$B,A40,'30_NGAN_HANG'!$Y:$Y,"Approved"))</f>
        <v/>
      </c>
    </row>
    <row r="41">
      <c r="Q41">
        <f>IF(A41="","",COUNTIF('30_NGAN_HANG'!$B:$B,A41))</f>
        <v/>
      </c>
      <c r="R41">
        <f>IF(A41="","",COUNTIFS('30_NGAN_HANG'!$B:$B,A41,'30_NGAN_HANG'!$Y:$Y,"Approved"))</f>
        <v/>
      </c>
    </row>
    <row r="42">
      <c r="Q42">
        <f>IF(A42="","",COUNTIF('30_NGAN_HANG'!$B:$B,A42))</f>
        <v/>
      </c>
      <c r="R42">
        <f>IF(A42="","",COUNTIFS('30_NGAN_HANG'!$B:$B,A42,'30_NGAN_HANG'!$Y:$Y,"Approved"))</f>
        <v/>
      </c>
    </row>
    <row r="43">
      <c r="Q43">
        <f>IF(A43="","",COUNTIF('30_NGAN_HANG'!$B:$B,A43))</f>
        <v/>
      </c>
      <c r="R43">
        <f>IF(A43="","",COUNTIFS('30_NGAN_HANG'!$B:$B,A43,'30_NGAN_HANG'!$Y:$Y,"Approved"))</f>
        <v/>
      </c>
    </row>
    <row r="44">
      <c r="Q44">
        <f>IF(A44="","",COUNTIF('30_NGAN_HANG'!$B:$B,A44))</f>
        <v/>
      </c>
      <c r="R44">
        <f>IF(A44="","",COUNTIFS('30_NGAN_HANG'!$B:$B,A44,'30_NGAN_HANG'!$Y:$Y,"Approved"))</f>
        <v/>
      </c>
    </row>
    <row r="45">
      <c r="Q45">
        <f>IF(A45="","",COUNTIF('30_NGAN_HANG'!$B:$B,A45))</f>
        <v/>
      </c>
      <c r="R45">
        <f>IF(A45="","",COUNTIFS('30_NGAN_HANG'!$B:$B,A45,'30_NGAN_HANG'!$Y:$Y,"Approved"))</f>
        <v/>
      </c>
    </row>
    <row r="46">
      <c r="Q46">
        <f>IF(A46="","",COUNTIF('30_NGAN_HANG'!$B:$B,A46))</f>
        <v/>
      </c>
      <c r="R46">
        <f>IF(A46="","",COUNTIFS('30_NGAN_HANG'!$B:$B,A46,'30_NGAN_HANG'!$Y:$Y,"Approved"))</f>
        <v/>
      </c>
    </row>
    <row r="47">
      <c r="Q47">
        <f>IF(A47="","",COUNTIF('30_NGAN_HANG'!$B:$B,A47))</f>
        <v/>
      </c>
      <c r="R47">
        <f>IF(A47="","",COUNTIFS('30_NGAN_HANG'!$B:$B,A47,'30_NGAN_HANG'!$Y:$Y,"Approved"))</f>
        <v/>
      </c>
    </row>
    <row r="48">
      <c r="Q48">
        <f>IF(A48="","",COUNTIF('30_NGAN_HANG'!$B:$B,A48))</f>
        <v/>
      </c>
      <c r="R48">
        <f>IF(A48="","",COUNTIFS('30_NGAN_HANG'!$B:$B,A48,'30_NGAN_HANG'!$Y:$Y,"Approved"))</f>
        <v/>
      </c>
    </row>
    <row r="49">
      <c r="Q49">
        <f>IF(A49="","",COUNTIF('30_NGAN_HANG'!$B:$B,A49))</f>
        <v/>
      </c>
      <c r="R49">
        <f>IF(A49="","",COUNTIFS('30_NGAN_HANG'!$B:$B,A49,'30_NGAN_HANG'!$Y:$Y,"Approved"))</f>
        <v/>
      </c>
    </row>
    <row r="50">
      <c r="Q50">
        <f>IF(A50="","",COUNTIF('30_NGAN_HANG'!$B:$B,A50))</f>
        <v/>
      </c>
      <c r="R50">
        <f>IF(A50="","",COUNTIFS('30_NGAN_HANG'!$B:$B,A50,'30_NGAN_HANG'!$Y:$Y,"Approved"))</f>
        <v/>
      </c>
    </row>
    <row r="51">
      <c r="Q51">
        <f>IF(A51="","",COUNTIF('30_NGAN_HANG'!$B:$B,A51))</f>
        <v/>
      </c>
      <c r="R51">
        <f>IF(A51="","",COUNTIFS('30_NGAN_HANG'!$B:$B,A51,'30_NGAN_HANG'!$Y:$Y,"Approved"))</f>
        <v/>
      </c>
    </row>
    <row r="52">
      <c r="Q52">
        <f>IF(A52="","",COUNTIF('30_NGAN_HANG'!$B:$B,A52))</f>
        <v/>
      </c>
      <c r="R52">
        <f>IF(A52="","",COUNTIFS('30_NGAN_HANG'!$B:$B,A52,'30_NGAN_HANG'!$Y:$Y,"Approved"))</f>
        <v/>
      </c>
    </row>
    <row r="53">
      <c r="Q53">
        <f>IF(A53="","",COUNTIF('30_NGAN_HANG'!$B:$B,A53))</f>
        <v/>
      </c>
      <c r="R53">
        <f>IF(A53="","",COUNTIFS('30_NGAN_HANG'!$B:$B,A53,'30_NGAN_HANG'!$Y:$Y,"Approved"))</f>
        <v/>
      </c>
    </row>
    <row r="54">
      <c r="Q54">
        <f>IF(A54="","",COUNTIF('30_NGAN_HANG'!$B:$B,A54))</f>
        <v/>
      </c>
      <c r="R54">
        <f>IF(A54="","",COUNTIFS('30_NGAN_HANG'!$B:$B,A54,'30_NGAN_HANG'!$Y:$Y,"Approved"))</f>
        <v/>
      </c>
    </row>
    <row r="55">
      <c r="Q55">
        <f>IF(A55="","",COUNTIF('30_NGAN_HANG'!$B:$B,A55))</f>
        <v/>
      </c>
      <c r="R55">
        <f>IF(A55="","",COUNTIFS('30_NGAN_HANG'!$B:$B,A55,'30_NGAN_HANG'!$Y:$Y,"Approved"))</f>
        <v/>
      </c>
    </row>
    <row r="56">
      <c r="Q56">
        <f>IF(A56="","",COUNTIF('30_NGAN_HANG'!$B:$B,A56))</f>
        <v/>
      </c>
      <c r="R56">
        <f>IF(A56="","",COUNTIFS('30_NGAN_HANG'!$B:$B,A56,'30_NGAN_HANG'!$Y:$Y,"Approved"))</f>
        <v/>
      </c>
    </row>
    <row r="57">
      <c r="Q57">
        <f>IF(A57="","",COUNTIF('30_NGAN_HANG'!$B:$B,A57))</f>
        <v/>
      </c>
      <c r="R57">
        <f>IF(A57="","",COUNTIFS('30_NGAN_HANG'!$B:$B,A57,'30_NGAN_HANG'!$Y:$Y,"Approved"))</f>
        <v/>
      </c>
    </row>
    <row r="58">
      <c r="Q58">
        <f>IF(A58="","",COUNTIF('30_NGAN_HANG'!$B:$B,A58))</f>
        <v/>
      </c>
      <c r="R58">
        <f>IF(A58="","",COUNTIFS('30_NGAN_HANG'!$B:$B,A58,'30_NGAN_HANG'!$Y:$Y,"Approved"))</f>
        <v/>
      </c>
    </row>
    <row r="59">
      <c r="Q59">
        <f>IF(A59="","",COUNTIF('30_NGAN_HANG'!$B:$B,A59))</f>
        <v/>
      </c>
      <c r="R59">
        <f>IF(A59="","",COUNTIFS('30_NGAN_HANG'!$B:$B,A59,'30_NGAN_HANG'!$Y:$Y,"Approved"))</f>
        <v/>
      </c>
    </row>
    <row r="60">
      <c r="Q60">
        <f>IF(A60="","",COUNTIF('30_NGAN_HANG'!$B:$B,A60))</f>
        <v/>
      </c>
      <c r="R60">
        <f>IF(A60="","",COUNTIFS('30_NGAN_HANG'!$B:$B,A60,'30_NGAN_HANG'!$Y:$Y,"Approved"))</f>
        <v/>
      </c>
    </row>
    <row r="61">
      <c r="Q61">
        <f>IF(A61="","",COUNTIF('30_NGAN_HANG'!$B:$B,A61))</f>
        <v/>
      </c>
      <c r="R61">
        <f>IF(A61="","",COUNTIFS('30_NGAN_HANG'!$B:$B,A61,'30_NGAN_HANG'!$Y:$Y,"Approved"))</f>
        <v/>
      </c>
    </row>
    <row r="62">
      <c r="Q62">
        <f>IF(A62="","",COUNTIF('30_NGAN_HANG'!$B:$B,A62))</f>
        <v/>
      </c>
      <c r="R62">
        <f>IF(A62="","",COUNTIFS('30_NGAN_HANG'!$B:$B,A62,'30_NGAN_HANG'!$Y:$Y,"Approved"))</f>
        <v/>
      </c>
    </row>
    <row r="63">
      <c r="Q63">
        <f>IF(A63="","",COUNTIF('30_NGAN_HANG'!$B:$B,A63))</f>
        <v/>
      </c>
      <c r="R63">
        <f>IF(A63="","",COUNTIFS('30_NGAN_HANG'!$B:$B,A63,'30_NGAN_HANG'!$Y:$Y,"Approved"))</f>
        <v/>
      </c>
    </row>
    <row r="64">
      <c r="Q64">
        <f>IF(A64="","",COUNTIF('30_NGAN_HANG'!$B:$B,A64))</f>
        <v/>
      </c>
      <c r="R64">
        <f>IF(A64="","",COUNTIFS('30_NGAN_HANG'!$B:$B,A64,'30_NGAN_HANG'!$Y:$Y,"Approved"))</f>
        <v/>
      </c>
    </row>
    <row r="65">
      <c r="Q65">
        <f>IF(A65="","",COUNTIF('30_NGAN_HANG'!$B:$B,A65))</f>
        <v/>
      </c>
      <c r="R65">
        <f>IF(A65="","",COUNTIFS('30_NGAN_HANG'!$B:$B,A65,'30_NGAN_HANG'!$Y:$Y,"Approved"))</f>
        <v/>
      </c>
    </row>
    <row r="66">
      <c r="Q66">
        <f>IF(A66="","",COUNTIF('30_NGAN_HANG'!$B:$B,A66))</f>
        <v/>
      </c>
      <c r="R66">
        <f>IF(A66="","",COUNTIFS('30_NGAN_HANG'!$B:$B,A66,'30_NGAN_HANG'!$Y:$Y,"Approved"))</f>
        <v/>
      </c>
    </row>
    <row r="67">
      <c r="Q67">
        <f>IF(A67="","",COUNTIF('30_NGAN_HANG'!$B:$B,A67))</f>
        <v/>
      </c>
      <c r="R67">
        <f>IF(A67="","",COUNTIFS('30_NGAN_HANG'!$B:$B,A67,'30_NGAN_HANG'!$Y:$Y,"Approved"))</f>
        <v/>
      </c>
    </row>
    <row r="68">
      <c r="Q68">
        <f>IF(A68="","",COUNTIF('30_NGAN_HANG'!$B:$B,A68))</f>
        <v/>
      </c>
      <c r="R68">
        <f>IF(A68="","",COUNTIFS('30_NGAN_HANG'!$B:$B,A68,'30_NGAN_HANG'!$Y:$Y,"Approved"))</f>
        <v/>
      </c>
    </row>
    <row r="69">
      <c r="Q69">
        <f>IF(A69="","",COUNTIF('30_NGAN_HANG'!$B:$B,A69))</f>
        <v/>
      </c>
      <c r="R69">
        <f>IF(A69="","",COUNTIFS('30_NGAN_HANG'!$B:$B,A69,'30_NGAN_HANG'!$Y:$Y,"Approved"))</f>
        <v/>
      </c>
    </row>
    <row r="70">
      <c r="Q70">
        <f>IF(A70="","",COUNTIF('30_NGAN_HANG'!$B:$B,A70))</f>
        <v/>
      </c>
      <c r="R70">
        <f>IF(A70="","",COUNTIFS('30_NGAN_HANG'!$B:$B,A70,'30_NGAN_HANG'!$Y:$Y,"Approved"))</f>
        <v/>
      </c>
    </row>
    <row r="71">
      <c r="Q71">
        <f>IF(A71="","",COUNTIF('30_NGAN_HANG'!$B:$B,A71))</f>
        <v/>
      </c>
      <c r="R71">
        <f>IF(A71="","",COUNTIFS('30_NGAN_HANG'!$B:$B,A71,'30_NGAN_HANG'!$Y:$Y,"Approved"))</f>
        <v/>
      </c>
    </row>
    <row r="72">
      <c r="Q72">
        <f>IF(A72="","",COUNTIF('30_NGAN_HANG'!$B:$B,A72))</f>
        <v/>
      </c>
      <c r="R72">
        <f>IF(A72="","",COUNTIFS('30_NGAN_HANG'!$B:$B,A72,'30_NGAN_HANG'!$Y:$Y,"Approved"))</f>
        <v/>
      </c>
    </row>
    <row r="73">
      <c r="Q73">
        <f>IF(A73="","",COUNTIF('30_NGAN_HANG'!$B:$B,A73))</f>
        <v/>
      </c>
      <c r="R73">
        <f>IF(A73="","",COUNTIFS('30_NGAN_HANG'!$B:$B,A73,'30_NGAN_HANG'!$Y:$Y,"Approved"))</f>
        <v/>
      </c>
    </row>
    <row r="74">
      <c r="Q74">
        <f>IF(A74="","",COUNTIF('30_NGAN_HANG'!$B:$B,A74))</f>
        <v/>
      </c>
      <c r="R74">
        <f>IF(A74="","",COUNTIFS('30_NGAN_HANG'!$B:$B,A74,'30_NGAN_HANG'!$Y:$Y,"Approved"))</f>
        <v/>
      </c>
    </row>
    <row r="75">
      <c r="Q75">
        <f>IF(A75="","",COUNTIF('30_NGAN_HANG'!$B:$B,A75))</f>
        <v/>
      </c>
      <c r="R75">
        <f>IF(A75="","",COUNTIFS('30_NGAN_HANG'!$B:$B,A75,'30_NGAN_HANG'!$Y:$Y,"Approved"))</f>
        <v/>
      </c>
    </row>
    <row r="76">
      <c r="Q76">
        <f>IF(A76="","",COUNTIF('30_NGAN_HANG'!$B:$B,A76))</f>
        <v/>
      </c>
      <c r="R76">
        <f>IF(A76="","",COUNTIFS('30_NGAN_HANG'!$B:$B,A76,'30_NGAN_HANG'!$Y:$Y,"Approved"))</f>
        <v/>
      </c>
    </row>
    <row r="77">
      <c r="Q77">
        <f>IF(A77="","",COUNTIF('30_NGAN_HANG'!$B:$B,A77))</f>
        <v/>
      </c>
      <c r="R77">
        <f>IF(A77="","",COUNTIFS('30_NGAN_HANG'!$B:$B,A77,'30_NGAN_HANG'!$Y:$Y,"Approved"))</f>
        <v/>
      </c>
    </row>
    <row r="78">
      <c r="Q78">
        <f>IF(A78="","",COUNTIF('30_NGAN_HANG'!$B:$B,A78))</f>
        <v/>
      </c>
      <c r="R78">
        <f>IF(A78="","",COUNTIFS('30_NGAN_HANG'!$B:$B,A78,'30_NGAN_HANG'!$Y:$Y,"Approved"))</f>
        <v/>
      </c>
    </row>
    <row r="79">
      <c r="Q79">
        <f>IF(A79="","",COUNTIF('30_NGAN_HANG'!$B:$B,A79))</f>
        <v/>
      </c>
      <c r="R79">
        <f>IF(A79="","",COUNTIFS('30_NGAN_HANG'!$B:$B,A79,'30_NGAN_HANG'!$Y:$Y,"Approved"))</f>
        <v/>
      </c>
    </row>
    <row r="80">
      <c r="Q80">
        <f>IF(A80="","",COUNTIF('30_NGAN_HANG'!$B:$B,A80))</f>
        <v/>
      </c>
      <c r="R80">
        <f>IF(A80="","",COUNTIFS('30_NGAN_HANG'!$B:$B,A80,'30_NGAN_HANG'!$Y:$Y,"Approved"))</f>
        <v/>
      </c>
    </row>
    <row r="81">
      <c r="Q81">
        <f>IF(A81="","",COUNTIF('30_NGAN_HANG'!$B:$B,A81))</f>
        <v/>
      </c>
      <c r="R81">
        <f>IF(A81="","",COUNTIFS('30_NGAN_HANG'!$B:$B,A81,'30_NGAN_HANG'!$Y:$Y,"Approved"))</f>
        <v/>
      </c>
    </row>
    <row r="82">
      <c r="Q82">
        <f>IF(A82="","",COUNTIF('30_NGAN_HANG'!$B:$B,A82))</f>
        <v/>
      </c>
      <c r="R82">
        <f>IF(A82="","",COUNTIFS('30_NGAN_HANG'!$B:$B,A82,'30_NGAN_HANG'!$Y:$Y,"Approved"))</f>
        <v/>
      </c>
    </row>
    <row r="83">
      <c r="Q83">
        <f>IF(A83="","",COUNTIF('30_NGAN_HANG'!$B:$B,A83))</f>
        <v/>
      </c>
      <c r="R83">
        <f>IF(A83="","",COUNTIFS('30_NGAN_HANG'!$B:$B,A83,'30_NGAN_HANG'!$Y:$Y,"Approved"))</f>
        <v/>
      </c>
    </row>
    <row r="84">
      <c r="Q84">
        <f>IF(A84="","",COUNTIF('30_NGAN_HANG'!$B:$B,A84))</f>
        <v/>
      </c>
      <c r="R84">
        <f>IF(A84="","",COUNTIFS('30_NGAN_HANG'!$B:$B,A84,'30_NGAN_HANG'!$Y:$Y,"Approved"))</f>
        <v/>
      </c>
    </row>
    <row r="85">
      <c r="Q85">
        <f>IF(A85="","",COUNTIF('30_NGAN_HANG'!$B:$B,A85))</f>
        <v/>
      </c>
      <c r="R85">
        <f>IF(A85="","",COUNTIFS('30_NGAN_HANG'!$B:$B,A85,'30_NGAN_HANG'!$Y:$Y,"Approved"))</f>
        <v/>
      </c>
    </row>
    <row r="86">
      <c r="Q86">
        <f>IF(A86="","",COUNTIF('30_NGAN_HANG'!$B:$B,A86))</f>
        <v/>
      </c>
      <c r="R86">
        <f>IF(A86="","",COUNTIFS('30_NGAN_HANG'!$B:$B,A86,'30_NGAN_HANG'!$Y:$Y,"Approved"))</f>
        <v/>
      </c>
    </row>
    <row r="87">
      <c r="Q87">
        <f>IF(A87="","",COUNTIF('30_NGAN_HANG'!$B:$B,A87))</f>
        <v/>
      </c>
      <c r="R87">
        <f>IF(A87="","",COUNTIFS('30_NGAN_HANG'!$B:$B,A87,'30_NGAN_HANG'!$Y:$Y,"Approved"))</f>
        <v/>
      </c>
    </row>
    <row r="88">
      <c r="Q88">
        <f>IF(A88="","",COUNTIF('30_NGAN_HANG'!$B:$B,A88))</f>
        <v/>
      </c>
      <c r="R88">
        <f>IF(A88="","",COUNTIFS('30_NGAN_HANG'!$B:$B,A88,'30_NGAN_HANG'!$Y:$Y,"Approved"))</f>
        <v/>
      </c>
    </row>
    <row r="89">
      <c r="Q89">
        <f>IF(A89="","",COUNTIF('30_NGAN_HANG'!$B:$B,A89))</f>
        <v/>
      </c>
      <c r="R89">
        <f>IF(A89="","",COUNTIFS('30_NGAN_HANG'!$B:$B,A89,'30_NGAN_HANG'!$Y:$Y,"Approved"))</f>
        <v/>
      </c>
    </row>
    <row r="90">
      <c r="Q90">
        <f>IF(A90="","",COUNTIF('30_NGAN_HANG'!$B:$B,A90))</f>
        <v/>
      </c>
      <c r="R90">
        <f>IF(A90="","",COUNTIFS('30_NGAN_HANG'!$B:$B,A90,'30_NGAN_HANG'!$Y:$Y,"Approved"))</f>
        <v/>
      </c>
    </row>
    <row r="91">
      <c r="Q91">
        <f>IF(A91="","",COUNTIF('30_NGAN_HANG'!$B:$B,A91))</f>
        <v/>
      </c>
      <c r="R91">
        <f>IF(A91="","",COUNTIFS('30_NGAN_HANG'!$B:$B,A91,'30_NGAN_HANG'!$Y:$Y,"Approved"))</f>
        <v/>
      </c>
    </row>
    <row r="92">
      <c r="Q92">
        <f>IF(A92="","",COUNTIF('30_NGAN_HANG'!$B:$B,A92))</f>
        <v/>
      </c>
      <c r="R92">
        <f>IF(A92="","",COUNTIFS('30_NGAN_HANG'!$B:$B,A92,'30_NGAN_HANG'!$Y:$Y,"Approved"))</f>
        <v/>
      </c>
    </row>
    <row r="93">
      <c r="Q93">
        <f>IF(A93="","",COUNTIF('30_NGAN_HANG'!$B:$B,A93))</f>
        <v/>
      </c>
      <c r="R93">
        <f>IF(A93="","",COUNTIFS('30_NGAN_HANG'!$B:$B,A93,'30_NGAN_HANG'!$Y:$Y,"Approved"))</f>
        <v/>
      </c>
    </row>
    <row r="94">
      <c r="Q94">
        <f>IF(A94="","",COUNTIF('30_NGAN_HANG'!$B:$B,A94))</f>
        <v/>
      </c>
      <c r="R94">
        <f>IF(A94="","",COUNTIFS('30_NGAN_HANG'!$B:$B,A94,'30_NGAN_HANG'!$Y:$Y,"Approved"))</f>
        <v/>
      </c>
    </row>
    <row r="95">
      <c r="Q95">
        <f>IF(A95="","",COUNTIF('30_NGAN_HANG'!$B:$B,A95))</f>
        <v/>
      </c>
      <c r="R95">
        <f>IF(A95="","",COUNTIFS('30_NGAN_HANG'!$B:$B,A95,'30_NGAN_HANG'!$Y:$Y,"Approved"))</f>
        <v/>
      </c>
    </row>
    <row r="96">
      <c r="Q96">
        <f>IF(A96="","",COUNTIF('30_NGAN_HANG'!$B:$B,A96))</f>
        <v/>
      </c>
      <c r="R96">
        <f>IF(A96="","",COUNTIFS('30_NGAN_HANG'!$B:$B,A96,'30_NGAN_HANG'!$Y:$Y,"Approved"))</f>
        <v/>
      </c>
    </row>
    <row r="97">
      <c r="Q97">
        <f>IF(A97="","",COUNTIF('30_NGAN_HANG'!$B:$B,A97))</f>
        <v/>
      </c>
      <c r="R97">
        <f>IF(A97="","",COUNTIFS('30_NGAN_HANG'!$B:$B,A97,'30_NGAN_HANG'!$Y:$Y,"Approved"))</f>
        <v/>
      </c>
    </row>
    <row r="98">
      <c r="Q98">
        <f>IF(A98="","",COUNTIF('30_NGAN_HANG'!$B:$B,A98))</f>
        <v/>
      </c>
      <c r="R98">
        <f>IF(A98="","",COUNTIFS('30_NGAN_HANG'!$B:$B,A98,'30_NGAN_HANG'!$Y:$Y,"Approved"))</f>
        <v/>
      </c>
    </row>
    <row r="99">
      <c r="Q99">
        <f>IF(A99="","",COUNTIF('30_NGAN_HANG'!$B:$B,A99))</f>
        <v/>
      </c>
      <c r="R99">
        <f>IF(A99="","",COUNTIFS('30_NGAN_HANG'!$B:$B,A99,'30_NGAN_HANG'!$Y:$Y,"Approved"))</f>
        <v/>
      </c>
    </row>
    <row r="100">
      <c r="Q100">
        <f>IF(A100="","",COUNTIF('30_NGAN_HANG'!$B:$B,A100))</f>
        <v/>
      </c>
      <c r="R100">
        <f>IF(A100="","",COUNTIFS('30_NGAN_HANG'!$B:$B,A100,'30_NGAN_HANG'!$Y:$Y,"Approved"))</f>
        <v/>
      </c>
    </row>
    <row r="101">
      <c r="Q101">
        <f>IF(A101="","",COUNTIF('30_NGAN_HANG'!$B:$B,A101))</f>
        <v/>
      </c>
      <c r="R101">
        <f>IF(A101="","",COUNTIFS('30_NGAN_HANG'!$B:$B,A101,'30_NGAN_HANG'!$Y:$Y,"Approved"))</f>
        <v/>
      </c>
    </row>
    <row r="102">
      <c r="Q102">
        <f>IF(A102="","",COUNTIF('30_NGAN_HANG'!$B:$B,A102))</f>
        <v/>
      </c>
      <c r="R102">
        <f>IF(A102="","",COUNTIFS('30_NGAN_HANG'!$B:$B,A102,'30_NGAN_HANG'!$Y:$Y,"Approved"))</f>
        <v/>
      </c>
    </row>
    <row r="103">
      <c r="Q103">
        <f>IF(A103="","",COUNTIF('30_NGAN_HANG'!$B:$B,A103))</f>
        <v/>
      </c>
      <c r="R103">
        <f>IF(A103="","",COUNTIFS('30_NGAN_HANG'!$B:$B,A103,'30_NGAN_HANG'!$Y:$Y,"Approved"))</f>
        <v/>
      </c>
    </row>
    <row r="104">
      <c r="Q104">
        <f>IF(A104="","",COUNTIF('30_NGAN_HANG'!$B:$B,A104))</f>
        <v/>
      </c>
      <c r="R104">
        <f>IF(A104="","",COUNTIFS('30_NGAN_HANG'!$B:$B,A104,'30_NGAN_HANG'!$Y:$Y,"Approved"))</f>
        <v/>
      </c>
    </row>
    <row r="105">
      <c r="Q105">
        <f>IF(A105="","",COUNTIF('30_NGAN_HANG'!$B:$B,A105))</f>
        <v/>
      </c>
      <c r="R105">
        <f>IF(A105="","",COUNTIFS('30_NGAN_HANG'!$B:$B,A105,'30_NGAN_HANG'!$Y:$Y,"Approved"))</f>
        <v/>
      </c>
    </row>
    <row r="106">
      <c r="Q106">
        <f>IF(A106="","",COUNTIF('30_NGAN_HANG'!$B:$B,A106))</f>
        <v/>
      </c>
      <c r="R106">
        <f>IF(A106="","",COUNTIFS('30_NGAN_HANG'!$B:$B,A106,'30_NGAN_HANG'!$Y:$Y,"Approved"))</f>
        <v/>
      </c>
    </row>
    <row r="107">
      <c r="Q107">
        <f>IF(A107="","",COUNTIF('30_NGAN_HANG'!$B:$B,A107))</f>
        <v/>
      </c>
      <c r="R107">
        <f>IF(A107="","",COUNTIFS('30_NGAN_HANG'!$B:$B,A107,'30_NGAN_HANG'!$Y:$Y,"Approved"))</f>
        <v/>
      </c>
    </row>
    <row r="108">
      <c r="Q108">
        <f>IF(A108="","",COUNTIF('30_NGAN_HANG'!$B:$B,A108))</f>
        <v/>
      </c>
      <c r="R108">
        <f>IF(A108="","",COUNTIFS('30_NGAN_HANG'!$B:$B,A108,'30_NGAN_HANG'!$Y:$Y,"Approved"))</f>
        <v/>
      </c>
    </row>
    <row r="109">
      <c r="Q109">
        <f>IF(A109="","",COUNTIF('30_NGAN_HANG'!$B:$B,A109))</f>
        <v/>
      </c>
      <c r="R109">
        <f>IF(A109="","",COUNTIFS('30_NGAN_HANG'!$B:$B,A109,'30_NGAN_HANG'!$Y:$Y,"Approved"))</f>
        <v/>
      </c>
    </row>
    <row r="110">
      <c r="Q110">
        <f>IF(A110="","",COUNTIF('30_NGAN_HANG'!$B:$B,A110))</f>
        <v/>
      </c>
      <c r="R110">
        <f>IF(A110="","",COUNTIFS('30_NGAN_HANG'!$B:$B,A110,'30_NGAN_HANG'!$Y:$Y,"Approved"))</f>
        <v/>
      </c>
    </row>
    <row r="111">
      <c r="Q111">
        <f>IF(A111="","",COUNTIF('30_NGAN_HANG'!$B:$B,A111))</f>
        <v/>
      </c>
      <c r="R111">
        <f>IF(A111="","",COUNTIFS('30_NGAN_HANG'!$B:$B,A111,'30_NGAN_HANG'!$Y:$Y,"Approved"))</f>
        <v/>
      </c>
    </row>
    <row r="112">
      <c r="Q112">
        <f>IF(A112="","",COUNTIF('30_NGAN_HANG'!$B:$B,A112))</f>
        <v/>
      </c>
      <c r="R112">
        <f>IF(A112="","",COUNTIFS('30_NGAN_HANG'!$B:$B,A112,'30_NGAN_HANG'!$Y:$Y,"Approved"))</f>
        <v/>
      </c>
    </row>
    <row r="113">
      <c r="Q113">
        <f>IF(A113="","",COUNTIF('30_NGAN_HANG'!$B:$B,A113))</f>
        <v/>
      </c>
      <c r="R113">
        <f>IF(A113="","",COUNTIFS('30_NGAN_HANG'!$B:$B,A113,'30_NGAN_HANG'!$Y:$Y,"Approved"))</f>
        <v/>
      </c>
    </row>
    <row r="114">
      <c r="Q114">
        <f>IF(A114="","",COUNTIF('30_NGAN_HANG'!$B:$B,A114))</f>
        <v/>
      </c>
      <c r="R114">
        <f>IF(A114="","",COUNTIFS('30_NGAN_HANG'!$B:$B,A114,'30_NGAN_HANG'!$Y:$Y,"Approved"))</f>
        <v/>
      </c>
    </row>
    <row r="115">
      <c r="Q115">
        <f>IF(A115="","",COUNTIF('30_NGAN_HANG'!$B:$B,A115))</f>
        <v/>
      </c>
      <c r="R115">
        <f>IF(A115="","",COUNTIFS('30_NGAN_HANG'!$B:$B,A115,'30_NGAN_HANG'!$Y:$Y,"Approved"))</f>
        <v/>
      </c>
    </row>
    <row r="116">
      <c r="Q116">
        <f>IF(A116="","",COUNTIF('30_NGAN_HANG'!$B:$B,A116))</f>
        <v/>
      </c>
      <c r="R116">
        <f>IF(A116="","",COUNTIFS('30_NGAN_HANG'!$B:$B,A116,'30_NGAN_HANG'!$Y:$Y,"Approved"))</f>
        <v/>
      </c>
    </row>
    <row r="117">
      <c r="Q117">
        <f>IF(A117="","",COUNTIF('30_NGAN_HANG'!$B:$B,A117))</f>
        <v/>
      </c>
      <c r="R117">
        <f>IF(A117="","",COUNTIFS('30_NGAN_HANG'!$B:$B,A117,'30_NGAN_HANG'!$Y:$Y,"Approved"))</f>
        <v/>
      </c>
    </row>
    <row r="118">
      <c r="Q118">
        <f>IF(A118="","",COUNTIF('30_NGAN_HANG'!$B:$B,A118))</f>
        <v/>
      </c>
      <c r="R118">
        <f>IF(A118="","",COUNTIFS('30_NGAN_HANG'!$B:$B,A118,'30_NGAN_HANG'!$Y:$Y,"Approved"))</f>
        <v/>
      </c>
    </row>
    <row r="119">
      <c r="Q119">
        <f>IF(A119="","",COUNTIF('30_NGAN_HANG'!$B:$B,A119))</f>
        <v/>
      </c>
      <c r="R119">
        <f>IF(A119="","",COUNTIFS('30_NGAN_HANG'!$B:$B,A119,'30_NGAN_HANG'!$Y:$Y,"Approved"))</f>
        <v/>
      </c>
    </row>
    <row r="120">
      <c r="Q120">
        <f>IF(A120="","",COUNTIF('30_NGAN_HANG'!$B:$B,A120))</f>
        <v/>
      </c>
      <c r="R120">
        <f>IF(A120="","",COUNTIFS('30_NGAN_HANG'!$B:$B,A120,'30_NGAN_HANG'!$Y:$Y,"Approved"))</f>
        <v/>
      </c>
    </row>
    <row r="121">
      <c r="Q121">
        <f>IF(A121="","",COUNTIF('30_NGAN_HANG'!$B:$B,A121))</f>
        <v/>
      </c>
      <c r="R121">
        <f>IF(A121="","",COUNTIFS('30_NGAN_HANG'!$B:$B,A121,'30_NGAN_HANG'!$Y:$Y,"Approved"))</f>
        <v/>
      </c>
    </row>
    <row r="122">
      <c r="Q122">
        <f>IF(A122="","",COUNTIF('30_NGAN_HANG'!$B:$B,A122))</f>
        <v/>
      </c>
      <c r="R122">
        <f>IF(A122="","",COUNTIFS('30_NGAN_HANG'!$B:$B,A122,'30_NGAN_HANG'!$Y:$Y,"Approved"))</f>
        <v/>
      </c>
    </row>
    <row r="123">
      <c r="Q123">
        <f>IF(A123="","",COUNTIF('30_NGAN_HANG'!$B:$B,A123))</f>
        <v/>
      </c>
      <c r="R123">
        <f>IF(A123="","",COUNTIFS('30_NGAN_HANG'!$B:$B,A123,'30_NGAN_HANG'!$Y:$Y,"Approved"))</f>
        <v/>
      </c>
    </row>
    <row r="124">
      <c r="Q124">
        <f>IF(A124="","",COUNTIF('30_NGAN_HANG'!$B:$B,A124))</f>
        <v/>
      </c>
      <c r="R124">
        <f>IF(A124="","",COUNTIFS('30_NGAN_HANG'!$B:$B,A124,'30_NGAN_HANG'!$Y:$Y,"Approved"))</f>
        <v/>
      </c>
    </row>
    <row r="125">
      <c r="Q125">
        <f>IF(A125="","",COUNTIF('30_NGAN_HANG'!$B:$B,A125))</f>
        <v/>
      </c>
      <c r="R125">
        <f>IF(A125="","",COUNTIFS('30_NGAN_HANG'!$B:$B,A125,'30_NGAN_HANG'!$Y:$Y,"Approved"))</f>
        <v/>
      </c>
    </row>
    <row r="126">
      <c r="Q126">
        <f>IF(A126="","",COUNTIF('30_NGAN_HANG'!$B:$B,A126))</f>
        <v/>
      </c>
      <c r="R126">
        <f>IF(A126="","",COUNTIFS('30_NGAN_HANG'!$B:$B,A126,'30_NGAN_HANG'!$Y:$Y,"Approved"))</f>
        <v/>
      </c>
    </row>
    <row r="127">
      <c r="Q127">
        <f>IF(A127="","",COUNTIF('30_NGAN_HANG'!$B:$B,A127))</f>
        <v/>
      </c>
      <c r="R127">
        <f>IF(A127="","",COUNTIFS('30_NGAN_HANG'!$B:$B,A127,'30_NGAN_HANG'!$Y:$Y,"Approved"))</f>
        <v/>
      </c>
    </row>
    <row r="128">
      <c r="Q128">
        <f>IF(A128="","",COUNTIF('30_NGAN_HANG'!$B:$B,A128))</f>
        <v/>
      </c>
      <c r="R128">
        <f>IF(A128="","",COUNTIFS('30_NGAN_HANG'!$B:$B,A128,'30_NGAN_HANG'!$Y:$Y,"Approved"))</f>
        <v/>
      </c>
    </row>
    <row r="129">
      <c r="Q129">
        <f>IF(A129="","",COUNTIF('30_NGAN_HANG'!$B:$B,A129))</f>
        <v/>
      </c>
      <c r="R129">
        <f>IF(A129="","",COUNTIFS('30_NGAN_HANG'!$B:$B,A129,'30_NGAN_HANG'!$Y:$Y,"Approved"))</f>
        <v/>
      </c>
    </row>
    <row r="130">
      <c r="Q130">
        <f>IF(A130="","",COUNTIF('30_NGAN_HANG'!$B:$B,A130))</f>
        <v/>
      </c>
      <c r="R130">
        <f>IF(A130="","",COUNTIFS('30_NGAN_HANG'!$B:$B,A130,'30_NGAN_HANG'!$Y:$Y,"Approved"))</f>
        <v/>
      </c>
    </row>
    <row r="131">
      <c r="Q131">
        <f>IF(A131="","",COUNTIF('30_NGAN_HANG'!$B:$B,A131))</f>
        <v/>
      </c>
      <c r="R131">
        <f>IF(A131="","",COUNTIFS('30_NGAN_HANG'!$B:$B,A131,'30_NGAN_HANG'!$Y:$Y,"Approved"))</f>
        <v/>
      </c>
    </row>
    <row r="132">
      <c r="Q132">
        <f>IF(A132="","",COUNTIF('30_NGAN_HANG'!$B:$B,A132))</f>
        <v/>
      </c>
      <c r="R132">
        <f>IF(A132="","",COUNTIFS('30_NGAN_HANG'!$B:$B,A132,'30_NGAN_HANG'!$Y:$Y,"Approved"))</f>
        <v/>
      </c>
    </row>
    <row r="133">
      <c r="Q133">
        <f>IF(A133="","",COUNTIF('30_NGAN_HANG'!$B:$B,A133))</f>
        <v/>
      </c>
      <c r="R133">
        <f>IF(A133="","",COUNTIFS('30_NGAN_HANG'!$B:$B,A133,'30_NGAN_HANG'!$Y:$Y,"Approved"))</f>
        <v/>
      </c>
    </row>
    <row r="134">
      <c r="Q134">
        <f>IF(A134="","",COUNTIF('30_NGAN_HANG'!$B:$B,A134))</f>
        <v/>
      </c>
      <c r="R134">
        <f>IF(A134="","",COUNTIFS('30_NGAN_HANG'!$B:$B,A134,'30_NGAN_HANG'!$Y:$Y,"Approved"))</f>
        <v/>
      </c>
    </row>
    <row r="135">
      <c r="Q135">
        <f>IF(A135="","",COUNTIF('30_NGAN_HANG'!$B:$B,A135))</f>
        <v/>
      </c>
      <c r="R135">
        <f>IF(A135="","",COUNTIFS('30_NGAN_HANG'!$B:$B,A135,'30_NGAN_HANG'!$Y:$Y,"Approved"))</f>
        <v/>
      </c>
    </row>
    <row r="136">
      <c r="Q136">
        <f>IF(A136="","",COUNTIF('30_NGAN_HANG'!$B:$B,A136))</f>
        <v/>
      </c>
      <c r="R136">
        <f>IF(A136="","",COUNTIFS('30_NGAN_HANG'!$B:$B,A136,'30_NGAN_HANG'!$Y:$Y,"Approved"))</f>
        <v/>
      </c>
    </row>
    <row r="137">
      <c r="Q137">
        <f>IF(A137="","",COUNTIF('30_NGAN_HANG'!$B:$B,A137))</f>
        <v/>
      </c>
      <c r="R137">
        <f>IF(A137="","",COUNTIFS('30_NGAN_HANG'!$B:$B,A137,'30_NGAN_HANG'!$Y:$Y,"Approved"))</f>
        <v/>
      </c>
    </row>
    <row r="138">
      <c r="Q138">
        <f>IF(A138="","",COUNTIF('30_NGAN_HANG'!$B:$B,A138))</f>
        <v/>
      </c>
      <c r="R138">
        <f>IF(A138="","",COUNTIFS('30_NGAN_HANG'!$B:$B,A138,'30_NGAN_HANG'!$Y:$Y,"Approved"))</f>
        <v/>
      </c>
    </row>
    <row r="139">
      <c r="Q139">
        <f>IF(A139="","",COUNTIF('30_NGAN_HANG'!$B:$B,A139))</f>
        <v/>
      </c>
      <c r="R139">
        <f>IF(A139="","",COUNTIFS('30_NGAN_HANG'!$B:$B,A139,'30_NGAN_HANG'!$Y:$Y,"Approved"))</f>
        <v/>
      </c>
    </row>
    <row r="140">
      <c r="Q140">
        <f>IF(A140="","",COUNTIF('30_NGAN_HANG'!$B:$B,A140))</f>
        <v/>
      </c>
      <c r="R140">
        <f>IF(A140="","",COUNTIFS('30_NGAN_HANG'!$B:$B,A140,'30_NGAN_HANG'!$Y:$Y,"Approved"))</f>
        <v/>
      </c>
    </row>
    <row r="141">
      <c r="Q141">
        <f>IF(A141="","",COUNTIF('30_NGAN_HANG'!$B:$B,A141))</f>
        <v/>
      </c>
      <c r="R141">
        <f>IF(A141="","",COUNTIFS('30_NGAN_HANG'!$B:$B,A141,'30_NGAN_HANG'!$Y:$Y,"Approved"))</f>
        <v/>
      </c>
    </row>
    <row r="142">
      <c r="Q142">
        <f>IF(A142="","",COUNTIF('30_NGAN_HANG'!$B:$B,A142))</f>
        <v/>
      </c>
      <c r="R142">
        <f>IF(A142="","",COUNTIFS('30_NGAN_HANG'!$B:$B,A142,'30_NGAN_HANG'!$Y:$Y,"Approved"))</f>
        <v/>
      </c>
    </row>
    <row r="143">
      <c r="Q143">
        <f>IF(A143="","",COUNTIF('30_NGAN_HANG'!$B:$B,A143))</f>
        <v/>
      </c>
      <c r="R143">
        <f>IF(A143="","",COUNTIFS('30_NGAN_HANG'!$B:$B,A143,'30_NGAN_HANG'!$Y:$Y,"Approved"))</f>
        <v/>
      </c>
    </row>
    <row r="144">
      <c r="Q144">
        <f>IF(A144="","",COUNTIF('30_NGAN_HANG'!$B:$B,A144))</f>
        <v/>
      </c>
      <c r="R144">
        <f>IF(A144="","",COUNTIFS('30_NGAN_HANG'!$B:$B,A144,'30_NGAN_HANG'!$Y:$Y,"Approved"))</f>
        <v/>
      </c>
    </row>
    <row r="145">
      <c r="Q145">
        <f>IF(A145="","",COUNTIF('30_NGAN_HANG'!$B:$B,A145))</f>
        <v/>
      </c>
      <c r="R145">
        <f>IF(A145="","",COUNTIFS('30_NGAN_HANG'!$B:$B,A145,'30_NGAN_HANG'!$Y:$Y,"Approved"))</f>
        <v/>
      </c>
    </row>
    <row r="146">
      <c r="Q146">
        <f>IF(A146="","",COUNTIF('30_NGAN_HANG'!$B:$B,A146))</f>
        <v/>
      </c>
      <c r="R146">
        <f>IF(A146="","",COUNTIFS('30_NGAN_HANG'!$B:$B,A146,'30_NGAN_HANG'!$Y:$Y,"Approved"))</f>
        <v/>
      </c>
    </row>
    <row r="147">
      <c r="Q147">
        <f>IF(A147="","",COUNTIF('30_NGAN_HANG'!$B:$B,A147))</f>
        <v/>
      </c>
      <c r="R147">
        <f>IF(A147="","",COUNTIFS('30_NGAN_HANG'!$B:$B,A147,'30_NGAN_HANG'!$Y:$Y,"Approved"))</f>
        <v/>
      </c>
    </row>
    <row r="148">
      <c r="Q148">
        <f>IF(A148="","",COUNTIF('30_NGAN_HANG'!$B:$B,A148))</f>
        <v/>
      </c>
      <c r="R148">
        <f>IF(A148="","",COUNTIFS('30_NGAN_HANG'!$B:$B,A148,'30_NGAN_HANG'!$Y:$Y,"Approved"))</f>
        <v/>
      </c>
    </row>
    <row r="149">
      <c r="Q149">
        <f>IF(A149="","",COUNTIF('30_NGAN_HANG'!$B:$B,A149))</f>
        <v/>
      </c>
      <c r="R149">
        <f>IF(A149="","",COUNTIFS('30_NGAN_HANG'!$B:$B,A149,'30_NGAN_HANG'!$Y:$Y,"Approved"))</f>
        <v/>
      </c>
    </row>
    <row r="150">
      <c r="Q150">
        <f>IF(A150="","",COUNTIF('30_NGAN_HANG'!$B:$B,A150))</f>
        <v/>
      </c>
      <c r="R150">
        <f>IF(A150="","",COUNTIFS('30_NGAN_HANG'!$B:$B,A150,'30_NGAN_HANG'!$Y:$Y,"Approved"))</f>
        <v/>
      </c>
    </row>
    <row r="151">
      <c r="Q151">
        <f>IF(A151="","",COUNTIF('30_NGAN_HANG'!$B:$B,A151))</f>
        <v/>
      </c>
      <c r="R151">
        <f>IF(A151="","",COUNTIFS('30_NGAN_HANG'!$B:$B,A151,'30_NGAN_HANG'!$Y:$Y,"Approved"))</f>
        <v/>
      </c>
    </row>
    <row r="152">
      <c r="Q152">
        <f>IF(A152="","",COUNTIF('30_NGAN_HANG'!$B:$B,A152))</f>
        <v/>
      </c>
      <c r="R152">
        <f>IF(A152="","",COUNTIFS('30_NGAN_HANG'!$B:$B,A152,'30_NGAN_HANG'!$Y:$Y,"Approved"))</f>
        <v/>
      </c>
    </row>
    <row r="153">
      <c r="Q153">
        <f>IF(A153="","",COUNTIF('30_NGAN_HANG'!$B:$B,A153))</f>
        <v/>
      </c>
      <c r="R153">
        <f>IF(A153="","",COUNTIFS('30_NGAN_HANG'!$B:$B,A153,'30_NGAN_HANG'!$Y:$Y,"Approved"))</f>
        <v/>
      </c>
    </row>
    <row r="154">
      <c r="Q154">
        <f>IF(A154="","",COUNTIF('30_NGAN_HANG'!$B:$B,A154))</f>
        <v/>
      </c>
      <c r="R154">
        <f>IF(A154="","",COUNTIFS('30_NGAN_HANG'!$B:$B,A154,'30_NGAN_HANG'!$Y:$Y,"Approved"))</f>
        <v/>
      </c>
    </row>
    <row r="155">
      <c r="Q155">
        <f>IF(A155="","",COUNTIF('30_NGAN_HANG'!$B:$B,A155))</f>
        <v/>
      </c>
      <c r="R155">
        <f>IF(A155="","",COUNTIFS('30_NGAN_HANG'!$B:$B,A155,'30_NGAN_HANG'!$Y:$Y,"Approved"))</f>
        <v/>
      </c>
    </row>
    <row r="156">
      <c r="Q156">
        <f>IF(A156="","",COUNTIF('30_NGAN_HANG'!$B:$B,A156))</f>
        <v/>
      </c>
      <c r="R156">
        <f>IF(A156="","",COUNTIFS('30_NGAN_HANG'!$B:$B,A156,'30_NGAN_HANG'!$Y:$Y,"Approved"))</f>
        <v/>
      </c>
    </row>
    <row r="157">
      <c r="Q157">
        <f>IF(A157="","",COUNTIF('30_NGAN_HANG'!$B:$B,A157))</f>
        <v/>
      </c>
      <c r="R157">
        <f>IF(A157="","",COUNTIFS('30_NGAN_HANG'!$B:$B,A157,'30_NGAN_HANG'!$Y:$Y,"Approved"))</f>
        <v/>
      </c>
    </row>
    <row r="158">
      <c r="Q158">
        <f>IF(A158="","",COUNTIF('30_NGAN_HANG'!$B:$B,A158))</f>
        <v/>
      </c>
      <c r="R158">
        <f>IF(A158="","",COUNTIFS('30_NGAN_HANG'!$B:$B,A158,'30_NGAN_HANG'!$Y:$Y,"Approved"))</f>
        <v/>
      </c>
    </row>
    <row r="159">
      <c r="Q159">
        <f>IF(A159="","",COUNTIF('30_NGAN_HANG'!$B:$B,A159))</f>
        <v/>
      </c>
      <c r="R159">
        <f>IF(A159="","",COUNTIFS('30_NGAN_HANG'!$B:$B,A159,'30_NGAN_HANG'!$Y:$Y,"Approved"))</f>
        <v/>
      </c>
    </row>
    <row r="160">
      <c r="Q160">
        <f>IF(A160="","",COUNTIF('30_NGAN_HANG'!$B:$B,A160))</f>
        <v/>
      </c>
      <c r="R160">
        <f>IF(A160="","",COUNTIFS('30_NGAN_HANG'!$B:$B,A160,'30_NGAN_HANG'!$Y:$Y,"Approved"))</f>
        <v/>
      </c>
    </row>
    <row r="161">
      <c r="Q161">
        <f>IF(A161="","",COUNTIF('30_NGAN_HANG'!$B:$B,A161))</f>
        <v/>
      </c>
      <c r="R161">
        <f>IF(A161="","",COUNTIFS('30_NGAN_HANG'!$B:$B,A161,'30_NGAN_HANG'!$Y:$Y,"Approved"))</f>
        <v/>
      </c>
    </row>
    <row r="162">
      <c r="Q162">
        <f>IF(A162="","",COUNTIF('30_NGAN_HANG'!$B:$B,A162))</f>
        <v/>
      </c>
      <c r="R162">
        <f>IF(A162="","",COUNTIFS('30_NGAN_HANG'!$B:$B,A162,'30_NGAN_HANG'!$Y:$Y,"Approved"))</f>
        <v/>
      </c>
    </row>
    <row r="163">
      <c r="Q163">
        <f>IF(A163="","",COUNTIF('30_NGAN_HANG'!$B:$B,A163))</f>
        <v/>
      </c>
      <c r="R163">
        <f>IF(A163="","",COUNTIFS('30_NGAN_HANG'!$B:$B,A163,'30_NGAN_HANG'!$Y:$Y,"Approved"))</f>
        <v/>
      </c>
    </row>
    <row r="164">
      <c r="Q164">
        <f>IF(A164="","",COUNTIF('30_NGAN_HANG'!$B:$B,A164))</f>
        <v/>
      </c>
      <c r="R164">
        <f>IF(A164="","",COUNTIFS('30_NGAN_HANG'!$B:$B,A164,'30_NGAN_HANG'!$Y:$Y,"Approved"))</f>
        <v/>
      </c>
    </row>
    <row r="165">
      <c r="Q165">
        <f>IF(A165="","",COUNTIF('30_NGAN_HANG'!$B:$B,A165))</f>
        <v/>
      </c>
      <c r="R165">
        <f>IF(A165="","",COUNTIFS('30_NGAN_HANG'!$B:$B,A165,'30_NGAN_HANG'!$Y:$Y,"Approved"))</f>
        <v/>
      </c>
    </row>
    <row r="166">
      <c r="Q166">
        <f>IF(A166="","",COUNTIF('30_NGAN_HANG'!$B:$B,A166))</f>
        <v/>
      </c>
      <c r="R166">
        <f>IF(A166="","",COUNTIFS('30_NGAN_HANG'!$B:$B,A166,'30_NGAN_HANG'!$Y:$Y,"Approved"))</f>
        <v/>
      </c>
    </row>
    <row r="167">
      <c r="Q167">
        <f>IF(A167="","",COUNTIF('30_NGAN_HANG'!$B:$B,A167))</f>
        <v/>
      </c>
      <c r="R167">
        <f>IF(A167="","",COUNTIFS('30_NGAN_HANG'!$B:$B,A167,'30_NGAN_HANG'!$Y:$Y,"Approved"))</f>
        <v/>
      </c>
    </row>
    <row r="168">
      <c r="Q168">
        <f>IF(A168="","",COUNTIF('30_NGAN_HANG'!$B:$B,A168))</f>
        <v/>
      </c>
      <c r="R168">
        <f>IF(A168="","",COUNTIFS('30_NGAN_HANG'!$B:$B,A168,'30_NGAN_HANG'!$Y:$Y,"Approved"))</f>
        <v/>
      </c>
    </row>
    <row r="169">
      <c r="Q169">
        <f>IF(A169="","",COUNTIF('30_NGAN_HANG'!$B:$B,A169))</f>
        <v/>
      </c>
      <c r="R169">
        <f>IF(A169="","",COUNTIFS('30_NGAN_HANG'!$B:$B,A169,'30_NGAN_HANG'!$Y:$Y,"Approved"))</f>
        <v/>
      </c>
    </row>
    <row r="170">
      <c r="Q170">
        <f>IF(A170="","",COUNTIF('30_NGAN_HANG'!$B:$B,A170))</f>
        <v/>
      </c>
      <c r="R170">
        <f>IF(A170="","",COUNTIFS('30_NGAN_HANG'!$B:$B,A170,'30_NGAN_HANG'!$Y:$Y,"Approved"))</f>
        <v/>
      </c>
    </row>
    <row r="171">
      <c r="Q171">
        <f>IF(A171="","",COUNTIF('30_NGAN_HANG'!$B:$B,A171))</f>
        <v/>
      </c>
      <c r="R171">
        <f>IF(A171="","",COUNTIFS('30_NGAN_HANG'!$B:$B,A171,'30_NGAN_HANG'!$Y:$Y,"Approved"))</f>
        <v/>
      </c>
    </row>
    <row r="172">
      <c r="Q172">
        <f>IF(A172="","",COUNTIF('30_NGAN_HANG'!$B:$B,A172))</f>
        <v/>
      </c>
      <c r="R172">
        <f>IF(A172="","",COUNTIFS('30_NGAN_HANG'!$B:$B,A172,'30_NGAN_HANG'!$Y:$Y,"Approved"))</f>
        <v/>
      </c>
    </row>
    <row r="173">
      <c r="Q173">
        <f>IF(A173="","",COUNTIF('30_NGAN_HANG'!$B:$B,A173))</f>
        <v/>
      </c>
      <c r="R173">
        <f>IF(A173="","",COUNTIFS('30_NGAN_HANG'!$B:$B,A173,'30_NGAN_HANG'!$Y:$Y,"Approved"))</f>
        <v/>
      </c>
    </row>
    <row r="174">
      <c r="Q174">
        <f>IF(A174="","",COUNTIF('30_NGAN_HANG'!$B:$B,A174))</f>
        <v/>
      </c>
      <c r="R174">
        <f>IF(A174="","",COUNTIFS('30_NGAN_HANG'!$B:$B,A174,'30_NGAN_HANG'!$Y:$Y,"Approved"))</f>
        <v/>
      </c>
    </row>
    <row r="175">
      <c r="Q175">
        <f>IF(A175="","",COUNTIF('30_NGAN_HANG'!$B:$B,A175))</f>
        <v/>
      </c>
      <c r="R175">
        <f>IF(A175="","",COUNTIFS('30_NGAN_HANG'!$B:$B,A175,'30_NGAN_HANG'!$Y:$Y,"Approved"))</f>
        <v/>
      </c>
    </row>
    <row r="176">
      <c r="Q176">
        <f>IF(A176="","",COUNTIF('30_NGAN_HANG'!$B:$B,A176))</f>
        <v/>
      </c>
      <c r="R176">
        <f>IF(A176="","",COUNTIFS('30_NGAN_HANG'!$B:$B,A176,'30_NGAN_HANG'!$Y:$Y,"Approved"))</f>
        <v/>
      </c>
    </row>
    <row r="177">
      <c r="Q177">
        <f>IF(A177="","",COUNTIF('30_NGAN_HANG'!$B:$B,A177))</f>
        <v/>
      </c>
      <c r="R177">
        <f>IF(A177="","",COUNTIFS('30_NGAN_HANG'!$B:$B,A177,'30_NGAN_HANG'!$Y:$Y,"Approved"))</f>
        <v/>
      </c>
    </row>
    <row r="178">
      <c r="Q178">
        <f>IF(A178="","",COUNTIF('30_NGAN_HANG'!$B:$B,A178))</f>
        <v/>
      </c>
      <c r="R178">
        <f>IF(A178="","",COUNTIFS('30_NGAN_HANG'!$B:$B,A178,'30_NGAN_HANG'!$Y:$Y,"Approved"))</f>
        <v/>
      </c>
    </row>
    <row r="179">
      <c r="Q179">
        <f>IF(A179="","",COUNTIF('30_NGAN_HANG'!$B:$B,A179))</f>
        <v/>
      </c>
      <c r="R179">
        <f>IF(A179="","",COUNTIFS('30_NGAN_HANG'!$B:$B,A179,'30_NGAN_HANG'!$Y:$Y,"Approved"))</f>
        <v/>
      </c>
    </row>
    <row r="180">
      <c r="Q180">
        <f>IF(A180="","",COUNTIF('30_NGAN_HANG'!$B:$B,A180))</f>
        <v/>
      </c>
      <c r="R180">
        <f>IF(A180="","",COUNTIFS('30_NGAN_HANG'!$B:$B,A180,'30_NGAN_HANG'!$Y:$Y,"Approved"))</f>
        <v/>
      </c>
    </row>
    <row r="181">
      <c r="Q181">
        <f>IF(A181="","",COUNTIF('30_NGAN_HANG'!$B:$B,A181))</f>
        <v/>
      </c>
      <c r="R181">
        <f>IF(A181="","",COUNTIFS('30_NGAN_HANG'!$B:$B,A181,'30_NGAN_HANG'!$Y:$Y,"Approved"))</f>
        <v/>
      </c>
    </row>
    <row r="182">
      <c r="Q182">
        <f>IF(A182="","",COUNTIF('30_NGAN_HANG'!$B:$B,A182))</f>
        <v/>
      </c>
      <c r="R182">
        <f>IF(A182="","",COUNTIFS('30_NGAN_HANG'!$B:$B,A182,'30_NGAN_HANG'!$Y:$Y,"Approved"))</f>
        <v/>
      </c>
    </row>
    <row r="183">
      <c r="Q183">
        <f>IF(A183="","",COUNTIF('30_NGAN_HANG'!$B:$B,A183))</f>
        <v/>
      </c>
      <c r="R183">
        <f>IF(A183="","",COUNTIFS('30_NGAN_HANG'!$B:$B,A183,'30_NGAN_HANG'!$Y:$Y,"Approved"))</f>
        <v/>
      </c>
    </row>
    <row r="184">
      <c r="Q184">
        <f>IF(A184="","",COUNTIF('30_NGAN_HANG'!$B:$B,A184))</f>
        <v/>
      </c>
      <c r="R184">
        <f>IF(A184="","",COUNTIFS('30_NGAN_HANG'!$B:$B,A184,'30_NGAN_HANG'!$Y:$Y,"Approved"))</f>
        <v/>
      </c>
    </row>
    <row r="185">
      <c r="Q185">
        <f>IF(A185="","",COUNTIF('30_NGAN_HANG'!$B:$B,A185))</f>
        <v/>
      </c>
      <c r="R185">
        <f>IF(A185="","",COUNTIFS('30_NGAN_HANG'!$B:$B,A185,'30_NGAN_HANG'!$Y:$Y,"Approved"))</f>
        <v/>
      </c>
    </row>
    <row r="186">
      <c r="Q186">
        <f>IF(A186="","",COUNTIF('30_NGAN_HANG'!$B:$B,A186))</f>
        <v/>
      </c>
      <c r="R186">
        <f>IF(A186="","",COUNTIFS('30_NGAN_HANG'!$B:$B,A186,'30_NGAN_HANG'!$Y:$Y,"Approved"))</f>
        <v/>
      </c>
    </row>
    <row r="187">
      <c r="Q187">
        <f>IF(A187="","",COUNTIF('30_NGAN_HANG'!$B:$B,A187))</f>
        <v/>
      </c>
      <c r="R187">
        <f>IF(A187="","",COUNTIFS('30_NGAN_HANG'!$B:$B,A187,'30_NGAN_HANG'!$Y:$Y,"Approved"))</f>
        <v/>
      </c>
    </row>
    <row r="188">
      <c r="Q188">
        <f>IF(A188="","",COUNTIF('30_NGAN_HANG'!$B:$B,A188))</f>
        <v/>
      </c>
      <c r="R188">
        <f>IF(A188="","",COUNTIFS('30_NGAN_HANG'!$B:$B,A188,'30_NGAN_HANG'!$Y:$Y,"Approved"))</f>
        <v/>
      </c>
    </row>
    <row r="189">
      <c r="Q189">
        <f>IF(A189="","",COUNTIF('30_NGAN_HANG'!$B:$B,A189))</f>
        <v/>
      </c>
      <c r="R189">
        <f>IF(A189="","",COUNTIFS('30_NGAN_HANG'!$B:$B,A189,'30_NGAN_HANG'!$Y:$Y,"Approved"))</f>
        <v/>
      </c>
    </row>
    <row r="190">
      <c r="Q190">
        <f>IF(A190="","",COUNTIF('30_NGAN_HANG'!$B:$B,A190))</f>
        <v/>
      </c>
      <c r="R190">
        <f>IF(A190="","",COUNTIFS('30_NGAN_HANG'!$B:$B,A190,'30_NGAN_HANG'!$Y:$Y,"Approved"))</f>
        <v/>
      </c>
    </row>
    <row r="191">
      <c r="Q191">
        <f>IF(A191="","",COUNTIF('30_NGAN_HANG'!$B:$B,A191))</f>
        <v/>
      </c>
      <c r="R191">
        <f>IF(A191="","",COUNTIFS('30_NGAN_HANG'!$B:$B,A191,'30_NGAN_HANG'!$Y:$Y,"Approved"))</f>
        <v/>
      </c>
    </row>
    <row r="192">
      <c r="Q192">
        <f>IF(A192="","",COUNTIF('30_NGAN_HANG'!$B:$B,A192))</f>
        <v/>
      </c>
      <c r="R192">
        <f>IF(A192="","",COUNTIFS('30_NGAN_HANG'!$B:$B,A192,'30_NGAN_HANG'!$Y:$Y,"Approved"))</f>
        <v/>
      </c>
    </row>
    <row r="193">
      <c r="Q193">
        <f>IF(A193="","",COUNTIF('30_NGAN_HANG'!$B:$B,A193))</f>
        <v/>
      </c>
      <c r="R193">
        <f>IF(A193="","",COUNTIFS('30_NGAN_HANG'!$B:$B,A193,'30_NGAN_HANG'!$Y:$Y,"Approved"))</f>
        <v/>
      </c>
    </row>
    <row r="194">
      <c r="Q194">
        <f>IF(A194="","",COUNTIF('30_NGAN_HANG'!$B:$B,A194))</f>
        <v/>
      </c>
      <c r="R194">
        <f>IF(A194="","",COUNTIFS('30_NGAN_HANG'!$B:$B,A194,'30_NGAN_HANG'!$Y:$Y,"Approved"))</f>
        <v/>
      </c>
    </row>
    <row r="195">
      <c r="Q195">
        <f>IF(A195="","",COUNTIF('30_NGAN_HANG'!$B:$B,A195))</f>
        <v/>
      </c>
      <c r="R195">
        <f>IF(A195="","",COUNTIFS('30_NGAN_HANG'!$B:$B,A195,'30_NGAN_HANG'!$Y:$Y,"Approved"))</f>
        <v/>
      </c>
    </row>
    <row r="196">
      <c r="Q196">
        <f>IF(A196="","",COUNTIF('30_NGAN_HANG'!$B:$B,A196))</f>
        <v/>
      </c>
      <c r="R196">
        <f>IF(A196="","",COUNTIFS('30_NGAN_HANG'!$B:$B,A196,'30_NGAN_HANG'!$Y:$Y,"Approved"))</f>
        <v/>
      </c>
    </row>
    <row r="197">
      <c r="Q197">
        <f>IF(A197="","",COUNTIF('30_NGAN_HANG'!$B:$B,A197))</f>
        <v/>
      </c>
      <c r="R197">
        <f>IF(A197="","",COUNTIFS('30_NGAN_HANG'!$B:$B,A197,'30_NGAN_HANG'!$Y:$Y,"Approved"))</f>
        <v/>
      </c>
    </row>
    <row r="198">
      <c r="Q198">
        <f>IF(A198="","",COUNTIF('30_NGAN_HANG'!$B:$B,A198))</f>
        <v/>
      </c>
      <c r="R198">
        <f>IF(A198="","",COUNTIFS('30_NGAN_HANG'!$B:$B,A198,'30_NGAN_HANG'!$Y:$Y,"Approved"))</f>
        <v/>
      </c>
    </row>
    <row r="199">
      <c r="Q199">
        <f>IF(A199="","",COUNTIF('30_NGAN_HANG'!$B:$B,A199))</f>
        <v/>
      </c>
      <c r="R199">
        <f>IF(A199="","",COUNTIFS('30_NGAN_HANG'!$B:$B,A199,'30_NGAN_HANG'!$Y:$Y,"Approved"))</f>
        <v/>
      </c>
    </row>
    <row r="200">
      <c r="Q200">
        <f>IF(A200="","",COUNTIF('30_NGAN_HANG'!$B:$B,A200))</f>
        <v/>
      </c>
      <c r="R200">
        <f>IF(A200="","",COUNTIFS('30_NGAN_HANG'!$B:$B,A200,'30_NGAN_HANG'!$Y:$Y,"Approved"))</f>
        <v/>
      </c>
    </row>
    <row r="201">
      <c r="Q201">
        <f>IF(A201="","",COUNTIF('30_NGAN_HANG'!$B:$B,A201))</f>
        <v/>
      </c>
      <c r="R201">
        <f>IF(A201="","",COUNTIFS('30_NGAN_HANG'!$B:$B,A201,'30_NGAN_HANG'!$Y:$Y,"Approved"))</f>
        <v/>
      </c>
    </row>
    <row r="202">
      <c r="Q202">
        <f>IF(A202="","",COUNTIF('30_NGAN_HANG'!$B:$B,A202))</f>
        <v/>
      </c>
      <c r="R202">
        <f>IF(A202="","",COUNTIFS('30_NGAN_HANG'!$B:$B,A202,'30_NGAN_HANG'!$Y:$Y,"Approved"))</f>
        <v/>
      </c>
    </row>
    <row r="203">
      <c r="Q203">
        <f>IF(A203="","",COUNTIF('30_NGAN_HANG'!$B:$B,A203))</f>
        <v/>
      </c>
      <c r="R203">
        <f>IF(A203="","",COUNTIFS('30_NGAN_HANG'!$B:$B,A203,'30_NGAN_HANG'!$Y:$Y,"Approved"))</f>
        <v/>
      </c>
    </row>
    <row r="204">
      <c r="Q204">
        <f>IF(A204="","",COUNTIF('30_NGAN_HANG'!$B:$B,A204))</f>
        <v/>
      </c>
      <c r="R204">
        <f>IF(A204="","",COUNTIFS('30_NGAN_HANG'!$B:$B,A204,'30_NGAN_HANG'!$Y:$Y,"Approved"))</f>
        <v/>
      </c>
    </row>
    <row r="205">
      <c r="Q205">
        <f>IF(A205="","",COUNTIF('30_NGAN_HANG'!$B:$B,A205))</f>
        <v/>
      </c>
      <c r="R205">
        <f>IF(A205="","",COUNTIFS('30_NGAN_HANG'!$B:$B,A205,'30_NGAN_HANG'!$Y:$Y,"Approved"))</f>
        <v/>
      </c>
    </row>
    <row r="206">
      <c r="Q206">
        <f>IF(A206="","",COUNTIF('30_NGAN_HANG'!$B:$B,A206))</f>
        <v/>
      </c>
      <c r="R206">
        <f>IF(A206="","",COUNTIFS('30_NGAN_HANG'!$B:$B,A206,'30_NGAN_HANG'!$Y:$Y,"Approved"))</f>
        <v/>
      </c>
    </row>
    <row r="207">
      <c r="Q207">
        <f>IF(A207="","",COUNTIF('30_NGAN_HANG'!$B:$B,A207))</f>
        <v/>
      </c>
      <c r="R207">
        <f>IF(A207="","",COUNTIFS('30_NGAN_HANG'!$B:$B,A207,'30_NGAN_HANG'!$Y:$Y,"Approved"))</f>
        <v/>
      </c>
    </row>
    <row r="208">
      <c r="Q208">
        <f>IF(A208="","",COUNTIF('30_NGAN_HANG'!$B:$B,A208))</f>
        <v/>
      </c>
      <c r="R208">
        <f>IF(A208="","",COUNTIFS('30_NGAN_HANG'!$B:$B,A208,'30_NGAN_HANG'!$Y:$Y,"Approved"))</f>
        <v/>
      </c>
    </row>
    <row r="209">
      <c r="Q209">
        <f>IF(A209="","",COUNTIF('30_NGAN_HANG'!$B:$B,A209))</f>
        <v/>
      </c>
      <c r="R209">
        <f>IF(A209="","",COUNTIFS('30_NGAN_HANG'!$B:$B,A209,'30_NGAN_HANG'!$Y:$Y,"Approved"))</f>
        <v/>
      </c>
    </row>
    <row r="210">
      <c r="Q210">
        <f>IF(A210="","",COUNTIF('30_NGAN_HANG'!$B:$B,A210))</f>
        <v/>
      </c>
      <c r="R210">
        <f>IF(A210="","",COUNTIFS('30_NGAN_HANG'!$B:$B,A210,'30_NGAN_HANG'!$Y:$Y,"Approved"))</f>
        <v/>
      </c>
    </row>
    <row r="211">
      <c r="Q211">
        <f>IF(A211="","",COUNTIF('30_NGAN_HANG'!$B:$B,A211))</f>
        <v/>
      </c>
      <c r="R211">
        <f>IF(A211="","",COUNTIFS('30_NGAN_HANG'!$B:$B,A211,'30_NGAN_HANG'!$Y:$Y,"Approved"))</f>
        <v/>
      </c>
    </row>
    <row r="212">
      <c r="Q212">
        <f>IF(A212="","",COUNTIF('30_NGAN_HANG'!$B:$B,A212))</f>
        <v/>
      </c>
      <c r="R212">
        <f>IF(A212="","",COUNTIFS('30_NGAN_HANG'!$B:$B,A212,'30_NGAN_HANG'!$Y:$Y,"Approved"))</f>
        <v/>
      </c>
    </row>
    <row r="213">
      <c r="Q213">
        <f>IF(A213="","",COUNTIF('30_NGAN_HANG'!$B:$B,A213))</f>
        <v/>
      </c>
      <c r="R213">
        <f>IF(A213="","",COUNTIFS('30_NGAN_HANG'!$B:$B,A213,'30_NGAN_HANG'!$Y:$Y,"Approved"))</f>
        <v/>
      </c>
    </row>
    <row r="214">
      <c r="Q214">
        <f>IF(A214="","",COUNTIF('30_NGAN_HANG'!$B:$B,A214))</f>
        <v/>
      </c>
      <c r="R214">
        <f>IF(A214="","",COUNTIFS('30_NGAN_HANG'!$B:$B,A214,'30_NGAN_HANG'!$Y:$Y,"Approved"))</f>
        <v/>
      </c>
    </row>
    <row r="215">
      <c r="Q215">
        <f>IF(A215="","",COUNTIF('30_NGAN_HANG'!$B:$B,A215))</f>
        <v/>
      </c>
      <c r="R215">
        <f>IF(A215="","",COUNTIFS('30_NGAN_HANG'!$B:$B,A215,'30_NGAN_HANG'!$Y:$Y,"Approved"))</f>
        <v/>
      </c>
    </row>
    <row r="216">
      <c r="Q216">
        <f>IF(A216="","",COUNTIF('30_NGAN_HANG'!$B:$B,A216))</f>
        <v/>
      </c>
      <c r="R216">
        <f>IF(A216="","",COUNTIFS('30_NGAN_HANG'!$B:$B,A216,'30_NGAN_HANG'!$Y:$Y,"Approved"))</f>
        <v/>
      </c>
    </row>
    <row r="217">
      <c r="Q217">
        <f>IF(A217="","",COUNTIF('30_NGAN_HANG'!$B:$B,A217))</f>
        <v/>
      </c>
      <c r="R217">
        <f>IF(A217="","",COUNTIFS('30_NGAN_HANG'!$B:$B,A217,'30_NGAN_HANG'!$Y:$Y,"Approved"))</f>
        <v/>
      </c>
    </row>
    <row r="218">
      <c r="Q218">
        <f>IF(A218="","",COUNTIF('30_NGAN_HANG'!$B:$B,A218))</f>
        <v/>
      </c>
      <c r="R218">
        <f>IF(A218="","",COUNTIFS('30_NGAN_HANG'!$B:$B,A218,'30_NGAN_HANG'!$Y:$Y,"Approved"))</f>
        <v/>
      </c>
    </row>
    <row r="219">
      <c r="Q219">
        <f>IF(A219="","",COUNTIF('30_NGAN_HANG'!$B:$B,A219))</f>
        <v/>
      </c>
      <c r="R219">
        <f>IF(A219="","",COUNTIFS('30_NGAN_HANG'!$B:$B,A219,'30_NGAN_HANG'!$Y:$Y,"Approved"))</f>
        <v/>
      </c>
    </row>
    <row r="220">
      <c r="Q220">
        <f>IF(A220="","",COUNTIF('30_NGAN_HANG'!$B:$B,A220))</f>
        <v/>
      </c>
      <c r="R220">
        <f>IF(A220="","",COUNTIFS('30_NGAN_HANG'!$B:$B,A220,'30_NGAN_HANG'!$Y:$Y,"Approved"))</f>
        <v/>
      </c>
    </row>
    <row r="221">
      <c r="Q221">
        <f>IF(A221="","",COUNTIF('30_NGAN_HANG'!$B:$B,A221))</f>
        <v/>
      </c>
      <c r="R221">
        <f>IF(A221="","",COUNTIFS('30_NGAN_HANG'!$B:$B,A221,'30_NGAN_HANG'!$Y:$Y,"Approved"))</f>
        <v/>
      </c>
    </row>
    <row r="222">
      <c r="Q222">
        <f>IF(A222="","",COUNTIF('30_NGAN_HANG'!$B:$B,A222))</f>
        <v/>
      </c>
      <c r="R222">
        <f>IF(A222="","",COUNTIFS('30_NGAN_HANG'!$B:$B,A222,'30_NGAN_HANG'!$Y:$Y,"Approved"))</f>
        <v/>
      </c>
    </row>
    <row r="223">
      <c r="Q223">
        <f>IF(A223="","",COUNTIF('30_NGAN_HANG'!$B:$B,A223))</f>
        <v/>
      </c>
      <c r="R223">
        <f>IF(A223="","",COUNTIFS('30_NGAN_HANG'!$B:$B,A223,'30_NGAN_HANG'!$Y:$Y,"Approved"))</f>
        <v/>
      </c>
    </row>
    <row r="224">
      <c r="Q224">
        <f>IF(A224="","",COUNTIF('30_NGAN_HANG'!$B:$B,A224))</f>
        <v/>
      </c>
      <c r="R224">
        <f>IF(A224="","",COUNTIFS('30_NGAN_HANG'!$B:$B,A224,'30_NGAN_HANG'!$Y:$Y,"Approved"))</f>
        <v/>
      </c>
    </row>
    <row r="225">
      <c r="Q225">
        <f>IF(A225="","",COUNTIF('30_NGAN_HANG'!$B:$B,A225))</f>
        <v/>
      </c>
      <c r="R225">
        <f>IF(A225="","",COUNTIFS('30_NGAN_HANG'!$B:$B,A225,'30_NGAN_HANG'!$Y:$Y,"Approved"))</f>
        <v/>
      </c>
    </row>
    <row r="226">
      <c r="Q226">
        <f>IF(A226="","",COUNTIF('30_NGAN_HANG'!$B:$B,A226))</f>
        <v/>
      </c>
      <c r="R226">
        <f>IF(A226="","",COUNTIFS('30_NGAN_HANG'!$B:$B,A226,'30_NGAN_HANG'!$Y:$Y,"Approved"))</f>
        <v/>
      </c>
    </row>
    <row r="227">
      <c r="Q227">
        <f>IF(A227="","",COUNTIF('30_NGAN_HANG'!$B:$B,A227))</f>
        <v/>
      </c>
      <c r="R227">
        <f>IF(A227="","",COUNTIFS('30_NGAN_HANG'!$B:$B,A227,'30_NGAN_HANG'!$Y:$Y,"Approved"))</f>
        <v/>
      </c>
    </row>
    <row r="228">
      <c r="Q228">
        <f>IF(A228="","",COUNTIF('30_NGAN_HANG'!$B:$B,A228))</f>
        <v/>
      </c>
      <c r="R228">
        <f>IF(A228="","",COUNTIFS('30_NGAN_HANG'!$B:$B,A228,'30_NGAN_HANG'!$Y:$Y,"Approved"))</f>
        <v/>
      </c>
    </row>
    <row r="229">
      <c r="Q229">
        <f>IF(A229="","",COUNTIF('30_NGAN_HANG'!$B:$B,A229))</f>
        <v/>
      </c>
      <c r="R229">
        <f>IF(A229="","",COUNTIFS('30_NGAN_HANG'!$B:$B,A229,'30_NGAN_HANG'!$Y:$Y,"Approved"))</f>
        <v/>
      </c>
    </row>
    <row r="230">
      <c r="Q230">
        <f>IF(A230="","",COUNTIF('30_NGAN_HANG'!$B:$B,A230))</f>
        <v/>
      </c>
      <c r="R230">
        <f>IF(A230="","",COUNTIFS('30_NGAN_HANG'!$B:$B,A230,'30_NGAN_HANG'!$Y:$Y,"Approved"))</f>
        <v/>
      </c>
    </row>
    <row r="231">
      <c r="Q231">
        <f>IF(A231="","",COUNTIF('30_NGAN_HANG'!$B:$B,A231))</f>
        <v/>
      </c>
      <c r="R231">
        <f>IF(A231="","",COUNTIFS('30_NGAN_HANG'!$B:$B,A231,'30_NGAN_HANG'!$Y:$Y,"Approved"))</f>
        <v/>
      </c>
    </row>
    <row r="232">
      <c r="Q232">
        <f>IF(A232="","",COUNTIF('30_NGAN_HANG'!$B:$B,A232))</f>
        <v/>
      </c>
      <c r="R232">
        <f>IF(A232="","",COUNTIFS('30_NGAN_HANG'!$B:$B,A232,'30_NGAN_HANG'!$Y:$Y,"Approved"))</f>
        <v/>
      </c>
    </row>
    <row r="233">
      <c r="Q233">
        <f>IF(A233="","",COUNTIF('30_NGAN_HANG'!$B:$B,A233))</f>
        <v/>
      </c>
      <c r="R233">
        <f>IF(A233="","",COUNTIFS('30_NGAN_HANG'!$B:$B,A233,'30_NGAN_HANG'!$Y:$Y,"Approved"))</f>
        <v/>
      </c>
    </row>
    <row r="234">
      <c r="Q234">
        <f>IF(A234="","",COUNTIF('30_NGAN_HANG'!$B:$B,A234))</f>
        <v/>
      </c>
      <c r="R234">
        <f>IF(A234="","",COUNTIFS('30_NGAN_HANG'!$B:$B,A234,'30_NGAN_HANG'!$Y:$Y,"Approved"))</f>
        <v/>
      </c>
    </row>
    <row r="235">
      <c r="Q235">
        <f>IF(A235="","",COUNTIF('30_NGAN_HANG'!$B:$B,A235))</f>
        <v/>
      </c>
      <c r="R235">
        <f>IF(A235="","",COUNTIFS('30_NGAN_HANG'!$B:$B,A235,'30_NGAN_HANG'!$Y:$Y,"Approved"))</f>
        <v/>
      </c>
    </row>
    <row r="236">
      <c r="Q236">
        <f>IF(A236="","",COUNTIF('30_NGAN_HANG'!$B:$B,A236))</f>
        <v/>
      </c>
      <c r="R236">
        <f>IF(A236="","",COUNTIFS('30_NGAN_HANG'!$B:$B,A236,'30_NGAN_HANG'!$Y:$Y,"Approved"))</f>
        <v/>
      </c>
    </row>
    <row r="237">
      <c r="Q237">
        <f>IF(A237="","",COUNTIF('30_NGAN_HANG'!$B:$B,A237))</f>
        <v/>
      </c>
      <c r="R237">
        <f>IF(A237="","",COUNTIFS('30_NGAN_HANG'!$B:$B,A237,'30_NGAN_HANG'!$Y:$Y,"Approved"))</f>
        <v/>
      </c>
    </row>
    <row r="238">
      <c r="Q238">
        <f>IF(A238="","",COUNTIF('30_NGAN_HANG'!$B:$B,A238))</f>
        <v/>
      </c>
      <c r="R238">
        <f>IF(A238="","",COUNTIFS('30_NGAN_HANG'!$B:$B,A238,'30_NGAN_HANG'!$Y:$Y,"Approved"))</f>
        <v/>
      </c>
    </row>
    <row r="239">
      <c r="Q239">
        <f>IF(A239="","",COUNTIF('30_NGAN_HANG'!$B:$B,A239))</f>
        <v/>
      </c>
      <c r="R239">
        <f>IF(A239="","",COUNTIFS('30_NGAN_HANG'!$B:$B,A239,'30_NGAN_HANG'!$Y:$Y,"Approved"))</f>
        <v/>
      </c>
    </row>
    <row r="240">
      <c r="Q240">
        <f>IF(A240="","",COUNTIF('30_NGAN_HANG'!$B:$B,A240))</f>
        <v/>
      </c>
      <c r="R240">
        <f>IF(A240="","",COUNTIFS('30_NGAN_HANG'!$B:$B,A240,'30_NGAN_HANG'!$Y:$Y,"Approved"))</f>
        <v/>
      </c>
    </row>
    <row r="241">
      <c r="Q241">
        <f>IF(A241="","",COUNTIF('30_NGAN_HANG'!$B:$B,A241))</f>
        <v/>
      </c>
      <c r="R241">
        <f>IF(A241="","",COUNTIFS('30_NGAN_HANG'!$B:$B,A241,'30_NGAN_HANG'!$Y:$Y,"Approved"))</f>
        <v/>
      </c>
    </row>
    <row r="242">
      <c r="Q242">
        <f>IF(A242="","",COUNTIF('30_NGAN_HANG'!$B:$B,A242))</f>
        <v/>
      </c>
      <c r="R242">
        <f>IF(A242="","",COUNTIFS('30_NGAN_HANG'!$B:$B,A242,'30_NGAN_HANG'!$Y:$Y,"Approved"))</f>
        <v/>
      </c>
    </row>
    <row r="243">
      <c r="Q243">
        <f>IF(A243="","",COUNTIF('30_NGAN_HANG'!$B:$B,A243))</f>
        <v/>
      </c>
      <c r="R243">
        <f>IF(A243="","",COUNTIFS('30_NGAN_HANG'!$B:$B,A243,'30_NGAN_HANG'!$Y:$Y,"Approved"))</f>
        <v/>
      </c>
    </row>
    <row r="244">
      <c r="Q244">
        <f>IF(A244="","",COUNTIF('30_NGAN_HANG'!$B:$B,A244))</f>
        <v/>
      </c>
      <c r="R244">
        <f>IF(A244="","",COUNTIFS('30_NGAN_HANG'!$B:$B,A244,'30_NGAN_HANG'!$Y:$Y,"Approved"))</f>
        <v/>
      </c>
    </row>
    <row r="245">
      <c r="Q245">
        <f>IF(A245="","",COUNTIF('30_NGAN_HANG'!$B:$B,A245))</f>
        <v/>
      </c>
      <c r="R245">
        <f>IF(A245="","",COUNTIFS('30_NGAN_HANG'!$B:$B,A245,'30_NGAN_HANG'!$Y:$Y,"Approved"))</f>
        <v/>
      </c>
    </row>
    <row r="246">
      <c r="Q246">
        <f>IF(A246="","",COUNTIF('30_NGAN_HANG'!$B:$B,A246))</f>
        <v/>
      </c>
      <c r="R246">
        <f>IF(A246="","",COUNTIFS('30_NGAN_HANG'!$B:$B,A246,'30_NGAN_HANG'!$Y:$Y,"Approved"))</f>
        <v/>
      </c>
    </row>
    <row r="247">
      <c r="Q247">
        <f>IF(A247="","",COUNTIF('30_NGAN_HANG'!$B:$B,A247))</f>
        <v/>
      </c>
      <c r="R247">
        <f>IF(A247="","",COUNTIFS('30_NGAN_HANG'!$B:$B,A247,'30_NGAN_HANG'!$Y:$Y,"Approved"))</f>
        <v/>
      </c>
    </row>
    <row r="248">
      <c r="Q248">
        <f>IF(A248="","",COUNTIF('30_NGAN_HANG'!$B:$B,A248))</f>
        <v/>
      </c>
      <c r="R248">
        <f>IF(A248="","",COUNTIFS('30_NGAN_HANG'!$B:$B,A248,'30_NGAN_HANG'!$Y:$Y,"Approved"))</f>
        <v/>
      </c>
    </row>
    <row r="249">
      <c r="Q249">
        <f>IF(A249="","",COUNTIF('30_NGAN_HANG'!$B:$B,A249))</f>
        <v/>
      </c>
      <c r="R249">
        <f>IF(A249="","",COUNTIFS('30_NGAN_HANG'!$B:$B,A249,'30_NGAN_HANG'!$Y:$Y,"Approved"))</f>
        <v/>
      </c>
    </row>
    <row r="250">
      <c r="Q250">
        <f>IF(A250="","",COUNTIF('30_NGAN_HANG'!$B:$B,A250))</f>
        <v/>
      </c>
      <c r="R250">
        <f>IF(A250="","",COUNTIFS('30_NGAN_HANG'!$B:$B,A250,'30_NGAN_HANG'!$Y:$Y,"Approved"))</f>
        <v/>
      </c>
    </row>
    <row r="251">
      <c r="Q251">
        <f>IF(A251="","",COUNTIF('30_NGAN_HANG'!$B:$B,A251))</f>
        <v/>
      </c>
      <c r="R251">
        <f>IF(A251="","",COUNTIFS('30_NGAN_HANG'!$B:$B,A251,'30_NGAN_HANG'!$Y:$Y,"Approved"))</f>
        <v/>
      </c>
    </row>
    <row r="252">
      <c r="Q252">
        <f>IF(A252="","",COUNTIF('30_NGAN_HANG'!$B:$B,A252))</f>
        <v/>
      </c>
      <c r="R252">
        <f>IF(A252="","",COUNTIFS('30_NGAN_HANG'!$B:$B,A252,'30_NGAN_HANG'!$Y:$Y,"Approved"))</f>
        <v/>
      </c>
    </row>
    <row r="253">
      <c r="Q253">
        <f>IF(A253="","",COUNTIF('30_NGAN_HANG'!$B:$B,A253))</f>
        <v/>
      </c>
      <c r="R253">
        <f>IF(A253="","",COUNTIFS('30_NGAN_HANG'!$B:$B,A253,'30_NGAN_HANG'!$Y:$Y,"Approved"))</f>
        <v/>
      </c>
    </row>
    <row r="254">
      <c r="Q254">
        <f>IF(A254="","",COUNTIF('30_NGAN_HANG'!$B:$B,A254))</f>
        <v/>
      </c>
      <c r="R254">
        <f>IF(A254="","",COUNTIFS('30_NGAN_HANG'!$B:$B,A254,'30_NGAN_HANG'!$Y:$Y,"Approved"))</f>
        <v/>
      </c>
    </row>
    <row r="255">
      <c r="Q255">
        <f>IF(A255="","",COUNTIF('30_NGAN_HANG'!$B:$B,A255))</f>
        <v/>
      </c>
      <c r="R255">
        <f>IF(A255="","",COUNTIFS('30_NGAN_HANG'!$B:$B,A255,'30_NGAN_HANG'!$Y:$Y,"Approved"))</f>
        <v/>
      </c>
    </row>
    <row r="256">
      <c r="Q256">
        <f>IF(A256="","",COUNTIF('30_NGAN_HANG'!$B:$B,A256))</f>
        <v/>
      </c>
      <c r="R256">
        <f>IF(A256="","",COUNTIFS('30_NGAN_HANG'!$B:$B,A256,'30_NGAN_HANG'!$Y:$Y,"Approved"))</f>
        <v/>
      </c>
    </row>
    <row r="257">
      <c r="Q257">
        <f>IF(A257="","",COUNTIF('30_NGAN_HANG'!$B:$B,A257))</f>
        <v/>
      </c>
      <c r="R257">
        <f>IF(A257="","",COUNTIFS('30_NGAN_HANG'!$B:$B,A257,'30_NGAN_HANG'!$Y:$Y,"Approved"))</f>
        <v/>
      </c>
    </row>
    <row r="258">
      <c r="Q258">
        <f>IF(A258="","",COUNTIF('30_NGAN_HANG'!$B:$B,A258))</f>
        <v/>
      </c>
      <c r="R258">
        <f>IF(A258="","",COUNTIFS('30_NGAN_HANG'!$B:$B,A258,'30_NGAN_HANG'!$Y:$Y,"Approved"))</f>
        <v/>
      </c>
    </row>
    <row r="259">
      <c r="Q259">
        <f>IF(A259="","",COUNTIF('30_NGAN_HANG'!$B:$B,A259))</f>
        <v/>
      </c>
      <c r="R259">
        <f>IF(A259="","",COUNTIFS('30_NGAN_HANG'!$B:$B,A259,'30_NGAN_HANG'!$Y:$Y,"Approved"))</f>
        <v/>
      </c>
    </row>
    <row r="260">
      <c r="Q260">
        <f>IF(A260="","",COUNTIF('30_NGAN_HANG'!$B:$B,A260))</f>
        <v/>
      </c>
      <c r="R260">
        <f>IF(A260="","",COUNTIFS('30_NGAN_HANG'!$B:$B,A260,'30_NGAN_HANG'!$Y:$Y,"Approved"))</f>
        <v/>
      </c>
    </row>
    <row r="261">
      <c r="Q261">
        <f>IF(A261="","",COUNTIF('30_NGAN_HANG'!$B:$B,A261))</f>
        <v/>
      </c>
      <c r="R261">
        <f>IF(A261="","",COUNTIFS('30_NGAN_HANG'!$B:$B,A261,'30_NGAN_HANG'!$Y:$Y,"Approved"))</f>
        <v/>
      </c>
    </row>
    <row r="262">
      <c r="Q262">
        <f>IF(A262="","",COUNTIF('30_NGAN_HANG'!$B:$B,A262))</f>
        <v/>
      </c>
      <c r="R262">
        <f>IF(A262="","",COUNTIFS('30_NGAN_HANG'!$B:$B,A262,'30_NGAN_HANG'!$Y:$Y,"Approved"))</f>
        <v/>
      </c>
    </row>
    <row r="263">
      <c r="Q263">
        <f>IF(A263="","",COUNTIF('30_NGAN_HANG'!$B:$B,A263))</f>
        <v/>
      </c>
      <c r="R263">
        <f>IF(A263="","",COUNTIFS('30_NGAN_HANG'!$B:$B,A263,'30_NGAN_HANG'!$Y:$Y,"Approved"))</f>
        <v/>
      </c>
    </row>
    <row r="264">
      <c r="Q264">
        <f>IF(A264="","",COUNTIF('30_NGAN_HANG'!$B:$B,A264))</f>
        <v/>
      </c>
      <c r="R264">
        <f>IF(A264="","",COUNTIFS('30_NGAN_HANG'!$B:$B,A264,'30_NGAN_HANG'!$Y:$Y,"Approved"))</f>
        <v/>
      </c>
    </row>
    <row r="265">
      <c r="Q265">
        <f>IF(A265="","",COUNTIF('30_NGAN_HANG'!$B:$B,A265))</f>
        <v/>
      </c>
      <c r="R265">
        <f>IF(A265="","",COUNTIFS('30_NGAN_HANG'!$B:$B,A265,'30_NGAN_HANG'!$Y:$Y,"Approved"))</f>
        <v/>
      </c>
    </row>
    <row r="266">
      <c r="Q266">
        <f>IF(A266="","",COUNTIF('30_NGAN_HANG'!$B:$B,A266))</f>
        <v/>
      </c>
      <c r="R266">
        <f>IF(A266="","",COUNTIFS('30_NGAN_HANG'!$B:$B,A266,'30_NGAN_HANG'!$Y:$Y,"Approved"))</f>
        <v/>
      </c>
    </row>
    <row r="267">
      <c r="Q267">
        <f>IF(A267="","",COUNTIF('30_NGAN_HANG'!$B:$B,A267))</f>
        <v/>
      </c>
      <c r="R267">
        <f>IF(A267="","",COUNTIFS('30_NGAN_HANG'!$B:$B,A267,'30_NGAN_HANG'!$Y:$Y,"Approved"))</f>
        <v/>
      </c>
    </row>
    <row r="268">
      <c r="Q268">
        <f>IF(A268="","",COUNTIF('30_NGAN_HANG'!$B:$B,A268))</f>
        <v/>
      </c>
      <c r="R268">
        <f>IF(A268="","",COUNTIFS('30_NGAN_HANG'!$B:$B,A268,'30_NGAN_HANG'!$Y:$Y,"Approved"))</f>
        <v/>
      </c>
    </row>
    <row r="269">
      <c r="Q269">
        <f>IF(A269="","",COUNTIF('30_NGAN_HANG'!$B:$B,A269))</f>
        <v/>
      </c>
      <c r="R269">
        <f>IF(A269="","",COUNTIFS('30_NGAN_HANG'!$B:$B,A269,'30_NGAN_HANG'!$Y:$Y,"Approved"))</f>
        <v/>
      </c>
    </row>
    <row r="270">
      <c r="Q270">
        <f>IF(A270="","",COUNTIF('30_NGAN_HANG'!$B:$B,A270))</f>
        <v/>
      </c>
      <c r="R270">
        <f>IF(A270="","",COUNTIFS('30_NGAN_HANG'!$B:$B,A270,'30_NGAN_HANG'!$Y:$Y,"Approved"))</f>
        <v/>
      </c>
    </row>
    <row r="271">
      <c r="Q271">
        <f>IF(A271="","",COUNTIF('30_NGAN_HANG'!$B:$B,A271))</f>
        <v/>
      </c>
      <c r="R271">
        <f>IF(A271="","",COUNTIFS('30_NGAN_HANG'!$B:$B,A271,'30_NGAN_HANG'!$Y:$Y,"Approved"))</f>
        <v/>
      </c>
    </row>
    <row r="272">
      <c r="Q272">
        <f>IF(A272="","",COUNTIF('30_NGAN_HANG'!$B:$B,A272))</f>
        <v/>
      </c>
      <c r="R272">
        <f>IF(A272="","",COUNTIFS('30_NGAN_HANG'!$B:$B,A272,'30_NGAN_HANG'!$Y:$Y,"Approved"))</f>
        <v/>
      </c>
    </row>
    <row r="273">
      <c r="Q273">
        <f>IF(A273="","",COUNTIF('30_NGAN_HANG'!$B:$B,A273))</f>
        <v/>
      </c>
      <c r="R273">
        <f>IF(A273="","",COUNTIFS('30_NGAN_HANG'!$B:$B,A273,'30_NGAN_HANG'!$Y:$Y,"Approved"))</f>
        <v/>
      </c>
    </row>
    <row r="274">
      <c r="Q274">
        <f>IF(A274="","",COUNTIF('30_NGAN_HANG'!$B:$B,A274))</f>
        <v/>
      </c>
      <c r="R274">
        <f>IF(A274="","",COUNTIFS('30_NGAN_HANG'!$B:$B,A274,'30_NGAN_HANG'!$Y:$Y,"Approved"))</f>
        <v/>
      </c>
    </row>
    <row r="275">
      <c r="Q275">
        <f>IF(A275="","",COUNTIF('30_NGAN_HANG'!$B:$B,A275))</f>
        <v/>
      </c>
      <c r="R275">
        <f>IF(A275="","",COUNTIFS('30_NGAN_HANG'!$B:$B,A275,'30_NGAN_HANG'!$Y:$Y,"Approved"))</f>
        <v/>
      </c>
    </row>
    <row r="276">
      <c r="Q276">
        <f>IF(A276="","",COUNTIF('30_NGAN_HANG'!$B:$B,A276))</f>
        <v/>
      </c>
      <c r="R276">
        <f>IF(A276="","",COUNTIFS('30_NGAN_HANG'!$B:$B,A276,'30_NGAN_HANG'!$Y:$Y,"Approved"))</f>
        <v/>
      </c>
    </row>
    <row r="277">
      <c r="Q277">
        <f>IF(A277="","",COUNTIF('30_NGAN_HANG'!$B:$B,A277))</f>
        <v/>
      </c>
      <c r="R277">
        <f>IF(A277="","",COUNTIFS('30_NGAN_HANG'!$B:$B,A277,'30_NGAN_HANG'!$Y:$Y,"Approved"))</f>
        <v/>
      </c>
    </row>
    <row r="278">
      <c r="Q278">
        <f>IF(A278="","",COUNTIF('30_NGAN_HANG'!$B:$B,A278))</f>
        <v/>
      </c>
      <c r="R278">
        <f>IF(A278="","",COUNTIFS('30_NGAN_HANG'!$B:$B,A278,'30_NGAN_HANG'!$Y:$Y,"Approved"))</f>
        <v/>
      </c>
    </row>
    <row r="279">
      <c r="Q279">
        <f>IF(A279="","",COUNTIF('30_NGAN_HANG'!$B:$B,A279))</f>
        <v/>
      </c>
      <c r="R279">
        <f>IF(A279="","",COUNTIFS('30_NGAN_HANG'!$B:$B,A279,'30_NGAN_HANG'!$Y:$Y,"Approved"))</f>
        <v/>
      </c>
    </row>
    <row r="280">
      <c r="Q280">
        <f>IF(A280="","",COUNTIF('30_NGAN_HANG'!$B:$B,A280))</f>
        <v/>
      </c>
      <c r="R280">
        <f>IF(A280="","",COUNTIFS('30_NGAN_HANG'!$B:$B,A280,'30_NGAN_HANG'!$Y:$Y,"Approved"))</f>
        <v/>
      </c>
    </row>
    <row r="281">
      <c r="Q281">
        <f>IF(A281="","",COUNTIF('30_NGAN_HANG'!$B:$B,A281))</f>
        <v/>
      </c>
      <c r="R281">
        <f>IF(A281="","",COUNTIFS('30_NGAN_HANG'!$B:$B,A281,'30_NGAN_HANG'!$Y:$Y,"Approved"))</f>
        <v/>
      </c>
    </row>
    <row r="282">
      <c r="Q282">
        <f>IF(A282="","",COUNTIF('30_NGAN_HANG'!$B:$B,A282))</f>
        <v/>
      </c>
      <c r="R282">
        <f>IF(A282="","",COUNTIFS('30_NGAN_HANG'!$B:$B,A282,'30_NGAN_HANG'!$Y:$Y,"Approved"))</f>
        <v/>
      </c>
    </row>
    <row r="283">
      <c r="Q283">
        <f>IF(A283="","",COUNTIF('30_NGAN_HANG'!$B:$B,A283))</f>
        <v/>
      </c>
      <c r="R283">
        <f>IF(A283="","",COUNTIFS('30_NGAN_HANG'!$B:$B,A283,'30_NGAN_HANG'!$Y:$Y,"Approved"))</f>
        <v/>
      </c>
    </row>
    <row r="284">
      <c r="Q284">
        <f>IF(A284="","",COUNTIF('30_NGAN_HANG'!$B:$B,A284))</f>
        <v/>
      </c>
      <c r="R284">
        <f>IF(A284="","",COUNTIFS('30_NGAN_HANG'!$B:$B,A284,'30_NGAN_HANG'!$Y:$Y,"Approved"))</f>
        <v/>
      </c>
    </row>
    <row r="285">
      <c r="Q285">
        <f>IF(A285="","",COUNTIF('30_NGAN_HANG'!$B:$B,A285))</f>
        <v/>
      </c>
      <c r="R285">
        <f>IF(A285="","",COUNTIFS('30_NGAN_HANG'!$B:$B,A285,'30_NGAN_HANG'!$Y:$Y,"Approved"))</f>
        <v/>
      </c>
    </row>
    <row r="286">
      <c r="Q286">
        <f>IF(A286="","",COUNTIF('30_NGAN_HANG'!$B:$B,A286))</f>
        <v/>
      </c>
      <c r="R286">
        <f>IF(A286="","",COUNTIFS('30_NGAN_HANG'!$B:$B,A286,'30_NGAN_HANG'!$Y:$Y,"Approved"))</f>
        <v/>
      </c>
    </row>
    <row r="287">
      <c r="Q287">
        <f>IF(A287="","",COUNTIF('30_NGAN_HANG'!$B:$B,A287))</f>
        <v/>
      </c>
      <c r="R287">
        <f>IF(A287="","",COUNTIFS('30_NGAN_HANG'!$B:$B,A287,'30_NGAN_HANG'!$Y:$Y,"Approved"))</f>
        <v/>
      </c>
    </row>
    <row r="288">
      <c r="Q288">
        <f>IF(A288="","",COUNTIF('30_NGAN_HANG'!$B:$B,A288))</f>
        <v/>
      </c>
      <c r="R288">
        <f>IF(A288="","",COUNTIFS('30_NGAN_HANG'!$B:$B,A288,'30_NGAN_HANG'!$Y:$Y,"Approved"))</f>
        <v/>
      </c>
    </row>
    <row r="289">
      <c r="Q289">
        <f>IF(A289="","",COUNTIF('30_NGAN_HANG'!$B:$B,A289))</f>
        <v/>
      </c>
      <c r="R289">
        <f>IF(A289="","",COUNTIFS('30_NGAN_HANG'!$B:$B,A289,'30_NGAN_HANG'!$Y:$Y,"Approved"))</f>
        <v/>
      </c>
    </row>
    <row r="290">
      <c r="Q290">
        <f>IF(A290="","",COUNTIF('30_NGAN_HANG'!$B:$B,A290))</f>
        <v/>
      </c>
      <c r="R290">
        <f>IF(A290="","",COUNTIFS('30_NGAN_HANG'!$B:$B,A290,'30_NGAN_HANG'!$Y:$Y,"Approved"))</f>
        <v/>
      </c>
    </row>
    <row r="291">
      <c r="Q291">
        <f>IF(A291="","",COUNTIF('30_NGAN_HANG'!$B:$B,A291))</f>
        <v/>
      </c>
      <c r="R291">
        <f>IF(A291="","",COUNTIFS('30_NGAN_HANG'!$B:$B,A291,'30_NGAN_HANG'!$Y:$Y,"Approved"))</f>
        <v/>
      </c>
    </row>
    <row r="292">
      <c r="Q292">
        <f>IF(A292="","",COUNTIF('30_NGAN_HANG'!$B:$B,A292))</f>
        <v/>
      </c>
      <c r="R292">
        <f>IF(A292="","",COUNTIFS('30_NGAN_HANG'!$B:$B,A292,'30_NGAN_HANG'!$Y:$Y,"Approved"))</f>
        <v/>
      </c>
    </row>
    <row r="293">
      <c r="Q293">
        <f>IF(A293="","",COUNTIF('30_NGAN_HANG'!$B:$B,A293))</f>
        <v/>
      </c>
      <c r="R293">
        <f>IF(A293="","",COUNTIFS('30_NGAN_HANG'!$B:$B,A293,'30_NGAN_HANG'!$Y:$Y,"Approved"))</f>
        <v/>
      </c>
    </row>
    <row r="294">
      <c r="Q294">
        <f>IF(A294="","",COUNTIF('30_NGAN_HANG'!$B:$B,A294))</f>
        <v/>
      </c>
      <c r="R294">
        <f>IF(A294="","",COUNTIFS('30_NGAN_HANG'!$B:$B,A294,'30_NGAN_HANG'!$Y:$Y,"Approved"))</f>
        <v/>
      </c>
    </row>
    <row r="295">
      <c r="Q295">
        <f>IF(A295="","",COUNTIF('30_NGAN_HANG'!$B:$B,A295))</f>
        <v/>
      </c>
      <c r="R295">
        <f>IF(A295="","",COUNTIFS('30_NGAN_HANG'!$B:$B,A295,'30_NGAN_HANG'!$Y:$Y,"Approved"))</f>
        <v/>
      </c>
    </row>
    <row r="296">
      <c r="Q296">
        <f>IF(A296="","",COUNTIF('30_NGAN_HANG'!$B:$B,A296))</f>
        <v/>
      </c>
      <c r="R296">
        <f>IF(A296="","",COUNTIFS('30_NGAN_HANG'!$B:$B,A296,'30_NGAN_HANG'!$Y:$Y,"Approved"))</f>
        <v/>
      </c>
    </row>
    <row r="297">
      <c r="Q297">
        <f>IF(A297="","",COUNTIF('30_NGAN_HANG'!$B:$B,A297))</f>
        <v/>
      </c>
      <c r="R297">
        <f>IF(A297="","",COUNTIFS('30_NGAN_HANG'!$B:$B,A297,'30_NGAN_HANG'!$Y:$Y,"Approved"))</f>
        <v/>
      </c>
    </row>
    <row r="298">
      <c r="Q298">
        <f>IF(A298="","",COUNTIF('30_NGAN_HANG'!$B:$B,A298))</f>
        <v/>
      </c>
      <c r="R298">
        <f>IF(A298="","",COUNTIFS('30_NGAN_HANG'!$B:$B,A298,'30_NGAN_HANG'!$Y:$Y,"Approved"))</f>
        <v/>
      </c>
    </row>
    <row r="299">
      <c r="Q299">
        <f>IF(A299="","",COUNTIF('30_NGAN_HANG'!$B:$B,A299))</f>
        <v/>
      </c>
      <c r="R299">
        <f>IF(A299="","",COUNTIFS('30_NGAN_HANG'!$B:$B,A299,'30_NGAN_HANG'!$Y:$Y,"Approved"))</f>
        <v/>
      </c>
    </row>
    <row r="300">
      <c r="Q300">
        <f>IF(A300="","",COUNTIF('30_NGAN_HANG'!$B:$B,A300))</f>
        <v/>
      </c>
      <c r="R300">
        <f>IF(A300="","",COUNTIFS('30_NGAN_HANG'!$B:$B,A300,'30_NGAN_HANG'!$Y:$Y,"Approved"))</f>
        <v/>
      </c>
    </row>
  </sheetData>
  <dataValidations count="4">
    <dataValidation sqref="C3:C300" showDropDown="0" showInputMessage="0" showErrorMessage="0" allowBlank="1" type="list">
      <formula1>='99_DANH_MUC'!$A$2:$A$4</formula1>
    </dataValidation>
    <dataValidation sqref="N3:N300" showDropDown="0" showInputMessage="0" showErrorMessage="0" allowBlank="1" type="list">
      <formula1>='99_DANH_MUC'!$G$2:$G$4</formula1>
    </dataValidation>
    <dataValidation sqref="P3:P300" showDropDown="0" showInputMessage="0" showErrorMessage="0" allowBlank="1" type="list">
      <formula1>='99_DANH_MUC'!$E$2:$E$5</formula1>
    </dataValidation>
    <dataValidation sqref="I3:I300" showDropDown="0" showInputMessage="0" showErrorMessage="0" allowBlank="1" type="list">
      <formula1>='99_DANH_MUC'!$I$2:$I$4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C55A11"/>
    <outlinePr summaryBelow="1" summaryRight="1"/>
    <pageSetUpPr/>
  </sheetPr>
  <dimension ref="A1:P30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12" customWidth="1" min="4" max="4"/>
    <col width="34" customWidth="1" min="5" max="5"/>
    <col width="38" customWidth="1" min="6" max="6"/>
    <col width="20" customWidth="1" min="7" max="7"/>
    <col width="20" customWidth="1" min="8" max="8"/>
    <col width="32" customWidth="1" min="9" max="9"/>
    <col width="40" customWidth="1" min="10" max="10"/>
    <col width="32" customWidth="1" min="11" max="11"/>
    <col width="28" customWidth="1" min="12" max="12"/>
    <col width="24" customWidth="1" min="13" max="13"/>
    <col width="24" customWidth="1" min="14" max="14"/>
    <col width="32" customWidth="1" min="15" max="15"/>
    <col width="34" customWidth="1" min="16" max="16"/>
  </cols>
  <sheetData>
    <row r="1">
      <c r="A1" s="7" t="inlineStr">
        <is>
          <t>会話と表現 › 文法  |  1 dòng = 1 yêu cầu sinh câu. Cam = bắt buộc, vàng = gợi ý cho AI.</t>
        </is>
      </c>
    </row>
    <row r="2" ht="42" customHeight="1">
      <c r="A2" s="8" t="inlineStr">
        <is>
          <t>Mã yêu cầu</t>
        </is>
      </c>
      <c r="B2" s="8" t="inlineStr">
        <is>
          <t>Mã đề (kế hoạch)</t>
        </is>
      </c>
      <c r="C2" s="8" t="inlineStr">
        <is>
          <t>Quyển</t>
        </is>
      </c>
      <c r="D2" s="8" t="inlineStr">
        <is>
          <t>Bài</t>
        </is>
      </c>
      <c r="E2" s="8" t="inlineStr">
        <is>
          <t>Số câu cần sinh</t>
        </is>
      </c>
      <c r="F2" s="9" t="inlineStr">
        <is>
          <t>Mẫu ngữ pháp đích</t>
        </is>
      </c>
      <c r="G2" s="9" t="inlineStr">
        <is>
          <t>Dạng câu</t>
        </is>
      </c>
      <c r="H2" s="13" t="inlineStr">
        <is>
          <t>Ngữ cảnh</t>
        </is>
      </c>
      <c r="I2" s="13" t="inlineStr">
        <is>
          <t>Vị trí ô trống</t>
        </is>
      </c>
      <c r="J2" s="13" t="inlineStr">
        <is>
          <t>Mẫu dễ nhầm làm nhiễu</t>
        </is>
      </c>
      <c r="K2" s="8" t="inlineStr">
        <is>
          <t>Ghi chú cho AI</t>
        </is>
      </c>
      <c r="L2" s="8" t="inlineStr">
        <is>
          <t>Công cụ sinh</t>
        </is>
      </c>
      <c r="M2" s="8" t="inlineStr">
        <is>
          <t>Người nhập</t>
        </is>
      </c>
      <c r="N2" s="8" t="inlineStr">
        <is>
          <t>Trạng thái</t>
        </is>
      </c>
      <c r="O2" s="10" t="inlineStr">
        <is>
          <t>Số câu đã sinh</t>
        </is>
      </c>
      <c r="P2" s="10" t="inlineStr">
        <is>
          <t>Số câu Approved</t>
        </is>
      </c>
    </row>
    <row r="3">
      <c r="A3" t="inlineStr">
        <is>
          <t>IN_06-0001</t>
        </is>
      </c>
      <c r="C3" t="inlineStr">
        <is>
          <t>入門</t>
        </is>
      </c>
      <c r="D3" t="n">
        <v>1</v>
      </c>
      <c r="E3" t="n">
        <v>3</v>
      </c>
      <c r="F3" t="inlineStr">
        <is>
          <t>〜てください</t>
        </is>
      </c>
      <c r="G3" t="inlineStr">
        <is>
          <t>Hội thoại A-B</t>
        </is>
      </c>
      <c r="H3" t="inlineStr">
        <is>
          <t>Ở văn phòng, sếp nhờ nhân viên</t>
        </is>
      </c>
      <c r="I3" t="inlineStr">
        <is>
          <t>Đuôi động từ</t>
        </is>
      </c>
      <c r="J3" t="inlineStr">
        <is>
          <t>〜てもいいです;〜ています</t>
        </is>
      </c>
      <c r="K3" t="inlineStr">
        <is>
          <t>VÍ DỤ — xoá dòng này khi dùng thật</t>
        </is>
      </c>
      <c r="L3" t="inlineStr">
        <is>
          <t>ChatGPT</t>
        </is>
      </c>
      <c r="N3" t="inlineStr">
        <is>
          <t>Nháp</t>
        </is>
      </c>
      <c r="O3">
        <f>IF(A3="","",COUNTIF('30_NGAN_HANG'!$B:$B,A3))</f>
        <v/>
      </c>
      <c r="P3">
        <f>IF(A3="","",COUNTIFS('30_NGAN_HANG'!$B:$B,A3,'30_NGAN_HANG'!$Y:$Y,"Approved"))</f>
        <v/>
      </c>
    </row>
    <row r="4">
      <c r="O4">
        <f>IF(A4="","",COUNTIF('30_NGAN_HANG'!$B:$B,A4))</f>
        <v/>
      </c>
      <c r="P4">
        <f>IF(A4="","",COUNTIFS('30_NGAN_HANG'!$B:$B,A4,'30_NGAN_HANG'!$Y:$Y,"Approved"))</f>
        <v/>
      </c>
    </row>
    <row r="5">
      <c r="O5">
        <f>IF(A5="","",COUNTIF('30_NGAN_HANG'!$B:$B,A5))</f>
        <v/>
      </c>
      <c r="P5">
        <f>IF(A5="","",COUNTIFS('30_NGAN_HANG'!$B:$B,A5,'30_NGAN_HANG'!$Y:$Y,"Approved"))</f>
        <v/>
      </c>
    </row>
    <row r="6">
      <c r="O6">
        <f>IF(A6="","",COUNTIF('30_NGAN_HANG'!$B:$B,A6))</f>
        <v/>
      </c>
      <c r="P6">
        <f>IF(A6="","",COUNTIFS('30_NGAN_HANG'!$B:$B,A6,'30_NGAN_HANG'!$Y:$Y,"Approved"))</f>
        <v/>
      </c>
    </row>
    <row r="7">
      <c r="O7">
        <f>IF(A7="","",COUNTIF('30_NGAN_HANG'!$B:$B,A7))</f>
        <v/>
      </c>
      <c r="P7">
        <f>IF(A7="","",COUNTIFS('30_NGAN_HANG'!$B:$B,A7,'30_NGAN_HANG'!$Y:$Y,"Approved"))</f>
        <v/>
      </c>
    </row>
    <row r="8">
      <c r="O8">
        <f>IF(A8="","",COUNTIF('30_NGAN_HANG'!$B:$B,A8))</f>
        <v/>
      </c>
      <c r="P8">
        <f>IF(A8="","",COUNTIFS('30_NGAN_HANG'!$B:$B,A8,'30_NGAN_HANG'!$Y:$Y,"Approved"))</f>
        <v/>
      </c>
    </row>
    <row r="9">
      <c r="O9">
        <f>IF(A9="","",COUNTIF('30_NGAN_HANG'!$B:$B,A9))</f>
        <v/>
      </c>
      <c r="P9">
        <f>IF(A9="","",COUNTIFS('30_NGAN_HANG'!$B:$B,A9,'30_NGAN_HANG'!$Y:$Y,"Approved"))</f>
        <v/>
      </c>
    </row>
    <row r="10">
      <c r="O10">
        <f>IF(A10="","",COUNTIF('30_NGAN_HANG'!$B:$B,A10))</f>
        <v/>
      </c>
      <c r="P10">
        <f>IF(A10="","",COUNTIFS('30_NGAN_HANG'!$B:$B,A10,'30_NGAN_HANG'!$Y:$Y,"Approved"))</f>
        <v/>
      </c>
    </row>
    <row r="11">
      <c r="O11">
        <f>IF(A11="","",COUNTIF('30_NGAN_HANG'!$B:$B,A11))</f>
        <v/>
      </c>
      <c r="P11">
        <f>IF(A11="","",COUNTIFS('30_NGAN_HANG'!$B:$B,A11,'30_NGAN_HANG'!$Y:$Y,"Approved"))</f>
        <v/>
      </c>
    </row>
    <row r="12">
      <c r="O12">
        <f>IF(A12="","",COUNTIF('30_NGAN_HANG'!$B:$B,A12))</f>
        <v/>
      </c>
      <c r="P12">
        <f>IF(A12="","",COUNTIFS('30_NGAN_HANG'!$B:$B,A12,'30_NGAN_HANG'!$Y:$Y,"Approved"))</f>
        <v/>
      </c>
    </row>
    <row r="13">
      <c r="O13">
        <f>IF(A13="","",COUNTIF('30_NGAN_HANG'!$B:$B,A13))</f>
        <v/>
      </c>
      <c r="P13">
        <f>IF(A13="","",COUNTIFS('30_NGAN_HANG'!$B:$B,A13,'30_NGAN_HANG'!$Y:$Y,"Approved"))</f>
        <v/>
      </c>
    </row>
    <row r="14">
      <c r="O14">
        <f>IF(A14="","",COUNTIF('30_NGAN_HANG'!$B:$B,A14))</f>
        <v/>
      </c>
      <c r="P14">
        <f>IF(A14="","",COUNTIFS('30_NGAN_HANG'!$B:$B,A14,'30_NGAN_HANG'!$Y:$Y,"Approved"))</f>
        <v/>
      </c>
    </row>
    <row r="15">
      <c r="O15">
        <f>IF(A15="","",COUNTIF('30_NGAN_HANG'!$B:$B,A15))</f>
        <v/>
      </c>
      <c r="P15">
        <f>IF(A15="","",COUNTIFS('30_NGAN_HANG'!$B:$B,A15,'30_NGAN_HANG'!$Y:$Y,"Approved"))</f>
        <v/>
      </c>
    </row>
    <row r="16">
      <c r="O16">
        <f>IF(A16="","",COUNTIF('30_NGAN_HANG'!$B:$B,A16))</f>
        <v/>
      </c>
      <c r="P16">
        <f>IF(A16="","",COUNTIFS('30_NGAN_HANG'!$B:$B,A16,'30_NGAN_HANG'!$Y:$Y,"Approved"))</f>
        <v/>
      </c>
    </row>
    <row r="17">
      <c r="O17">
        <f>IF(A17="","",COUNTIF('30_NGAN_HANG'!$B:$B,A17))</f>
        <v/>
      </c>
      <c r="P17">
        <f>IF(A17="","",COUNTIFS('30_NGAN_HANG'!$B:$B,A17,'30_NGAN_HANG'!$Y:$Y,"Approved"))</f>
        <v/>
      </c>
    </row>
    <row r="18">
      <c r="O18">
        <f>IF(A18="","",COUNTIF('30_NGAN_HANG'!$B:$B,A18))</f>
        <v/>
      </c>
      <c r="P18">
        <f>IF(A18="","",COUNTIFS('30_NGAN_HANG'!$B:$B,A18,'30_NGAN_HANG'!$Y:$Y,"Approved"))</f>
        <v/>
      </c>
    </row>
    <row r="19">
      <c r="O19">
        <f>IF(A19="","",COUNTIF('30_NGAN_HANG'!$B:$B,A19))</f>
        <v/>
      </c>
      <c r="P19">
        <f>IF(A19="","",COUNTIFS('30_NGAN_HANG'!$B:$B,A19,'30_NGAN_HANG'!$Y:$Y,"Approved"))</f>
        <v/>
      </c>
    </row>
    <row r="20">
      <c r="O20">
        <f>IF(A20="","",COUNTIF('30_NGAN_HANG'!$B:$B,A20))</f>
        <v/>
      </c>
      <c r="P20">
        <f>IF(A20="","",COUNTIFS('30_NGAN_HANG'!$B:$B,A20,'30_NGAN_HANG'!$Y:$Y,"Approved"))</f>
        <v/>
      </c>
    </row>
    <row r="21">
      <c r="O21">
        <f>IF(A21="","",COUNTIF('30_NGAN_HANG'!$B:$B,A21))</f>
        <v/>
      </c>
      <c r="P21">
        <f>IF(A21="","",COUNTIFS('30_NGAN_HANG'!$B:$B,A21,'30_NGAN_HANG'!$Y:$Y,"Approved"))</f>
        <v/>
      </c>
    </row>
    <row r="22">
      <c r="O22">
        <f>IF(A22="","",COUNTIF('30_NGAN_HANG'!$B:$B,A22))</f>
        <v/>
      </c>
      <c r="P22">
        <f>IF(A22="","",COUNTIFS('30_NGAN_HANG'!$B:$B,A22,'30_NGAN_HANG'!$Y:$Y,"Approved"))</f>
        <v/>
      </c>
    </row>
    <row r="23">
      <c r="O23">
        <f>IF(A23="","",COUNTIF('30_NGAN_HANG'!$B:$B,A23))</f>
        <v/>
      </c>
      <c r="P23">
        <f>IF(A23="","",COUNTIFS('30_NGAN_HANG'!$B:$B,A23,'30_NGAN_HANG'!$Y:$Y,"Approved"))</f>
        <v/>
      </c>
    </row>
    <row r="24">
      <c r="O24">
        <f>IF(A24="","",COUNTIF('30_NGAN_HANG'!$B:$B,A24))</f>
        <v/>
      </c>
      <c r="P24">
        <f>IF(A24="","",COUNTIFS('30_NGAN_HANG'!$B:$B,A24,'30_NGAN_HANG'!$Y:$Y,"Approved"))</f>
        <v/>
      </c>
    </row>
    <row r="25">
      <c r="O25">
        <f>IF(A25="","",COUNTIF('30_NGAN_HANG'!$B:$B,A25))</f>
        <v/>
      </c>
      <c r="P25">
        <f>IF(A25="","",COUNTIFS('30_NGAN_HANG'!$B:$B,A25,'30_NGAN_HANG'!$Y:$Y,"Approved"))</f>
        <v/>
      </c>
    </row>
    <row r="26">
      <c r="O26">
        <f>IF(A26="","",COUNTIF('30_NGAN_HANG'!$B:$B,A26))</f>
        <v/>
      </c>
      <c r="P26">
        <f>IF(A26="","",COUNTIFS('30_NGAN_HANG'!$B:$B,A26,'30_NGAN_HANG'!$Y:$Y,"Approved"))</f>
        <v/>
      </c>
    </row>
    <row r="27">
      <c r="O27">
        <f>IF(A27="","",COUNTIF('30_NGAN_HANG'!$B:$B,A27))</f>
        <v/>
      </c>
      <c r="P27">
        <f>IF(A27="","",COUNTIFS('30_NGAN_HANG'!$B:$B,A27,'30_NGAN_HANG'!$Y:$Y,"Approved"))</f>
        <v/>
      </c>
    </row>
    <row r="28">
      <c r="O28">
        <f>IF(A28="","",COUNTIF('30_NGAN_HANG'!$B:$B,A28))</f>
        <v/>
      </c>
      <c r="P28">
        <f>IF(A28="","",COUNTIFS('30_NGAN_HANG'!$B:$B,A28,'30_NGAN_HANG'!$Y:$Y,"Approved"))</f>
        <v/>
      </c>
    </row>
    <row r="29">
      <c r="O29">
        <f>IF(A29="","",COUNTIF('30_NGAN_HANG'!$B:$B,A29))</f>
        <v/>
      </c>
      <c r="P29">
        <f>IF(A29="","",COUNTIFS('30_NGAN_HANG'!$B:$B,A29,'30_NGAN_HANG'!$Y:$Y,"Approved"))</f>
        <v/>
      </c>
    </row>
    <row r="30">
      <c r="O30">
        <f>IF(A30="","",COUNTIF('30_NGAN_HANG'!$B:$B,A30))</f>
        <v/>
      </c>
      <c r="P30">
        <f>IF(A30="","",COUNTIFS('30_NGAN_HANG'!$B:$B,A30,'30_NGAN_HANG'!$Y:$Y,"Approved"))</f>
        <v/>
      </c>
    </row>
    <row r="31">
      <c r="O31">
        <f>IF(A31="","",COUNTIF('30_NGAN_HANG'!$B:$B,A31))</f>
        <v/>
      </c>
      <c r="P31">
        <f>IF(A31="","",COUNTIFS('30_NGAN_HANG'!$B:$B,A31,'30_NGAN_HANG'!$Y:$Y,"Approved"))</f>
        <v/>
      </c>
    </row>
    <row r="32">
      <c r="O32">
        <f>IF(A32="","",COUNTIF('30_NGAN_HANG'!$B:$B,A32))</f>
        <v/>
      </c>
      <c r="P32">
        <f>IF(A32="","",COUNTIFS('30_NGAN_HANG'!$B:$B,A32,'30_NGAN_HANG'!$Y:$Y,"Approved"))</f>
        <v/>
      </c>
    </row>
    <row r="33">
      <c r="O33">
        <f>IF(A33="","",COUNTIF('30_NGAN_HANG'!$B:$B,A33))</f>
        <v/>
      </c>
      <c r="P33">
        <f>IF(A33="","",COUNTIFS('30_NGAN_HANG'!$B:$B,A33,'30_NGAN_HANG'!$Y:$Y,"Approved"))</f>
        <v/>
      </c>
    </row>
    <row r="34">
      <c r="O34">
        <f>IF(A34="","",COUNTIF('30_NGAN_HANG'!$B:$B,A34))</f>
        <v/>
      </c>
      <c r="P34">
        <f>IF(A34="","",COUNTIFS('30_NGAN_HANG'!$B:$B,A34,'30_NGAN_HANG'!$Y:$Y,"Approved"))</f>
        <v/>
      </c>
    </row>
    <row r="35">
      <c r="O35">
        <f>IF(A35="","",COUNTIF('30_NGAN_HANG'!$B:$B,A35))</f>
        <v/>
      </c>
      <c r="P35">
        <f>IF(A35="","",COUNTIFS('30_NGAN_HANG'!$B:$B,A35,'30_NGAN_HANG'!$Y:$Y,"Approved"))</f>
        <v/>
      </c>
    </row>
    <row r="36">
      <c r="O36">
        <f>IF(A36="","",COUNTIF('30_NGAN_HANG'!$B:$B,A36))</f>
        <v/>
      </c>
      <c r="P36">
        <f>IF(A36="","",COUNTIFS('30_NGAN_HANG'!$B:$B,A36,'30_NGAN_HANG'!$Y:$Y,"Approved"))</f>
        <v/>
      </c>
    </row>
    <row r="37">
      <c r="O37">
        <f>IF(A37="","",COUNTIF('30_NGAN_HANG'!$B:$B,A37))</f>
        <v/>
      </c>
      <c r="P37">
        <f>IF(A37="","",COUNTIFS('30_NGAN_HANG'!$B:$B,A37,'30_NGAN_HANG'!$Y:$Y,"Approved"))</f>
        <v/>
      </c>
    </row>
    <row r="38">
      <c r="O38">
        <f>IF(A38="","",COUNTIF('30_NGAN_HANG'!$B:$B,A38))</f>
        <v/>
      </c>
      <c r="P38">
        <f>IF(A38="","",COUNTIFS('30_NGAN_HANG'!$B:$B,A38,'30_NGAN_HANG'!$Y:$Y,"Approved"))</f>
        <v/>
      </c>
    </row>
    <row r="39">
      <c r="O39">
        <f>IF(A39="","",COUNTIF('30_NGAN_HANG'!$B:$B,A39))</f>
        <v/>
      </c>
      <c r="P39">
        <f>IF(A39="","",COUNTIFS('30_NGAN_HANG'!$B:$B,A39,'30_NGAN_HANG'!$Y:$Y,"Approved"))</f>
        <v/>
      </c>
    </row>
    <row r="40">
      <c r="O40">
        <f>IF(A40="","",COUNTIF('30_NGAN_HANG'!$B:$B,A40))</f>
        <v/>
      </c>
      <c r="P40">
        <f>IF(A40="","",COUNTIFS('30_NGAN_HANG'!$B:$B,A40,'30_NGAN_HANG'!$Y:$Y,"Approved"))</f>
        <v/>
      </c>
    </row>
    <row r="41">
      <c r="O41">
        <f>IF(A41="","",COUNTIF('30_NGAN_HANG'!$B:$B,A41))</f>
        <v/>
      </c>
      <c r="P41">
        <f>IF(A41="","",COUNTIFS('30_NGAN_HANG'!$B:$B,A41,'30_NGAN_HANG'!$Y:$Y,"Approved"))</f>
        <v/>
      </c>
    </row>
    <row r="42">
      <c r="O42">
        <f>IF(A42="","",COUNTIF('30_NGAN_HANG'!$B:$B,A42))</f>
        <v/>
      </c>
      <c r="P42">
        <f>IF(A42="","",COUNTIFS('30_NGAN_HANG'!$B:$B,A42,'30_NGAN_HANG'!$Y:$Y,"Approved"))</f>
        <v/>
      </c>
    </row>
    <row r="43">
      <c r="O43">
        <f>IF(A43="","",COUNTIF('30_NGAN_HANG'!$B:$B,A43))</f>
        <v/>
      </c>
      <c r="P43">
        <f>IF(A43="","",COUNTIFS('30_NGAN_HANG'!$B:$B,A43,'30_NGAN_HANG'!$Y:$Y,"Approved"))</f>
        <v/>
      </c>
    </row>
    <row r="44">
      <c r="O44">
        <f>IF(A44="","",COUNTIF('30_NGAN_HANG'!$B:$B,A44))</f>
        <v/>
      </c>
      <c r="P44">
        <f>IF(A44="","",COUNTIFS('30_NGAN_HANG'!$B:$B,A44,'30_NGAN_HANG'!$Y:$Y,"Approved"))</f>
        <v/>
      </c>
    </row>
    <row r="45">
      <c r="O45">
        <f>IF(A45="","",COUNTIF('30_NGAN_HANG'!$B:$B,A45))</f>
        <v/>
      </c>
      <c r="P45">
        <f>IF(A45="","",COUNTIFS('30_NGAN_HANG'!$B:$B,A45,'30_NGAN_HANG'!$Y:$Y,"Approved"))</f>
        <v/>
      </c>
    </row>
    <row r="46">
      <c r="O46">
        <f>IF(A46="","",COUNTIF('30_NGAN_HANG'!$B:$B,A46))</f>
        <v/>
      </c>
      <c r="P46">
        <f>IF(A46="","",COUNTIFS('30_NGAN_HANG'!$B:$B,A46,'30_NGAN_HANG'!$Y:$Y,"Approved"))</f>
        <v/>
      </c>
    </row>
    <row r="47">
      <c r="O47">
        <f>IF(A47="","",COUNTIF('30_NGAN_HANG'!$B:$B,A47))</f>
        <v/>
      </c>
      <c r="P47">
        <f>IF(A47="","",COUNTIFS('30_NGAN_HANG'!$B:$B,A47,'30_NGAN_HANG'!$Y:$Y,"Approved"))</f>
        <v/>
      </c>
    </row>
    <row r="48">
      <c r="O48">
        <f>IF(A48="","",COUNTIF('30_NGAN_HANG'!$B:$B,A48))</f>
        <v/>
      </c>
      <c r="P48">
        <f>IF(A48="","",COUNTIFS('30_NGAN_HANG'!$B:$B,A48,'30_NGAN_HANG'!$Y:$Y,"Approved"))</f>
        <v/>
      </c>
    </row>
    <row r="49">
      <c r="O49">
        <f>IF(A49="","",COUNTIF('30_NGAN_HANG'!$B:$B,A49))</f>
        <v/>
      </c>
      <c r="P49">
        <f>IF(A49="","",COUNTIFS('30_NGAN_HANG'!$B:$B,A49,'30_NGAN_HANG'!$Y:$Y,"Approved"))</f>
        <v/>
      </c>
    </row>
    <row r="50">
      <c r="O50">
        <f>IF(A50="","",COUNTIF('30_NGAN_HANG'!$B:$B,A50))</f>
        <v/>
      </c>
      <c r="P50">
        <f>IF(A50="","",COUNTIFS('30_NGAN_HANG'!$B:$B,A50,'30_NGAN_HANG'!$Y:$Y,"Approved"))</f>
        <v/>
      </c>
    </row>
    <row r="51">
      <c r="O51">
        <f>IF(A51="","",COUNTIF('30_NGAN_HANG'!$B:$B,A51))</f>
        <v/>
      </c>
      <c r="P51">
        <f>IF(A51="","",COUNTIFS('30_NGAN_HANG'!$B:$B,A51,'30_NGAN_HANG'!$Y:$Y,"Approved"))</f>
        <v/>
      </c>
    </row>
    <row r="52">
      <c r="O52">
        <f>IF(A52="","",COUNTIF('30_NGAN_HANG'!$B:$B,A52))</f>
        <v/>
      </c>
      <c r="P52">
        <f>IF(A52="","",COUNTIFS('30_NGAN_HANG'!$B:$B,A52,'30_NGAN_HANG'!$Y:$Y,"Approved"))</f>
        <v/>
      </c>
    </row>
    <row r="53">
      <c r="O53">
        <f>IF(A53="","",COUNTIF('30_NGAN_HANG'!$B:$B,A53))</f>
        <v/>
      </c>
      <c r="P53">
        <f>IF(A53="","",COUNTIFS('30_NGAN_HANG'!$B:$B,A53,'30_NGAN_HANG'!$Y:$Y,"Approved"))</f>
        <v/>
      </c>
    </row>
    <row r="54">
      <c r="O54">
        <f>IF(A54="","",COUNTIF('30_NGAN_HANG'!$B:$B,A54))</f>
        <v/>
      </c>
      <c r="P54">
        <f>IF(A54="","",COUNTIFS('30_NGAN_HANG'!$B:$B,A54,'30_NGAN_HANG'!$Y:$Y,"Approved"))</f>
        <v/>
      </c>
    </row>
    <row r="55">
      <c r="O55">
        <f>IF(A55="","",COUNTIF('30_NGAN_HANG'!$B:$B,A55))</f>
        <v/>
      </c>
      <c r="P55">
        <f>IF(A55="","",COUNTIFS('30_NGAN_HANG'!$B:$B,A55,'30_NGAN_HANG'!$Y:$Y,"Approved"))</f>
        <v/>
      </c>
    </row>
    <row r="56">
      <c r="O56">
        <f>IF(A56="","",COUNTIF('30_NGAN_HANG'!$B:$B,A56))</f>
        <v/>
      </c>
      <c r="P56">
        <f>IF(A56="","",COUNTIFS('30_NGAN_HANG'!$B:$B,A56,'30_NGAN_HANG'!$Y:$Y,"Approved"))</f>
        <v/>
      </c>
    </row>
    <row r="57">
      <c r="O57">
        <f>IF(A57="","",COUNTIF('30_NGAN_HANG'!$B:$B,A57))</f>
        <v/>
      </c>
      <c r="P57">
        <f>IF(A57="","",COUNTIFS('30_NGAN_HANG'!$B:$B,A57,'30_NGAN_HANG'!$Y:$Y,"Approved"))</f>
        <v/>
      </c>
    </row>
    <row r="58">
      <c r="O58">
        <f>IF(A58="","",COUNTIF('30_NGAN_HANG'!$B:$B,A58))</f>
        <v/>
      </c>
      <c r="P58">
        <f>IF(A58="","",COUNTIFS('30_NGAN_HANG'!$B:$B,A58,'30_NGAN_HANG'!$Y:$Y,"Approved"))</f>
        <v/>
      </c>
    </row>
    <row r="59">
      <c r="O59">
        <f>IF(A59="","",COUNTIF('30_NGAN_HANG'!$B:$B,A59))</f>
        <v/>
      </c>
      <c r="P59">
        <f>IF(A59="","",COUNTIFS('30_NGAN_HANG'!$B:$B,A59,'30_NGAN_HANG'!$Y:$Y,"Approved"))</f>
        <v/>
      </c>
    </row>
    <row r="60">
      <c r="O60">
        <f>IF(A60="","",COUNTIF('30_NGAN_HANG'!$B:$B,A60))</f>
        <v/>
      </c>
      <c r="P60">
        <f>IF(A60="","",COUNTIFS('30_NGAN_HANG'!$B:$B,A60,'30_NGAN_HANG'!$Y:$Y,"Approved"))</f>
        <v/>
      </c>
    </row>
    <row r="61">
      <c r="O61">
        <f>IF(A61="","",COUNTIF('30_NGAN_HANG'!$B:$B,A61))</f>
        <v/>
      </c>
      <c r="P61">
        <f>IF(A61="","",COUNTIFS('30_NGAN_HANG'!$B:$B,A61,'30_NGAN_HANG'!$Y:$Y,"Approved"))</f>
        <v/>
      </c>
    </row>
    <row r="62">
      <c r="O62">
        <f>IF(A62="","",COUNTIF('30_NGAN_HANG'!$B:$B,A62))</f>
        <v/>
      </c>
      <c r="P62">
        <f>IF(A62="","",COUNTIFS('30_NGAN_HANG'!$B:$B,A62,'30_NGAN_HANG'!$Y:$Y,"Approved"))</f>
        <v/>
      </c>
    </row>
    <row r="63">
      <c r="O63">
        <f>IF(A63="","",COUNTIF('30_NGAN_HANG'!$B:$B,A63))</f>
        <v/>
      </c>
      <c r="P63">
        <f>IF(A63="","",COUNTIFS('30_NGAN_HANG'!$B:$B,A63,'30_NGAN_HANG'!$Y:$Y,"Approved"))</f>
        <v/>
      </c>
    </row>
    <row r="64">
      <c r="O64">
        <f>IF(A64="","",COUNTIF('30_NGAN_HANG'!$B:$B,A64))</f>
        <v/>
      </c>
      <c r="P64">
        <f>IF(A64="","",COUNTIFS('30_NGAN_HANG'!$B:$B,A64,'30_NGAN_HANG'!$Y:$Y,"Approved"))</f>
        <v/>
      </c>
    </row>
    <row r="65">
      <c r="O65">
        <f>IF(A65="","",COUNTIF('30_NGAN_HANG'!$B:$B,A65))</f>
        <v/>
      </c>
      <c r="P65">
        <f>IF(A65="","",COUNTIFS('30_NGAN_HANG'!$B:$B,A65,'30_NGAN_HANG'!$Y:$Y,"Approved"))</f>
        <v/>
      </c>
    </row>
    <row r="66">
      <c r="O66">
        <f>IF(A66="","",COUNTIF('30_NGAN_HANG'!$B:$B,A66))</f>
        <v/>
      </c>
      <c r="P66">
        <f>IF(A66="","",COUNTIFS('30_NGAN_HANG'!$B:$B,A66,'30_NGAN_HANG'!$Y:$Y,"Approved"))</f>
        <v/>
      </c>
    </row>
    <row r="67">
      <c r="O67">
        <f>IF(A67="","",COUNTIF('30_NGAN_HANG'!$B:$B,A67))</f>
        <v/>
      </c>
      <c r="P67">
        <f>IF(A67="","",COUNTIFS('30_NGAN_HANG'!$B:$B,A67,'30_NGAN_HANG'!$Y:$Y,"Approved"))</f>
        <v/>
      </c>
    </row>
    <row r="68">
      <c r="O68">
        <f>IF(A68="","",COUNTIF('30_NGAN_HANG'!$B:$B,A68))</f>
        <v/>
      </c>
      <c r="P68">
        <f>IF(A68="","",COUNTIFS('30_NGAN_HANG'!$B:$B,A68,'30_NGAN_HANG'!$Y:$Y,"Approved"))</f>
        <v/>
      </c>
    </row>
    <row r="69">
      <c r="O69">
        <f>IF(A69="","",COUNTIF('30_NGAN_HANG'!$B:$B,A69))</f>
        <v/>
      </c>
      <c r="P69">
        <f>IF(A69="","",COUNTIFS('30_NGAN_HANG'!$B:$B,A69,'30_NGAN_HANG'!$Y:$Y,"Approved"))</f>
        <v/>
      </c>
    </row>
    <row r="70">
      <c r="O70">
        <f>IF(A70="","",COUNTIF('30_NGAN_HANG'!$B:$B,A70))</f>
        <v/>
      </c>
      <c r="P70">
        <f>IF(A70="","",COUNTIFS('30_NGAN_HANG'!$B:$B,A70,'30_NGAN_HANG'!$Y:$Y,"Approved"))</f>
        <v/>
      </c>
    </row>
    <row r="71">
      <c r="O71">
        <f>IF(A71="","",COUNTIF('30_NGAN_HANG'!$B:$B,A71))</f>
        <v/>
      </c>
      <c r="P71">
        <f>IF(A71="","",COUNTIFS('30_NGAN_HANG'!$B:$B,A71,'30_NGAN_HANG'!$Y:$Y,"Approved"))</f>
        <v/>
      </c>
    </row>
    <row r="72">
      <c r="O72">
        <f>IF(A72="","",COUNTIF('30_NGAN_HANG'!$B:$B,A72))</f>
        <v/>
      </c>
      <c r="P72">
        <f>IF(A72="","",COUNTIFS('30_NGAN_HANG'!$B:$B,A72,'30_NGAN_HANG'!$Y:$Y,"Approved"))</f>
        <v/>
      </c>
    </row>
    <row r="73">
      <c r="O73">
        <f>IF(A73="","",COUNTIF('30_NGAN_HANG'!$B:$B,A73))</f>
        <v/>
      </c>
      <c r="P73">
        <f>IF(A73="","",COUNTIFS('30_NGAN_HANG'!$B:$B,A73,'30_NGAN_HANG'!$Y:$Y,"Approved"))</f>
        <v/>
      </c>
    </row>
    <row r="74">
      <c r="O74">
        <f>IF(A74="","",COUNTIF('30_NGAN_HANG'!$B:$B,A74))</f>
        <v/>
      </c>
      <c r="P74">
        <f>IF(A74="","",COUNTIFS('30_NGAN_HANG'!$B:$B,A74,'30_NGAN_HANG'!$Y:$Y,"Approved"))</f>
        <v/>
      </c>
    </row>
    <row r="75">
      <c r="O75">
        <f>IF(A75="","",COUNTIF('30_NGAN_HANG'!$B:$B,A75))</f>
        <v/>
      </c>
      <c r="P75">
        <f>IF(A75="","",COUNTIFS('30_NGAN_HANG'!$B:$B,A75,'30_NGAN_HANG'!$Y:$Y,"Approved"))</f>
        <v/>
      </c>
    </row>
    <row r="76">
      <c r="O76">
        <f>IF(A76="","",COUNTIF('30_NGAN_HANG'!$B:$B,A76))</f>
        <v/>
      </c>
      <c r="P76">
        <f>IF(A76="","",COUNTIFS('30_NGAN_HANG'!$B:$B,A76,'30_NGAN_HANG'!$Y:$Y,"Approved"))</f>
        <v/>
      </c>
    </row>
    <row r="77">
      <c r="O77">
        <f>IF(A77="","",COUNTIF('30_NGAN_HANG'!$B:$B,A77))</f>
        <v/>
      </c>
      <c r="P77">
        <f>IF(A77="","",COUNTIFS('30_NGAN_HANG'!$B:$B,A77,'30_NGAN_HANG'!$Y:$Y,"Approved"))</f>
        <v/>
      </c>
    </row>
    <row r="78">
      <c r="O78">
        <f>IF(A78="","",COUNTIF('30_NGAN_HANG'!$B:$B,A78))</f>
        <v/>
      </c>
      <c r="P78">
        <f>IF(A78="","",COUNTIFS('30_NGAN_HANG'!$B:$B,A78,'30_NGAN_HANG'!$Y:$Y,"Approved"))</f>
        <v/>
      </c>
    </row>
    <row r="79">
      <c r="O79">
        <f>IF(A79="","",COUNTIF('30_NGAN_HANG'!$B:$B,A79))</f>
        <v/>
      </c>
      <c r="P79">
        <f>IF(A79="","",COUNTIFS('30_NGAN_HANG'!$B:$B,A79,'30_NGAN_HANG'!$Y:$Y,"Approved"))</f>
        <v/>
      </c>
    </row>
    <row r="80">
      <c r="O80">
        <f>IF(A80="","",COUNTIF('30_NGAN_HANG'!$B:$B,A80))</f>
        <v/>
      </c>
      <c r="P80">
        <f>IF(A80="","",COUNTIFS('30_NGAN_HANG'!$B:$B,A80,'30_NGAN_HANG'!$Y:$Y,"Approved"))</f>
        <v/>
      </c>
    </row>
    <row r="81">
      <c r="O81">
        <f>IF(A81="","",COUNTIF('30_NGAN_HANG'!$B:$B,A81))</f>
        <v/>
      </c>
      <c r="P81">
        <f>IF(A81="","",COUNTIFS('30_NGAN_HANG'!$B:$B,A81,'30_NGAN_HANG'!$Y:$Y,"Approved"))</f>
        <v/>
      </c>
    </row>
    <row r="82">
      <c r="O82">
        <f>IF(A82="","",COUNTIF('30_NGAN_HANG'!$B:$B,A82))</f>
        <v/>
      </c>
      <c r="P82">
        <f>IF(A82="","",COUNTIFS('30_NGAN_HANG'!$B:$B,A82,'30_NGAN_HANG'!$Y:$Y,"Approved"))</f>
        <v/>
      </c>
    </row>
    <row r="83">
      <c r="O83">
        <f>IF(A83="","",COUNTIF('30_NGAN_HANG'!$B:$B,A83))</f>
        <v/>
      </c>
      <c r="P83">
        <f>IF(A83="","",COUNTIFS('30_NGAN_HANG'!$B:$B,A83,'30_NGAN_HANG'!$Y:$Y,"Approved"))</f>
        <v/>
      </c>
    </row>
    <row r="84">
      <c r="O84">
        <f>IF(A84="","",COUNTIF('30_NGAN_HANG'!$B:$B,A84))</f>
        <v/>
      </c>
      <c r="P84">
        <f>IF(A84="","",COUNTIFS('30_NGAN_HANG'!$B:$B,A84,'30_NGAN_HANG'!$Y:$Y,"Approved"))</f>
        <v/>
      </c>
    </row>
    <row r="85">
      <c r="O85">
        <f>IF(A85="","",COUNTIF('30_NGAN_HANG'!$B:$B,A85))</f>
        <v/>
      </c>
      <c r="P85">
        <f>IF(A85="","",COUNTIFS('30_NGAN_HANG'!$B:$B,A85,'30_NGAN_HANG'!$Y:$Y,"Approved"))</f>
        <v/>
      </c>
    </row>
    <row r="86">
      <c r="O86">
        <f>IF(A86="","",COUNTIF('30_NGAN_HANG'!$B:$B,A86))</f>
        <v/>
      </c>
      <c r="P86">
        <f>IF(A86="","",COUNTIFS('30_NGAN_HANG'!$B:$B,A86,'30_NGAN_HANG'!$Y:$Y,"Approved"))</f>
        <v/>
      </c>
    </row>
    <row r="87">
      <c r="O87">
        <f>IF(A87="","",COUNTIF('30_NGAN_HANG'!$B:$B,A87))</f>
        <v/>
      </c>
      <c r="P87">
        <f>IF(A87="","",COUNTIFS('30_NGAN_HANG'!$B:$B,A87,'30_NGAN_HANG'!$Y:$Y,"Approved"))</f>
        <v/>
      </c>
    </row>
    <row r="88">
      <c r="O88">
        <f>IF(A88="","",COUNTIF('30_NGAN_HANG'!$B:$B,A88))</f>
        <v/>
      </c>
      <c r="P88">
        <f>IF(A88="","",COUNTIFS('30_NGAN_HANG'!$B:$B,A88,'30_NGAN_HANG'!$Y:$Y,"Approved"))</f>
        <v/>
      </c>
    </row>
    <row r="89">
      <c r="O89">
        <f>IF(A89="","",COUNTIF('30_NGAN_HANG'!$B:$B,A89))</f>
        <v/>
      </c>
      <c r="P89">
        <f>IF(A89="","",COUNTIFS('30_NGAN_HANG'!$B:$B,A89,'30_NGAN_HANG'!$Y:$Y,"Approved"))</f>
        <v/>
      </c>
    </row>
    <row r="90">
      <c r="O90">
        <f>IF(A90="","",COUNTIF('30_NGAN_HANG'!$B:$B,A90))</f>
        <v/>
      </c>
      <c r="P90">
        <f>IF(A90="","",COUNTIFS('30_NGAN_HANG'!$B:$B,A90,'30_NGAN_HANG'!$Y:$Y,"Approved"))</f>
        <v/>
      </c>
    </row>
    <row r="91">
      <c r="O91">
        <f>IF(A91="","",COUNTIF('30_NGAN_HANG'!$B:$B,A91))</f>
        <v/>
      </c>
      <c r="P91">
        <f>IF(A91="","",COUNTIFS('30_NGAN_HANG'!$B:$B,A91,'30_NGAN_HANG'!$Y:$Y,"Approved"))</f>
        <v/>
      </c>
    </row>
    <row r="92">
      <c r="O92">
        <f>IF(A92="","",COUNTIF('30_NGAN_HANG'!$B:$B,A92))</f>
        <v/>
      </c>
      <c r="P92">
        <f>IF(A92="","",COUNTIFS('30_NGAN_HANG'!$B:$B,A92,'30_NGAN_HANG'!$Y:$Y,"Approved"))</f>
        <v/>
      </c>
    </row>
    <row r="93">
      <c r="O93">
        <f>IF(A93="","",COUNTIF('30_NGAN_HANG'!$B:$B,A93))</f>
        <v/>
      </c>
      <c r="P93">
        <f>IF(A93="","",COUNTIFS('30_NGAN_HANG'!$B:$B,A93,'30_NGAN_HANG'!$Y:$Y,"Approved"))</f>
        <v/>
      </c>
    </row>
    <row r="94">
      <c r="O94">
        <f>IF(A94="","",COUNTIF('30_NGAN_HANG'!$B:$B,A94))</f>
        <v/>
      </c>
      <c r="P94">
        <f>IF(A94="","",COUNTIFS('30_NGAN_HANG'!$B:$B,A94,'30_NGAN_HANG'!$Y:$Y,"Approved"))</f>
        <v/>
      </c>
    </row>
    <row r="95">
      <c r="O95">
        <f>IF(A95="","",COUNTIF('30_NGAN_HANG'!$B:$B,A95))</f>
        <v/>
      </c>
      <c r="P95">
        <f>IF(A95="","",COUNTIFS('30_NGAN_HANG'!$B:$B,A95,'30_NGAN_HANG'!$Y:$Y,"Approved"))</f>
        <v/>
      </c>
    </row>
    <row r="96">
      <c r="O96">
        <f>IF(A96="","",COUNTIF('30_NGAN_HANG'!$B:$B,A96))</f>
        <v/>
      </c>
      <c r="P96">
        <f>IF(A96="","",COUNTIFS('30_NGAN_HANG'!$B:$B,A96,'30_NGAN_HANG'!$Y:$Y,"Approved"))</f>
        <v/>
      </c>
    </row>
    <row r="97">
      <c r="O97">
        <f>IF(A97="","",COUNTIF('30_NGAN_HANG'!$B:$B,A97))</f>
        <v/>
      </c>
      <c r="P97">
        <f>IF(A97="","",COUNTIFS('30_NGAN_HANG'!$B:$B,A97,'30_NGAN_HANG'!$Y:$Y,"Approved"))</f>
        <v/>
      </c>
    </row>
    <row r="98">
      <c r="O98">
        <f>IF(A98="","",COUNTIF('30_NGAN_HANG'!$B:$B,A98))</f>
        <v/>
      </c>
      <c r="P98">
        <f>IF(A98="","",COUNTIFS('30_NGAN_HANG'!$B:$B,A98,'30_NGAN_HANG'!$Y:$Y,"Approved"))</f>
        <v/>
      </c>
    </row>
    <row r="99">
      <c r="O99">
        <f>IF(A99="","",COUNTIF('30_NGAN_HANG'!$B:$B,A99))</f>
        <v/>
      </c>
      <c r="P99">
        <f>IF(A99="","",COUNTIFS('30_NGAN_HANG'!$B:$B,A99,'30_NGAN_HANG'!$Y:$Y,"Approved"))</f>
        <v/>
      </c>
    </row>
    <row r="100">
      <c r="O100">
        <f>IF(A100="","",COUNTIF('30_NGAN_HANG'!$B:$B,A100))</f>
        <v/>
      </c>
      <c r="P100">
        <f>IF(A100="","",COUNTIFS('30_NGAN_HANG'!$B:$B,A100,'30_NGAN_HANG'!$Y:$Y,"Approved"))</f>
        <v/>
      </c>
    </row>
    <row r="101">
      <c r="O101">
        <f>IF(A101="","",COUNTIF('30_NGAN_HANG'!$B:$B,A101))</f>
        <v/>
      </c>
      <c r="P101">
        <f>IF(A101="","",COUNTIFS('30_NGAN_HANG'!$B:$B,A101,'30_NGAN_HANG'!$Y:$Y,"Approved"))</f>
        <v/>
      </c>
    </row>
    <row r="102">
      <c r="O102">
        <f>IF(A102="","",COUNTIF('30_NGAN_HANG'!$B:$B,A102))</f>
        <v/>
      </c>
      <c r="P102">
        <f>IF(A102="","",COUNTIFS('30_NGAN_HANG'!$B:$B,A102,'30_NGAN_HANG'!$Y:$Y,"Approved"))</f>
        <v/>
      </c>
    </row>
    <row r="103">
      <c r="O103">
        <f>IF(A103="","",COUNTIF('30_NGAN_HANG'!$B:$B,A103))</f>
        <v/>
      </c>
      <c r="P103">
        <f>IF(A103="","",COUNTIFS('30_NGAN_HANG'!$B:$B,A103,'30_NGAN_HANG'!$Y:$Y,"Approved"))</f>
        <v/>
      </c>
    </row>
    <row r="104">
      <c r="O104">
        <f>IF(A104="","",COUNTIF('30_NGAN_HANG'!$B:$B,A104))</f>
        <v/>
      </c>
      <c r="P104">
        <f>IF(A104="","",COUNTIFS('30_NGAN_HANG'!$B:$B,A104,'30_NGAN_HANG'!$Y:$Y,"Approved"))</f>
        <v/>
      </c>
    </row>
    <row r="105">
      <c r="O105">
        <f>IF(A105="","",COUNTIF('30_NGAN_HANG'!$B:$B,A105))</f>
        <v/>
      </c>
      <c r="P105">
        <f>IF(A105="","",COUNTIFS('30_NGAN_HANG'!$B:$B,A105,'30_NGAN_HANG'!$Y:$Y,"Approved"))</f>
        <v/>
      </c>
    </row>
    <row r="106">
      <c r="O106">
        <f>IF(A106="","",COUNTIF('30_NGAN_HANG'!$B:$B,A106))</f>
        <v/>
      </c>
      <c r="P106">
        <f>IF(A106="","",COUNTIFS('30_NGAN_HANG'!$B:$B,A106,'30_NGAN_HANG'!$Y:$Y,"Approved"))</f>
        <v/>
      </c>
    </row>
    <row r="107">
      <c r="O107">
        <f>IF(A107="","",COUNTIF('30_NGAN_HANG'!$B:$B,A107))</f>
        <v/>
      </c>
      <c r="P107">
        <f>IF(A107="","",COUNTIFS('30_NGAN_HANG'!$B:$B,A107,'30_NGAN_HANG'!$Y:$Y,"Approved"))</f>
        <v/>
      </c>
    </row>
    <row r="108">
      <c r="O108">
        <f>IF(A108="","",COUNTIF('30_NGAN_HANG'!$B:$B,A108))</f>
        <v/>
      </c>
      <c r="P108">
        <f>IF(A108="","",COUNTIFS('30_NGAN_HANG'!$B:$B,A108,'30_NGAN_HANG'!$Y:$Y,"Approved"))</f>
        <v/>
      </c>
    </row>
    <row r="109">
      <c r="O109">
        <f>IF(A109="","",COUNTIF('30_NGAN_HANG'!$B:$B,A109))</f>
        <v/>
      </c>
      <c r="P109">
        <f>IF(A109="","",COUNTIFS('30_NGAN_HANG'!$B:$B,A109,'30_NGAN_HANG'!$Y:$Y,"Approved"))</f>
        <v/>
      </c>
    </row>
    <row r="110">
      <c r="O110">
        <f>IF(A110="","",COUNTIF('30_NGAN_HANG'!$B:$B,A110))</f>
        <v/>
      </c>
      <c r="P110">
        <f>IF(A110="","",COUNTIFS('30_NGAN_HANG'!$B:$B,A110,'30_NGAN_HANG'!$Y:$Y,"Approved"))</f>
        <v/>
      </c>
    </row>
    <row r="111">
      <c r="O111">
        <f>IF(A111="","",COUNTIF('30_NGAN_HANG'!$B:$B,A111))</f>
        <v/>
      </c>
      <c r="P111">
        <f>IF(A111="","",COUNTIFS('30_NGAN_HANG'!$B:$B,A111,'30_NGAN_HANG'!$Y:$Y,"Approved"))</f>
        <v/>
      </c>
    </row>
    <row r="112">
      <c r="O112">
        <f>IF(A112="","",COUNTIF('30_NGAN_HANG'!$B:$B,A112))</f>
        <v/>
      </c>
      <c r="P112">
        <f>IF(A112="","",COUNTIFS('30_NGAN_HANG'!$B:$B,A112,'30_NGAN_HANG'!$Y:$Y,"Approved"))</f>
        <v/>
      </c>
    </row>
    <row r="113">
      <c r="O113">
        <f>IF(A113="","",COUNTIF('30_NGAN_HANG'!$B:$B,A113))</f>
        <v/>
      </c>
      <c r="P113">
        <f>IF(A113="","",COUNTIFS('30_NGAN_HANG'!$B:$B,A113,'30_NGAN_HANG'!$Y:$Y,"Approved"))</f>
        <v/>
      </c>
    </row>
    <row r="114">
      <c r="O114">
        <f>IF(A114="","",COUNTIF('30_NGAN_HANG'!$B:$B,A114))</f>
        <v/>
      </c>
      <c r="P114">
        <f>IF(A114="","",COUNTIFS('30_NGAN_HANG'!$B:$B,A114,'30_NGAN_HANG'!$Y:$Y,"Approved"))</f>
        <v/>
      </c>
    </row>
    <row r="115">
      <c r="O115">
        <f>IF(A115="","",COUNTIF('30_NGAN_HANG'!$B:$B,A115))</f>
        <v/>
      </c>
      <c r="P115">
        <f>IF(A115="","",COUNTIFS('30_NGAN_HANG'!$B:$B,A115,'30_NGAN_HANG'!$Y:$Y,"Approved"))</f>
        <v/>
      </c>
    </row>
    <row r="116">
      <c r="O116">
        <f>IF(A116="","",COUNTIF('30_NGAN_HANG'!$B:$B,A116))</f>
        <v/>
      </c>
      <c r="P116">
        <f>IF(A116="","",COUNTIFS('30_NGAN_HANG'!$B:$B,A116,'30_NGAN_HANG'!$Y:$Y,"Approved"))</f>
        <v/>
      </c>
    </row>
    <row r="117">
      <c r="O117">
        <f>IF(A117="","",COUNTIF('30_NGAN_HANG'!$B:$B,A117))</f>
        <v/>
      </c>
      <c r="P117">
        <f>IF(A117="","",COUNTIFS('30_NGAN_HANG'!$B:$B,A117,'30_NGAN_HANG'!$Y:$Y,"Approved"))</f>
        <v/>
      </c>
    </row>
    <row r="118">
      <c r="O118">
        <f>IF(A118="","",COUNTIF('30_NGAN_HANG'!$B:$B,A118))</f>
        <v/>
      </c>
      <c r="P118">
        <f>IF(A118="","",COUNTIFS('30_NGAN_HANG'!$B:$B,A118,'30_NGAN_HANG'!$Y:$Y,"Approved"))</f>
        <v/>
      </c>
    </row>
    <row r="119">
      <c r="O119">
        <f>IF(A119="","",COUNTIF('30_NGAN_HANG'!$B:$B,A119))</f>
        <v/>
      </c>
      <c r="P119">
        <f>IF(A119="","",COUNTIFS('30_NGAN_HANG'!$B:$B,A119,'30_NGAN_HANG'!$Y:$Y,"Approved"))</f>
        <v/>
      </c>
    </row>
    <row r="120">
      <c r="O120">
        <f>IF(A120="","",COUNTIF('30_NGAN_HANG'!$B:$B,A120))</f>
        <v/>
      </c>
      <c r="P120">
        <f>IF(A120="","",COUNTIFS('30_NGAN_HANG'!$B:$B,A120,'30_NGAN_HANG'!$Y:$Y,"Approved"))</f>
        <v/>
      </c>
    </row>
    <row r="121">
      <c r="O121">
        <f>IF(A121="","",COUNTIF('30_NGAN_HANG'!$B:$B,A121))</f>
        <v/>
      </c>
      <c r="P121">
        <f>IF(A121="","",COUNTIFS('30_NGAN_HANG'!$B:$B,A121,'30_NGAN_HANG'!$Y:$Y,"Approved"))</f>
        <v/>
      </c>
    </row>
    <row r="122">
      <c r="O122">
        <f>IF(A122="","",COUNTIF('30_NGAN_HANG'!$B:$B,A122))</f>
        <v/>
      </c>
      <c r="P122">
        <f>IF(A122="","",COUNTIFS('30_NGAN_HANG'!$B:$B,A122,'30_NGAN_HANG'!$Y:$Y,"Approved"))</f>
        <v/>
      </c>
    </row>
    <row r="123">
      <c r="O123">
        <f>IF(A123="","",COUNTIF('30_NGAN_HANG'!$B:$B,A123))</f>
        <v/>
      </c>
      <c r="P123">
        <f>IF(A123="","",COUNTIFS('30_NGAN_HANG'!$B:$B,A123,'30_NGAN_HANG'!$Y:$Y,"Approved"))</f>
        <v/>
      </c>
    </row>
    <row r="124">
      <c r="O124">
        <f>IF(A124="","",COUNTIF('30_NGAN_HANG'!$B:$B,A124))</f>
        <v/>
      </c>
      <c r="P124">
        <f>IF(A124="","",COUNTIFS('30_NGAN_HANG'!$B:$B,A124,'30_NGAN_HANG'!$Y:$Y,"Approved"))</f>
        <v/>
      </c>
    </row>
    <row r="125">
      <c r="O125">
        <f>IF(A125="","",COUNTIF('30_NGAN_HANG'!$B:$B,A125))</f>
        <v/>
      </c>
      <c r="P125">
        <f>IF(A125="","",COUNTIFS('30_NGAN_HANG'!$B:$B,A125,'30_NGAN_HANG'!$Y:$Y,"Approved"))</f>
        <v/>
      </c>
    </row>
    <row r="126">
      <c r="O126">
        <f>IF(A126="","",COUNTIF('30_NGAN_HANG'!$B:$B,A126))</f>
        <v/>
      </c>
      <c r="P126">
        <f>IF(A126="","",COUNTIFS('30_NGAN_HANG'!$B:$B,A126,'30_NGAN_HANG'!$Y:$Y,"Approved"))</f>
        <v/>
      </c>
    </row>
    <row r="127">
      <c r="O127">
        <f>IF(A127="","",COUNTIF('30_NGAN_HANG'!$B:$B,A127))</f>
        <v/>
      </c>
      <c r="P127">
        <f>IF(A127="","",COUNTIFS('30_NGAN_HANG'!$B:$B,A127,'30_NGAN_HANG'!$Y:$Y,"Approved"))</f>
        <v/>
      </c>
    </row>
    <row r="128">
      <c r="O128">
        <f>IF(A128="","",COUNTIF('30_NGAN_HANG'!$B:$B,A128))</f>
        <v/>
      </c>
      <c r="P128">
        <f>IF(A128="","",COUNTIFS('30_NGAN_HANG'!$B:$B,A128,'30_NGAN_HANG'!$Y:$Y,"Approved"))</f>
        <v/>
      </c>
    </row>
    <row r="129">
      <c r="O129">
        <f>IF(A129="","",COUNTIF('30_NGAN_HANG'!$B:$B,A129))</f>
        <v/>
      </c>
      <c r="P129">
        <f>IF(A129="","",COUNTIFS('30_NGAN_HANG'!$B:$B,A129,'30_NGAN_HANG'!$Y:$Y,"Approved"))</f>
        <v/>
      </c>
    </row>
    <row r="130">
      <c r="O130">
        <f>IF(A130="","",COUNTIF('30_NGAN_HANG'!$B:$B,A130))</f>
        <v/>
      </c>
      <c r="P130">
        <f>IF(A130="","",COUNTIFS('30_NGAN_HANG'!$B:$B,A130,'30_NGAN_HANG'!$Y:$Y,"Approved"))</f>
        <v/>
      </c>
    </row>
    <row r="131">
      <c r="O131">
        <f>IF(A131="","",COUNTIF('30_NGAN_HANG'!$B:$B,A131))</f>
        <v/>
      </c>
      <c r="P131">
        <f>IF(A131="","",COUNTIFS('30_NGAN_HANG'!$B:$B,A131,'30_NGAN_HANG'!$Y:$Y,"Approved"))</f>
        <v/>
      </c>
    </row>
    <row r="132">
      <c r="O132">
        <f>IF(A132="","",COUNTIF('30_NGAN_HANG'!$B:$B,A132))</f>
        <v/>
      </c>
      <c r="P132">
        <f>IF(A132="","",COUNTIFS('30_NGAN_HANG'!$B:$B,A132,'30_NGAN_HANG'!$Y:$Y,"Approved"))</f>
        <v/>
      </c>
    </row>
    <row r="133">
      <c r="O133">
        <f>IF(A133="","",COUNTIF('30_NGAN_HANG'!$B:$B,A133))</f>
        <v/>
      </c>
      <c r="P133">
        <f>IF(A133="","",COUNTIFS('30_NGAN_HANG'!$B:$B,A133,'30_NGAN_HANG'!$Y:$Y,"Approved"))</f>
        <v/>
      </c>
    </row>
    <row r="134">
      <c r="O134">
        <f>IF(A134="","",COUNTIF('30_NGAN_HANG'!$B:$B,A134))</f>
        <v/>
      </c>
      <c r="P134">
        <f>IF(A134="","",COUNTIFS('30_NGAN_HANG'!$B:$B,A134,'30_NGAN_HANG'!$Y:$Y,"Approved"))</f>
        <v/>
      </c>
    </row>
    <row r="135">
      <c r="O135">
        <f>IF(A135="","",COUNTIF('30_NGAN_HANG'!$B:$B,A135))</f>
        <v/>
      </c>
      <c r="P135">
        <f>IF(A135="","",COUNTIFS('30_NGAN_HANG'!$B:$B,A135,'30_NGAN_HANG'!$Y:$Y,"Approved"))</f>
        <v/>
      </c>
    </row>
    <row r="136">
      <c r="O136">
        <f>IF(A136="","",COUNTIF('30_NGAN_HANG'!$B:$B,A136))</f>
        <v/>
      </c>
      <c r="P136">
        <f>IF(A136="","",COUNTIFS('30_NGAN_HANG'!$B:$B,A136,'30_NGAN_HANG'!$Y:$Y,"Approved"))</f>
        <v/>
      </c>
    </row>
    <row r="137">
      <c r="O137">
        <f>IF(A137="","",COUNTIF('30_NGAN_HANG'!$B:$B,A137))</f>
        <v/>
      </c>
      <c r="P137">
        <f>IF(A137="","",COUNTIFS('30_NGAN_HANG'!$B:$B,A137,'30_NGAN_HANG'!$Y:$Y,"Approved"))</f>
        <v/>
      </c>
    </row>
    <row r="138">
      <c r="O138">
        <f>IF(A138="","",COUNTIF('30_NGAN_HANG'!$B:$B,A138))</f>
        <v/>
      </c>
      <c r="P138">
        <f>IF(A138="","",COUNTIFS('30_NGAN_HANG'!$B:$B,A138,'30_NGAN_HANG'!$Y:$Y,"Approved"))</f>
        <v/>
      </c>
    </row>
    <row r="139">
      <c r="O139">
        <f>IF(A139="","",COUNTIF('30_NGAN_HANG'!$B:$B,A139))</f>
        <v/>
      </c>
      <c r="P139">
        <f>IF(A139="","",COUNTIFS('30_NGAN_HANG'!$B:$B,A139,'30_NGAN_HANG'!$Y:$Y,"Approved"))</f>
        <v/>
      </c>
    </row>
    <row r="140">
      <c r="O140">
        <f>IF(A140="","",COUNTIF('30_NGAN_HANG'!$B:$B,A140))</f>
        <v/>
      </c>
      <c r="P140">
        <f>IF(A140="","",COUNTIFS('30_NGAN_HANG'!$B:$B,A140,'30_NGAN_HANG'!$Y:$Y,"Approved"))</f>
        <v/>
      </c>
    </row>
    <row r="141">
      <c r="O141">
        <f>IF(A141="","",COUNTIF('30_NGAN_HANG'!$B:$B,A141))</f>
        <v/>
      </c>
      <c r="P141">
        <f>IF(A141="","",COUNTIFS('30_NGAN_HANG'!$B:$B,A141,'30_NGAN_HANG'!$Y:$Y,"Approved"))</f>
        <v/>
      </c>
    </row>
    <row r="142">
      <c r="O142">
        <f>IF(A142="","",COUNTIF('30_NGAN_HANG'!$B:$B,A142))</f>
        <v/>
      </c>
      <c r="P142">
        <f>IF(A142="","",COUNTIFS('30_NGAN_HANG'!$B:$B,A142,'30_NGAN_HANG'!$Y:$Y,"Approved"))</f>
        <v/>
      </c>
    </row>
    <row r="143">
      <c r="O143">
        <f>IF(A143="","",COUNTIF('30_NGAN_HANG'!$B:$B,A143))</f>
        <v/>
      </c>
      <c r="P143">
        <f>IF(A143="","",COUNTIFS('30_NGAN_HANG'!$B:$B,A143,'30_NGAN_HANG'!$Y:$Y,"Approved"))</f>
        <v/>
      </c>
    </row>
    <row r="144">
      <c r="O144">
        <f>IF(A144="","",COUNTIF('30_NGAN_HANG'!$B:$B,A144))</f>
        <v/>
      </c>
      <c r="P144">
        <f>IF(A144="","",COUNTIFS('30_NGAN_HANG'!$B:$B,A144,'30_NGAN_HANG'!$Y:$Y,"Approved"))</f>
        <v/>
      </c>
    </row>
    <row r="145">
      <c r="O145">
        <f>IF(A145="","",COUNTIF('30_NGAN_HANG'!$B:$B,A145))</f>
        <v/>
      </c>
      <c r="P145">
        <f>IF(A145="","",COUNTIFS('30_NGAN_HANG'!$B:$B,A145,'30_NGAN_HANG'!$Y:$Y,"Approved"))</f>
        <v/>
      </c>
    </row>
    <row r="146">
      <c r="O146">
        <f>IF(A146="","",COUNTIF('30_NGAN_HANG'!$B:$B,A146))</f>
        <v/>
      </c>
      <c r="P146">
        <f>IF(A146="","",COUNTIFS('30_NGAN_HANG'!$B:$B,A146,'30_NGAN_HANG'!$Y:$Y,"Approved"))</f>
        <v/>
      </c>
    </row>
    <row r="147">
      <c r="O147">
        <f>IF(A147="","",COUNTIF('30_NGAN_HANG'!$B:$B,A147))</f>
        <v/>
      </c>
      <c r="P147">
        <f>IF(A147="","",COUNTIFS('30_NGAN_HANG'!$B:$B,A147,'30_NGAN_HANG'!$Y:$Y,"Approved"))</f>
        <v/>
      </c>
    </row>
    <row r="148">
      <c r="O148">
        <f>IF(A148="","",COUNTIF('30_NGAN_HANG'!$B:$B,A148))</f>
        <v/>
      </c>
      <c r="P148">
        <f>IF(A148="","",COUNTIFS('30_NGAN_HANG'!$B:$B,A148,'30_NGAN_HANG'!$Y:$Y,"Approved"))</f>
        <v/>
      </c>
    </row>
    <row r="149">
      <c r="O149">
        <f>IF(A149="","",COUNTIF('30_NGAN_HANG'!$B:$B,A149))</f>
        <v/>
      </c>
      <c r="P149">
        <f>IF(A149="","",COUNTIFS('30_NGAN_HANG'!$B:$B,A149,'30_NGAN_HANG'!$Y:$Y,"Approved"))</f>
        <v/>
      </c>
    </row>
    <row r="150">
      <c r="O150">
        <f>IF(A150="","",COUNTIF('30_NGAN_HANG'!$B:$B,A150))</f>
        <v/>
      </c>
      <c r="P150">
        <f>IF(A150="","",COUNTIFS('30_NGAN_HANG'!$B:$B,A150,'30_NGAN_HANG'!$Y:$Y,"Approved"))</f>
        <v/>
      </c>
    </row>
    <row r="151">
      <c r="O151">
        <f>IF(A151="","",COUNTIF('30_NGAN_HANG'!$B:$B,A151))</f>
        <v/>
      </c>
      <c r="P151">
        <f>IF(A151="","",COUNTIFS('30_NGAN_HANG'!$B:$B,A151,'30_NGAN_HANG'!$Y:$Y,"Approved"))</f>
        <v/>
      </c>
    </row>
    <row r="152">
      <c r="O152">
        <f>IF(A152="","",COUNTIF('30_NGAN_HANG'!$B:$B,A152))</f>
        <v/>
      </c>
      <c r="P152">
        <f>IF(A152="","",COUNTIFS('30_NGAN_HANG'!$B:$B,A152,'30_NGAN_HANG'!$Y:$Y,"Approved"))</f>
        <v/>
      </c>
    </row>
    <row r="153">
      <c r="O153">
        <f>IF(A153="","",COUNTIF('30_NGAN_HANG'!$B:$B,A153))</f>
        <v/>
      </c>
      <c r="P153">
        <f>IF(A153="","",COUNTIFS('30_NGAN_HANG'!$B:$B,A153,'30_NGAN_HANG'!$Y:$Y,"Approved"))</f>
        <v/>
      </c>
    </row>
    <row r="154">
      <c r="O154">
        <f>IF(A154="","",COUNTIF('30_NGAN_HANG'!$B:$B,A154))</f>
        <v/>
      </c>
      <c r="P154">
        <f>IF(A154="","",COUNTIFS('30_NGAN_HANG'!$B:$B,A154,'30_NGAN_HANG'!$Y:$Y,"Approved"))</f>
        <v/>
      </c>
    </row>
    <row r="155">
      <c r="O155">
        <f>IF(A155="","",COUNTIF('30_NGAN_HANG'!$B:$B,A155))</f>
        <v/>
      </c>
      <c r="P155">
        <f>IF(A155="","",COUNTIFS('30_NGAN_HANG'!$B:$B,A155,'30_NGAN_HANG'!$Y:$Y,"Approved"))</f>
        <v/>
      </c>
    </row>
    <row r="156">
      <c r="O156">
        <f>IF(A156="","",COUNTIF('30_NGAN_HANG'!$B:$B,A156))</f>
        <v/>
      </c>
      <c r="P156">
        <f>IF(A156="","",COUNTIFS('30_NGAN_HANG'!$B:$B,A156,'30_NGAN_HANG'!$Y:$Y,"Approved"))</f>
        <v/>
      </c>
    </row>
    <row r="157">
      <c r="O157">
        <f>IF(A157="","",COUNTIF('30_NGAN_HANG'!$B:$B,A157))</f>
        <v/>
      </c>
      <c r="P157">
        <f>IF(A157="","",COUNTIFS('30_NGAN_HANG'!$B:$B,A157,'30_NGAN_HANG'!$Y:$Y,"Approved"))</f>
        <v/>
      </c>
    </row>
    <row r="158">
      <c r="O158">
        <f>IF(A158="","",COUNTIF('30_NGAN_HANG'!$B:$B,A158))</f>
        <v/>
      </c>
      <c r="P158">
        <f>IF(A158="","",COUNTIFS('30_NGAN_HANG'!$B:$B,A158,'30_NGAN_HANG'!$Y:$Y,"Approved"))</f>
        <v/>
      </c>
    </row>
    <row r="159">
      <c r="O159">
        <f>IF(A159="","",COUNTIF('30_NGAN_HANG'!$B:$B,A159))</f>
        <v/>
      </c>
      <c r="P159">
        <f>IF(A159="","",COUNTIFS('30_NGAN_HANG'!$B:$B,A159,'30_NGAN_HANG'!$Y:$Y,"Approved"))</f>
        <v/>
      </c>
    </row>
    <row r="160">
      <c r="O160">
        <f>IF(A160="","",COUNTIF('30_NGAN_HANG'!$B:$B,A160))</f>
        <v/>
      </c>
      <c r="P160">
        <f>IF(A160="","",COUNTIFS('30_NGAN_HANG'!$B:$B,A160,'30_NGAN_HANG'!$Y:$Y,"Approved"))</f>
        <v/>
      </c>
    </row>
    <row r="161">
      <c r="O161">
        <f>IF(A161="","",COUNTIF('30_NGAN_HANG'!$B:$B,A161))</f>
        <v/>
      </c>
      <c r="P161">
        <f>IF(A161="","",COUNTIFS('30_NGAN_HANG'!$B:$B,A161,'30_NGAN_HANG'!$Y:$Y,"Approved"))</f>
        <v/>
      </c>
    </row>
    <row r="162">
      <c r="O162">
        <f>IF(A162="","",COUNTIF('30_NGAN_HANG'!$B:$B,A162))</f>
        <v/>
      </c>
      <c r="P162">
        <f>IF(A162="","",COUNTIFS('30_NGAN_HANG'!$B:$B,A162,'30_NGAN_HANG'!$Y:$Y,"Approved"))</f>
        <v/>
      </c>
    </row>
    <row r="163">
      <c r="O163">
        <f>IF(A163="","",COUNTIF('30_NGAN_HANG'!$B:$B,A163))</f>
        <v/>
      </c>
      <c r="P163">
        <f>IF(A163="","",COUNTIFS('30_NGAN_HANG'!$B:$B,A163,'30_NGAN_HANG'!$Y:$Y,"Approved"))</f>
        <v/>
      </c>
    </row>
    <row r="164">
      <c r="O164">
        <f>IF(A164="","",COUNTIF('30_NGAN_HANG'!$B:$B,A164))</f>
        <v/>
      </c>
      <c r="P164">
        <f>IF(A164="","",COUNTIFS('30_NGAN_HANG'!$B:$B,A164,'30_NGAN_HANG'!$Y:$Y,"Approved"))</f>
        <v/>
      </c>
    </row>
    <row r="165">
      <c r="O165">
        <f>IF(A165="","",COUNTIF('30_NGAN_HANG'!$B:$B,A165))</f>
        <v/>
      </c>
      <c r="P165">
        <f>IF(A165="","",COUNTIFS('30_NGAN_HANG'!$B:$B,A165,'30_NGAN_HANG'!$Y:$Y,"Approved"))</f>
        <v/>
      </c>
    </row>
    <row r="166">
      <c r="O166">
        <f>IF(A166="","",COUNTIF('30_NGAN_HANG'!$B:$B,A166))</f>
        <v/>
      </c>
      <c r="P166">
        <f>IF(A166="","",COUNTIFS('30_NGAN_HANG'!$B:$B,A166,'30_NGAN_HANG'!$Y:$Y,"Approved"))</f>
        <v/>
      </c>
    </row>
    <row r="167">
      <c r="O167">
        <f>IF(A167="","",COUNTIF('30_NGAN_HANG'!$B:$B,A167))</f>
        <v/>
      </c>
      <c r="P167">
        <f>IF(A167="","",COUNTIFS('30_NGAN_HANG'!$B:$B,A167,'30_NGAN_HANG'!$Y:$Y,"Approved"))</f>
        <v/>
      </c>
    </row>
    <row r="168">
      <c r="O168">
        <f>IF(A168="","",COUNTIF('30_NGAN_HANG'!$B:$B,A168))</f>
        <v/>
      </c>
      <c r="P168">
        <f>IF(A168="","",COUNTIFS('30_NGAN_HANG'!$B:$B,A168,'30_NGAN_HANG'!$Y:$Y,"Approved"))</f>
        <v/>
      </c>
    </row>
    <row r="169">
      <c r="O169">
        <f>IF(A169="","",COUNTIF('30_NGAN_HANG'!$B:$B,A169))</f>
        <v/>
      </c>
      <c r="P169">
        <f>IF(A169="","",COUNTIFS('30_NGAN_HANG'!$B:$B,A169,'30_NGAN_HANG'!$Y:$Y,"Approved"))</f>
        <v/>
      </c>
    </row>
    <row r="170">
      <c r="O170">
        <f>IF(A170="","",COUNTIF('30_NGAN_HANG'!$B:$B,A170))</f>
        <v/>
      </c>
      <c r="P170">
        <f>IF(A170="","",COUNTIFS('30_NGAN_HANG'!$B:$B,A170,'30_NGAN_HANG'!$Y:$Y,"Approved"))</f>
        <v/>
      </c>
    </row>
    <row r="171">
      <c r="O171">
        <f>IF(A171="","",COUNTIF('30_NGAN_HANG'!$B:$B,A171))</f>
        <v/>
      </c>
      <c r="P171">
        <f>IF(A171="","",COUNTIFS('30_NGAN_HANG'!$B:$B,A171,'30_NGAN_HANG'!$Y:$Y,"Approved"))</f>
        <v/>
      </c>
    </row>
    <row r="172">
      <c r="O172">
        <f>IF(A172="","",COUNTIF('30_NGAN_HANG'!$B:$B,A172))</f>
        <v/>
      </c>
      <c r="P172">
        <f>IF(A172="","",COUNTIFS('30_NGAN_HANG'!$B:$B,A172,'30_NGAN_HANG'!$Y:$Y,"Approved"))</f>
        <v/>
      </c>
    </row>
    <row r="173">
      <c r="O173">
        <f>IF(A173="","",COUNTIF('30_NGAN_HANG'!$B:$B,A173))</f>
        <v/>
      </c>
      <c r="P173">
        <f>IF(A173="","",COUNTIFS('30_NGAN_HANG'!$B:$B,A173,'30_NGAN_HANG'!$Y:$Y,"Approved"))</f>
        <v/>
      </c>
    </row>
    <row r="174">
      <c r="O174">
        <f>IF(A174="","",COUNTIF('30_NGAN_HANG'!$B:$B,A174))</f>
        <v/>
      </c>
      <c r="P174">
        <f>IF(A174="","",COUNTIFS('30_NGAN_HANG'!$B:$B,A174,'30_NGAN_HANG'!$Y:$Y,"Approved"))</f>
        <v/>
      </c>
    </row>
    <row r="175">
      <c r="O175">
        <f>IF(A175="","",COUNTIF('30_NGAN_HANG'!$B:$B,A175))</f>
        <v/>
      </c>
      <c r="P175">
        <f>IF(A175="","",COUNTIFS('30_NGAN_HANG'!$B:$B,A175,'30_NGAN_HANG'!$Y:$Y,"Approved"))</f>
        <v/>
      </c>
    </row>
    <row r="176">
      <c r="O176">
        <f>IF(A176="","",COUNTIF('30_NGAN_HANG'!$B:$B,A176))</f>
        <v/>
      </c>
      <c r="P176">
        <f>IF(A176="","",COUNTIFS('30_NGAN_HANG'!$B:$B,A176,'30_NGAN_HANG'!$Y:$Y,"Approved"))</f>
        <v/>
      </c>
    </row>
    <row r="177">
      <c r="O177">
        <f>IF(A177="","",COUNTIF('30_NGAN_HANG'!$B:$B,A177))</f>
        <v/>
      </c>
      <c r="P177">
        <f>IF(A177="","",COUNTIFS('30_NGAN_HANG'!$B:$B,A177,'30_NGAN_HANG'!$Y:$Y,"Approved"))</f>
        <v/>
      </c>
    </row>
    <row r="178">
      <c r="O178">
        <f>IF(A178="","",COUNTIF('30_NGAN_HANG'!$B:$B,A178))</f>
        <v/>
      </c>
      <c r="P178">
        <f>IF(A178="","",COUNTIFS('30_NGAN_HANG'!$B:$B,A178,'30_NGAN_HANG'!$Y:$Y,"Approved"))</f>
        <v/>
      </c>
    </row>
    <row r="179">
      <c r="O179">
        <f>IF(A179="","",COUNTIF('30_NGAN_HANG'!$B:$B,A179))</f>
        <v/>
      </c>
      <c r="P179">
        <f>IF(A179="","",COUNTIFS('30_NGAN_HANG'!$B:$B,A179,'30_NGAN_HANG'!$Y:$Y,"Approved"))</f>
        <v/>
      </c>
    </row>
    <row r="180">
      <c r="O180">
        <f>IF(A180="","",COUNTIF('30_NGAN_HANG'!$B:$B,A180))</f>
        <v/>
      </c>
      <c r="P180">
        <f>IF(A180="","",COUNTIFS('30_NGAN_HANG'!$B:$B,A180,'30_NGAN_HANG'!$Y:$Y,"Approved"))</f>
        <v/>
      </c>
    </row>
    <row r="181">
      <c r="O181">
        <f>IF(A181="","",COUNTIF('30_NGAN_HANG'!$B:$B,A181))</f>
        <v/>
      </c>
      <c r="P181">
        <f>IF(A181="","",COUNTIFS('30_NGAN_HANG'!$B:$B,A181,'30_NGAN_HANG'!$Y:$Y,"Approved"))</f>
        <v/>
      </c>
    </row>
    <row r="182">
      <c r="O182">
        <f>IF(A182="","",COUNTIF('30_NGAN_HANG'!$B:$B,A182))</f>
        <v/>
      </c>
      <c r="P182">
        <f>IF(A182="","",COUNTIFS('30_NGAN_HANG'!$B:$B,A182,'30_NGAN_HANG'!$Y:$Y,"Approved"))</f>
        <v/>
      </c>
    </row>
    <row r="183">
      <c r="O183">
        <f>IF(A183="","",COUNTIF('30_NGAN_HANG'!$B:$B,A183))</f>
        <v/>
      </c>
      <c r="P183">
        <f>IF(A183="","",COUNTIFS('30_NGAN_HANG'!$B:$B,A183,'30_NGAN_HANG'!$Y:$Y,"Approved"))</f>
        <v/>
      </c>
    </row>
    <row r="184">
      <c r="O184">
        <f>IF(A184="","",COUNTIF('30_NGAN_HANG'!$B:$B,A184))</f>
        <v/>
      </c>
      <c r="P184">
        <f>IF(A184="","",COUNTIFS('30_NGAN_HANG'!$B:$B,A184,'30_NGAN_HANG'!$Y:$Y,"Approved"))</f>
        <v/>
      </c>
    </row>
    <row r="185">
      <c r="O185">
        <f>IF(A185="","",COUNTIF('30_NGAN_HANG'!$B:$B,A185))</f>
        <v/>
      </c>
      <c r="P185">
        <f>IF(A185="","",COUNTIFS('30_NGAN_HANG'!$B:$B,A185,'30_NGAN_HANG'!$Y:$Y,"Approved"))</f>
        <v/>
      </c>
    </row>
    <row r="186">
      <c r="O186">
        <f>IF(A186="","",COUNTIF('30_NGAN_HANG'!$B:$B,A186))</f>
        <v/>
      </c>
      <c r="P186">
        <f>IF(A186="","",COUNTIFS('30_NGAN_HANG'!$B:$B,A186,'30_NGAN_HANG'!$Y:$Y,"Approved"))</f>
        <v/>
      </c>
    </row>
    <row r="187">
      <c r="O187">
        <f>IF(A187="","",COUNTIF('30_NGAN_HANG'!$B:$B,A187))</f>
        <v/>
      </c>
      <c r="P187">
        <f>IF(A187="","",COUNTIFS('30_NGAN_HANG'!$B:$B,A187,'30_NGAN_HANG'!$Y:$Y,"Approved"))</f>
        <v/>
      </c>
    </row>
    <row r="188">
      <c r="O188">
        <f>IF(A188="","",COUNTIF('30_NGAN_HANG'!$B:$B,A188))</f>
        <v/>
      </c>
      <c r="P188">
        <f>IF(A188="","",COUNTIFS('30_NGAN_HANG'!$B:$B,A188,'30_NGAN_HANG'!$Y:$Y,"Approved"))</f>
        <v/>
      </c>
    </row>
    <row r="189">
      <c r="O189">
        <f>IF(A189="","",COUNTIF('30_NGAN_HANG'!$B:$B,A189))</f>
        <v/>
      </c>
      <c r="P189">
        <f>IF(A189="","",COUNTIFS('30_NGAN_HANG'!$B:$B,A189,'30_NGAN_HANG'!$Y:$Y,"Approved"))</f>
        <v/>
      </c>
    </row>
    <row r="190">
      <c r="O190">
        <f>IF(A190="","",COUNTIF('30_NGAN_HANG'!$B:$B,A190))</f>
        <v/>
      </c>
      <c r="P190">
        <f>IF(A190="","",COUNTIFS('30_NGAN_HANG'!$B:$B,A190,'30_NGAN_HANG'!$Y:$Y,"Approved"))</f>
        <v/>
      </c>
    </row>
    <row r="191">
      <c r="O191">
        <f>IF(A191="","",COUNTIF('30_NGAN_HANG'!$B:$B,A191))</f>
        <v/>
      </c>
      <c r="P191">
        <f>IF(A191="","",COUNTIFS('30_NGAN_HANG'!$B:$B,A191,'30_NGAN_HANG'!$Y:$Y,"Approved"))</f>
        <v/>
      </c>
    </row>
    <row r="192">
      <c r="O192">
        <f>IF(A192="","",COUNTIF('30_NGAN_HANG'!$B:$B,A192))</f>
        <v/>
      </c>
      <c r="P192">
        <f>IF(A192="","",COUNTIFS('30_NGAN_HANG'!$B:$B,A192,'30_NGAN_HANG'!$Y:$Y,"Approved"))</f>
        <v/>
      </c>
    </row>
    <row r="193">
      <c r="O193">
        <f>IF(A193="","",COUNTIF('30_NGAN_HANG'!$B:$B,A193))</f>
        <v/>
      </c>
      <c r="P193">
        <f>IF(A193="","",COUNTIFS('30_NGAN_HANG'!$B:$B,A193,'30_NGAN_HANG'!$Y:$Y,"Approved"))</f>
        <v/>
      </c>
    </row>
    <row r="194">
      <c r="O194">
        <f>IF(A194="","",COUNTIF('30_NGAN_HANG'!$B:$B,A194))</f>
        <v/>
      </c>
      <c r="P194">
        <f>IF(A194="","",COUNTIFS('30_NGAN_HANG'!$B:$B,A194,'30_NGAN_HANG'!$Y:$Y,"Approved"))</f>
        <v/>
      </c>
    </row>
    <row r="195">
      <c r="O195">
        <f>IF(A195="","",COUNTIF('30_NGAN_HANG'!$B:$B,A195))</f>
        <v/>
      </c>
      <c r="P195">
        <f>IF(A195="","",COUNTIFS('30_NGAN_HANG'!$B:$B,A195,'30_NGAN_HANG'!$Y:$Y,"Approved"))</f>
        <v/>
      </c>
    </row>
    <row r="196">
      <c r="O196">
        <f>IF(A196="","",COUNTIF('30_NGAN_HANG'!$B:$B,A196))</f>
        <v/>
      </c>
      <c r="P196">
        <f>IF(A196="","",COUNTIFS('30_NGAN_HANG'!$B:$B,A196,'30_NGAN_HANG'!$Y:$Y,"Approved"))</f>
        <v/>
      </c>
    </row>
    <row r="197">
      <c r="O197">
        <f>IF(A197="","",COUNTIF('30_NGAN_HANG'!$B:$B,A197))</f>
        <v/>
      </c>
      <c r="P197">
        <f>IF(A197="","",COUNTIFS('30_NGAN_HANG'!$B:$B,A197,'30_NGAN_HANG'!$Y:$Y,"Approved"))</f>
        <v/>
      </c>
    </row>
    <row r="198">
      <c r="O198">
        <f>IF(A198="","",COUNTIF('30_NGAN_HANG'!$B:$B,A198))</f>
        <v/>
      </c>
      <c r="P198">
        <f>IF(A198="","",COUNTIFS('30_NGAN_HANG'!$B:$B,A198,'30_NGAN_HANG'!$Y:$Y,"Approved"))</f>
        <v/>
      </c>
    </row>
    <row r="199">
      <c r="O199">
        <f>IF(A199="","",COUNTIF('30_NGAN_HANG'!$B:$B,A199))</f>
        <v/>
      </c>
      <c r="P199">
        <f>IF(A199="","",COUNTIFS('30_NGAN_HANG'!$B:$B,A199,'30_NGAN_HANG'!$Y:$Y,"Approved"))</f>
        <v/>
      </c>
    </row>
    <row r="200">
      <c r="O200">
        <f>IF(A200="","",COUNTIF('30_NGAN_HANG'!$B:$B,A200))</f>
        <v/>
      </c>
      <c r="P200">
        <f>IF(A200="","",COUNTIFS('30_NGAN_HANG'!$B:$B,A200,'30_NGAN_HANG'!$Y:$Y,"Approved"))</f>
        <v/>
      </c>
    </row>
    <row r="201">
      <c r="O201">
        <f>IF(A201="","",COUNTIF('30_NGAN_HANG'!$B:$B,A201))</f>
        <v/>
      </c>
      <c r="P201">
        <f>IF(A201="","",COUNTIFS('30_NGAN_HANG'!$B:$B,A201,'30_NGAN_HANG'!$Y:$Y,"Approved"))</f>
        <v/>
      </c>
    </row>
    <row r="202">
      <c r="O202">
        <f>IF(A202="","",COUNTIF('30_NGAN_HANG'!$B:$B,A202))</f>
        <v/>
      </c>
      <c r="P202">
        <f>IF(A202="","",COUNTIFS('30_NGAN_HANG'!$B:$B,A202,'30_NGAN_HANG'!$Y:$Y,"Approved"))</f>
        <v/>
      </c>
    </row>
    <row r="203">
      <c r="O203">
        <f>IF(A203="","",COUNTIF('30_NGAN_HANG'!$B:$B,A203))</f>
        <v/>
      </c>
      <c r="P203">
        <f>IF(A203="","",COUNTIFS('30_NGAN_HANG'!$B:$B,A203,'30_NGAN_HANG'!$Y:$Y,"Approved"))</f>
        <v/>
      </c>
    </row>
    <row r="204">
      <c r="O204">
        <f>IF(A204="","",COUNTIF('30_NGAN_HANG'!$B:$B,A204))</f>
        <v/>
      </c>
      <c r="P204">
        <f>IF(A204="","",COUNTIFS('30_NGAN_HANG'!$B:$B,A204,'30_NGAN_HANG'!$Y:$Y,"Approved"))</f>
        <v/>
      </c>
    </row>
    <row r="205">
      <c r="O205">
        <f>IF(A205="","",COUNTIF('30_NGAN_HANG'!$B:$B,A205))</f>
        <v/>
      </c>
      <c r="P205">
        <f>IF(A205="","",COUNTIFS('30_NGAN_HANG'!$B:$B,A205,'30_NGAN_HANG'!$Y:$Y,"Approved"))</f>
        <v/>
      </c>
    </row>
    <row r="206">
      <c r="O206">
        <f>IF(A206="","",COUNTIF('30_NGAN_HANG'!$B:$B,A206))</f>
        <v/>
      </c>
      <c r="P206">
        <f>IF(A206="","",COUNTIFS('30_NGAN_HANG'!$B:$B,A206,'30_NGAN_HANG'!$Y:$Y,"Approved"))</f>
        <v/>
      </c>
    </row>
    <row r="207">
      <c r="O207">
        <f>IF(A207="","",COUNTIF('30_NGAN_HANG'!$B:$B,A207))</f>
        <v/>
      </c>
      <c r="P207">
        <f>IF(A207="","",COUNTIFS('30_NGAN_HANG'!$B:$B,A207,'30_NGAN_HANG'!$Y:$Y,"Approved"))</f>
        <v/>
      </c>
    </row>
    <row r="208">
      <c r="O208">
        <f>IF(A208="","",COUNTIF('30_NGAN_HANG'!$B:$B,A208))</f>
        <v/>
      </c>
      <c r="P208">
        <f>IF(A208="","",COUNTIFS('30_NGAN_HANG'!$B:$B,A208,'30_NGAN_HANG'!$Y:$Y,"Approved"))</f>
        <v/>
      </c>
    </row>
    <row r="209">
      <c r="O209">
        <f>IF(A209="","",COUNTIF('30_NGAN_HANG'!$B:$B,A209))</f>
        <v/>
      </c>
      <c r="P209">
        <f>IF(A209="","",COUNTIFS('30_NGAN_HANG'!$B:$B,A209,'30_NGAN_HANG'!$Y:$Y,"Approved"))</f>
        <v/>
      </c>
    </row>
    <row r="210">
      <c r="O210">
        <f>IF(A210="","",COUNTIF('30_NGAN_HANG'!$B:$B,A210))</f>
        <v/>
      </c>
      <c r="P210">
        <f>IF(A210="","",COUNTIFS('30_NGAN_HANG'!$B:$B,A210,'30_NGAN_HANG'!$Y:$Y,"Approved"))</f>
        <v/>
      </c>
    </row>
    <row r="211">
      <c r="O211">
        <f>IF(A211="","",COUNTIF('30_NGAN_HANG'!$B:$B,A211))</f>
        <v/>
      </c>
      <c r="P211">
        <f>IF(A211="","",COUNTIFS('30_NGAN_HANG'!$B:$B,A211,'30_NGAN_HANG'!$Y:$Y,"Approved"))</f>
        <v/>
      </c>
    </row>
    <row r="212">
      <c r="O212">
        <f>IF(A212="","",COUNTIF('30_NGAN_HANG'!$B:$B,A212))</f>
        <v/>
      </c>
      <c r="P212">
        <f>IF(A212="","",COUNTIFS('30_NGAN_HANG'!$B:$B,A212,'30_NGAN_HANG'!$Y:$Y,"Approved"))</f>
        <v/>
      </c>
    </row>
    <row r="213">
      <c r="O213">
        <f>IF(A213="","",COUNTIF('30_NGAN_HANG'!$B:$B,A213))</f>
        <v/>
      </c>
      <c r="P213">
        <f>IF(A213="","",COUNTIFS('30_NGAN_HANG'!$B:$B,A213,'30_NGAN_HANG'!$Y:$Y,"Approved"))</f>
        <v/>
      </c>
    </row>
    <row r="214">
      <c r="O214">
        <f>IF(A214="","",COUNTIF('30_NGAN_HANG'!$B:$B,A214))</f>
        <v/>
      </c>
      <c r="P214">
        <f>IF(A214="","",COUNTIFS('30_NGAN_HANG'!$B:$B,A214,'30_NGAN_HANG'!$Y:$Y,"Approved"))</f>
        <v/>
      </c>
    </row>
    <row r="215">
      <c r="O215">
        <f>IF(A215="","",COUNTIF('30_NGAN_HANG'!$B:$B,A215))</f>
        <v/>
      </c>
      <c r="P215">
        <f>IF(A215="","",COUNTIFS('30_NGAN_HANG'!$B:$B,A215,'30_NGAN_HANG'!$Y:$Y,"Approved"))</f>
        <v/>
      </c>
    </row>
    <row r="216">
      <c r="O216">
        <f>IF(A216="","",COUNTIF('30_NGAN_HANG'!$B:$B,A216))</f>
        <v/>
      </c>
      <c r="P216">
        <f>IF(A216="","",COUNTIFS('30_NGAN_HANG'!$B:$B,A216,'30_NGAN_HANG'!$Y:$Y,"Approved"))</f>
        <v/>
      </c>
    </row>
    <row r="217">
      <c r="O217">
        <f>IF(A217="","",COUNTIF('30_NGAN_HANG'!$B:$B,A217))</f>
        <v/>
      </c>
      <c r="P217">
        <f>IF(A217="","",COUNTIFS('30_NGAN_HANG'!$B:$B,A217,'30_NGAN_HANG'!$Y:$Y,"Approved"))</f>
        <v/>
      </c>
    </row>
    <row r="218">
      <c r="O218">
        <f>IF(A218="","",COUNTIF('30_NGAN_HANG'!$B:$B,A218))</f>
        <v/>
      </c>
      <c r="P218">
        <f>IF(A218="","",COUNTIFS('30_NGAN_HANG'!$B:$B,A218,'30_NGAN_HANG'!$Y:$Y,"Approved"))</f>
        <v/>
      </c>
    </row>
    <row r="219">
      <c r="O219">
        <f>IF(A219="","",COUNTIF('30_NGAN_HANG'!$B:$B,A219))</f>
        <v/>
      </c>
      <c r="P219">
        <f>IF(A219="","",COUNTIFS('30_NGAN_HANG'!$B:$B,A219,'30_NGAN_HANG'!$Y:$Y,"Approved"))</f>
        <v/>
      </c>
    </row>
    <row r="220">
      <c r="O220">
        <f>IF(A220="","",COUNTIF('30_NGAN_HANG'!$B:$B,A220))</f>
        <v/>
      </c>
      <c r="P220">
        <f>IF(A220="","",COUNTIFS('30_NGAN_HANG'!$B:$B,A220,'30_NGAN_HANG'!$Y:$Y,"Approved"))</f>
        <v/>
      </c>
    </row>
    <row r="221">
      <c r="O221">
        <f>IF(A221="","",COUNTIF('30_NGAN_HANG'!$B:$B,A221))</f>
        <v/>
      </c>
      <c r="P221">
        <f>IF(A221="","",COUNTIFS('30_NGAN_HANG'!$B:$B,A221,'30_NGAN_HANG'!$Y:$Y,"Approved"))</f>
        <v/>
      </c>
    </row>
    <row r="222">
      <c r="O222">
        <f>IF(A222="","",COUNTIF('30_NGAN_HANG'!$B:$B,A222))</f>
        <v/>
      </c>
      <c r="P222">
        <f>IF(A222="","",COUNTIFS('30_NGAN_HANG'!$B:$B,A222,'30_NGAN_HANG'!$Y:$Y,"Approved"))</f>
        <v/>
      </c>
    </row>
    <row r="223">
      <c r="O223">
        <f>IF(A223="","",COUNTIF('30_NGAN_HANG'!$B:$B,A223))</f>
        <v/>
      </c>
      <c r="P223">
        <f>IF(A223="","",COUNTIFS('30_NGAN_HANG'!$B:$B,A223,'30_NGAN_HANG'!$Y:$Y,"Approved"))</f>
        <v/>
      </c>
    </row>
    <row r="224">
      <c r="O224">
        <f>IF(A224="","",COUNTIF('30_NGAN_HANG'!$B:$B,A224))</f>
        <v/>
      </c>
      <c r="P224">
        <f>IF(A224="","",COUNTIFS('30_NGAN_HANG'!$B:$B,A224,'30_NGAN_HANG'!$Y:$Y,"Approved"))</f>
        <v/>
      </c>
    </row>
    <row r="225">
      <c r="O225">
        <f>IF(A225="","",COUNTIF('30_NGAN_HANG'!$B:$B,A225))</f>
        <v/>
      </c>
      <c r="P225">
        <f>IF(A225="","",COUNTIFS('30_NGAN_HANG'!$B:$B,A225,'30_NGAN_HANG'!$Y:$Y,"Approved"))</f>
        <v/>
      </c>
    </row>
    <row r="226">
      <c r="O226">
        <f>IF(A226="","",COUNTIF('30_NGAN_HANG'!$B:$B,A226))</f>
        <v/>
      </c>
      <c r="P226">
        <f>IF(A226="","",COUNTIFS('30_NGAN_HANG'!$B:$B,A226,'30_NGAN_HANG'!$Y:$Y,"Approved"))</f>
        <v/>
      </c>
    </row>
    <row r="227">
      <c r="O227">
        <f>IF(A227="","",COUNTIF('30_NGAN_HANG'!$B:$B,A227))</f>
        <v/>
      </c>
      <c r="P227">
        <f>IF(A227="","",COUNTIFS('30_NGAN_HANG'!$B:$B,A227,'30_NGAN_HANG'!$Y:$Y,"Approved"))</f>
        <v/>
      </c>
    </row>
    <row r="228">
      <c r="O228">
        <f>IF(A228="","",COUNTIF('30_NGAN_HANG'!$B:$B,A228))</f>
        <v/>
      </c>
      <c r="P228">
        <f>IF(A228="","",COUNTIFS('30_NGAN_HANG'!$B:$B,A228,'30_NGAN_HANG'!$Y:$Y,"Approved"))</f>
        <v/>
      </c>
    </row>
    <row r="229">
      <c r="O229">
        <f>IF(A229="","",COUNTIF('30_NGAN_HANG'!$B:$B,A229))</f>
        <v/>
      </c>
      <c r="P229">
        <f>IF(A229="","",COUNTIFS('30_NGAN_HANG'!$B:$B,A229,'30_NGAN_HANG'!$Y:$Y,"Approved"))</f>
        <v/>
      </c>
    </row>
    <row r="230">
      <c r="O230">
        <f>IF(A230="","",COUNTIF('30_NGAN_HANG'!$B:$B,A230))</f>
        <v/>
      </c>
      <c r="P230">
        <f>IF(A230="","",COUNTIFS('30_NGAN_HANG'!$B:$B,A230,'30_NGAN_HANG'!$Y:$Y,"Approved"))</f>
        <v/>
      </c>
    </row>
    <row r="231">
      <c r="O231">
        <f>IF(A231="","",COUNTIF('30_NGAN_HANG'!$B:$B,A231))</f>
        <v/>
      </c>
      <c r="P231">
        <f>IF(A231="","",COUNTIFS('30_NGAN_HANG'!$B:$B,A231,'30_NGAN_HANG'!$Y:$Y,"Approved"))</f>
        <v/>
      </c>
    </row>
    <row r="232">
      <c r="O232">
        <f>IF(A232="","",COUNTIF('30_NGAN_HANG'!$B:$B,A232))</f>
        <v/>
      </c>
      <c r="P232">
        <f>IF(A232="","",COUNTIFS('30_NGAN_HANG'!$B:$B,A232,'30_NGAN_HANG'!$Y:$Y,"Approved"))</f>
        <v/>
      </c>
    </row>
    <row r="233">
      <c r="O233">
        <f>IF(A233="","",COUNTIF('30_NGAN_HANG'!$B:$B,A233))</f>
        <v/>
      </c>
      <c r="P233">
        <f>IF(A233="","",COUNTIFS('30_NGAN_HANG'!$B:$B,A233,'30_NGAN_HANG'!$Y:$Y,"Approved"))</f>
        <v/>
      </c>
    </row>
    <row r="234">
      <c r="O234">
        <f>IF(A234="","",COUNTIF('30_NGAN_HANG'!$B:$B,A234))</f>
        <v/>
      </c>
      <c r="P234">
        <f>IF(A234="","",COUNTIFS('30_NGAN_HANG'!$B:$B,A234,'30_NGAN_HANG'!$Y:$Y,"Approved"))</f>
        <v/>
      </c>
    </row>
    <row r="235">
      <c r="O235">
        <f>IF(A235="","",COUNTIF('30_NGAN_HANG'!$B:$B,A235))</f>
        <v/>
      </c>
      <c r="P235">
        <f>IF(A235="","",COUNTIFS('30_NGAN_HANG'!$B:$B,A235,'30_NGAN_HANG'!$Y:$Y,"Approved"))</f>
        <v/>
      </c>
    </row>
    <row r="236">
      <c r="O236">
        <f>IF(A236="","",COUNTIF('30_NGAN_HANG'!$B:$B,A236))</f>
        <v/>
      </c>
      <c r="P236">
        <f>IF(A236="","",COUNTIFS('30_NGAN_HANG'!$B:$B,A236,'30_NGAN_HANG'!$Y:$Y,"Approved"))</f>
        <v/>
      </c>
    </row>
    <row r="237">
      <c r="O237">
        <f>IF(A237="","",COUNTIF('30_NGAN_HANG'!$B:$B,A237))</f>
        <v/>
      </c>
      <c r="P237">
        <f>IF(A237="","",COUNTIFS('30_NGAN_HANG'!$B:$B,A237,'30_NGAN_HANG'!$Y:$Y,"Approved"))</f>
        <v/>
      </c>
    </row>
    <row r="238">
      <c r="O238">
        <f>IF(A238="","",COUNTIF('30_NGAN_HANG'!$B:$B,A238))</f>
        <v/>
      </c>
      <c r="P238">
        <f>IF(A238="","",COUNTIFS('30_NGAN_HANG'!$B:$B,A238,'30_NGAN_HANG'!$Y:$Y,"Approved"))</f>
        <v/>
      </c>
    </row>
    <row r="239">
      <c r="O239">
        <f>IF(A239="","",COUNTIF('30_NGAN_HANG'!$B:$B,A239))</f>
        <v/>
      </c>
      <c r="P239">
        <f>IF(A239="","",COUNTIFS('30_NGAN_HANG'!$B:$B,A239,'30_NGAN_HANG'!$Y:$Y,"Approved"))</f>
        <v/>
      </c>
    </row>
    <row r="240">
      <c r="O240">
        <f>IF(A240="","",COUNTIF('30_NGAN_HANG'!$B:$B,A240))</f>
        <v/>
      </c>
      <c r="P240">
        <f>IF(A240="","",COUNTIFS('30_NGAN_HANG'!$B:$B,A240,'30_NGAN_HANG'!$Y:$Y,"Approved"))</f>
        <v/>
      </c>
    </row>
    <row r="241">
      <c r="O241">
        <f>IF(A241="","",COUNTIF('30_NGAN_HANG'!$B:$B,A241))</f>
        <v/>
      </c>
      <c r="P241">
        <f>IF(A241="","",COUNTIFS('30_NGAN_HANG'!$B:$B,A241,'30_NGAN_HANG'!$Y:$Y,"Approved"))</f>
        <v/>
      </c>
    </row>
    <row r="242">
      <c r="O242">
        <f>IF(A242="","",COUNTIF('30_NGAN_HANG'!$B:$B,A242))</f>
        <v/>
      </c>
      <c r="P242">
        <f>IF(A242="","",COUNTIFS('30_NGAN_HANG'!$B:$B,A242,'30_NGAN_HANG'!$Y:$Y,"Approved"))</f>
        <v/>
      </c>
    </row>
    <row r="243">
      <c r="O243">
        <f>IF(A243="","",COUNTIF('30_NGAN_HANG'!$B:$B,A243))</f>
        <v/>
      </c>
      <c r="P243">
        <f>IF(A243="","",COUNTIFS('30_NGAN_HANG'!$B:$B,A243,'30_NGAN_HANG'!$Y:$Y,"Approved"))</f>
        <v/>
      </c>
    </row>
    <row r="244">
      <c r="O244">
        <f>IF(A244="","",COUNTIF('30_NGAN_HANG'!$B:$B,A244))</f>
        <v/>
      </c>
      <c r="P244">
        <f>IF(A244="","",COUNTIFS('30_NGAN_HANG'!$B:$B,A244,'30_NGAN_HANG'!$Y:$Y,"Approved"))</f>
        <v/>
      </c>
    </row>
    <row r="245">
      <c r="O245">
        <f>IF(A245="","",COUNTIF('30_NGAN_HANG'!$B:$B,A245))</f>
        <v/>
      </c>
      <c r="P245">
        <f>IF(A245="","",COUNTIFS('30_NGAN_HANG'!$B:$B,A245,'30_NGAN_HANG'!$Y:$Y,"Approved"))</f>
        <v/>
      </c>
    </row>
    <row r="246">
      <c r="O246">
        <f>IF(A246="","",COUNTIF('30_NGAN_HANG'!$B:$B,A246))</f>
        <v/>
      </c>
      <c r="P246">
        <f>IF(A246="","",COUNTIFS('30_NGAN_HANG'!$B:$B,A246,'30_NGAN_HANG'!$Y:$Y,"Approved"))</f>
        <v/>
      </c>
    </row>
    <row r="247">
      <c r="O247">
        <f>IF(A247="","",COUNTIF('30_NGAN_HANG'!$B:$B,A247))</f>
        <v/>
      </c>
      <c r="P247">
        <f>IF(A247="","",COUNTIFS('30_NGAN_HANG'!$B:$B,A247,'30_NGAN_HANG'!$Y:$Y,"Approved"))</f>
        <v/>
      </c>
    </row>
    <row r="248">
      <c r="O248">
        <f>IF(A248="","",COUNTIF('30_NGAN_HANG'!$B:$B,A248))</f>
        <v/>
      </c>
      <c r="P248">
        <f>IF(A248="","",COUNTIFS('30_NGAN_HANG'!$B:$B,A248,'30_NGAN_HANG'!$Y:$Y,"Approved"))</f>
        <v/>
      </c>
    </row>
    <row r="249">
      <c r="O249">
        <f>IF(A249="","",COUNTIF('30_NGAN_HANG'!$B:$B,A249))</f>
        <v/>
      </c>
      <c r="P249">
        <f>IF(A249="","",COUNTIFS('30_NGAN_HANG'!$B:$B,A249,'30_NGAN_HANG'!$Y:$Y,"Approved"))</f>
        <v/>
      </c>
    </row>
    <row r="250">
      <c r="O250">
        <f>IF(A250="","",COUNTIF('30_NGAN_HANG'!$B:$B,A250))</f>
        <v/>
      </c>
      <c r="P250">
        <f>IF(A250="","",COUNTIFS('30_NGAN_HANG'!$B:$B,A250,'30_NGAN_HANG'!$Y:$Y,"Approved"))</f>
        <v/>
      </c>
    </row>
    <row r="251">
      <c r="O251">
        <f>IF(A251="","",COUNTIF('30_NGAN_HANG'!$B:$B,A251))</f>
        <v/>
      </c>
      <c r="P251">
        <f>IF(A251="","",COUNTIFS('30_NGAN_HANG'!$B:$B,A251,'30_NGAN_HANG'!$Y:$Y,"Approved"))</f>
        <v/>
      </c>
    </row>
    <row r="252">
      <c r="O252">
        <f>IF(A252="","",COUNTIF('30_NGAN_HANG'!$B:$B,A252))</f>
        <v/>
      </c>
      <c r="P252">
        <f>IF(A252="","",COUNTIFS('30_NGAN_HANG'!$B:$B,A252,'30_NGAN_HANG'!$Y:$Y,"Approved"))</f>
        <v/>
      </c>
    </row>
    <row r="253">
      <c r="O253">
        <f>IF(A253="","",COUNTIF('30_NGAN_HANG'!$B:$B,A253))</f>
        <v/>
      </c>
      <c r="P253">
        <f>IF(A253="","",COUNTIFS('30_NGAN_HANG'!$B:$B,A253,'30_NGAN_HANG'!$Y:$Y,"Approved"))</f>
        <v/>
      </c>
    </row>
    <row r="254">
      <c r="O254">
        <f>IF(A254="","",COUNTIF('30_NGAN_HANG'!$B:$B,A254))</f>
        <v/>
      </c>
      <c r="P254">
        <f>IF(A254="","",COUNTIFS('30_NGAN_HANG'!$B:$B,A254,'30_NGAN_HANG'!$Y:$Y,"Approved"))</f>
        <v/>
      </c>
    </row>
    <row r="255">
      <c r="O255">
        <f>IF(A255="","",COUNTIF('30_NGAN_HANG'!$B:$B,A255))</f>
        <v/>
      </c>
      <c r="P255">
        <f>IF(A255="","",COUNTIFS('30_NGAN_HANG'!$B:$B,A255,'30_NGAN_HANG'!$Y:$Y,"Approved"))</f>
        <v/>
      </c>
    </row>
    <row r="256">
      <c r="O256">
        <f>IF(A256="","",COUNTIF('30_NGAN_HANG'!$B:$B,A256))</f>
        <v/>
      </c>
      <c r="P256">
        <f>IF(A256="","",COUNTIFS('30_NGAN_HANG'!$B:$B,A256,'30_NGAN_HANG'!$Y:$Y,"Approved"))</f>
        <v/>
      </c>
    </row>
    <row r="257">
      <c r="O257">
        <f>IF(A257="","",COUNTIF('30_NGAN_HANG'!$B:$B,A257))</f>
        <v/>
      </c>
      <c r="P257">
        <f>IF(A257="","",COUNTIFS('30_NGAN_HANG'!$B:$B,A257,'30_NGAN_HANG'!$Y:$Y,"Approved"))</f>
        <v/>
      </c>
    </row>
    <row r="258">
      <c r="O258">
        <f>IF(A258="","",COUNTIF('30_NGAN_HANG'!$B:$B,A258))</f>
        <v/>
      </c>
      <c r="P258">
        <f>IF(A258="","",COUNTIFS('30_NGAN_HANG'!$B:$B,A258,'30_NGAN_HANG'!$Y:$Y,"Approved"))</f>
        <v/>
      </c>
    </row>
    <row r="259">
      <c r="O259">
        <f>IF(A259="","",COUNTIF('30_NGAN_HANG'!$B:$B,A259))</f>
        <v/>
      </c>
      <c r="P259">
        <f>IF(A259="","",COUNTIFS('30_NGAN_HANG'!$B:$B,A259,'30_NGAN_HANG'!$Y:$Y,"Approved"))</f>
        <v/>
      </c>
    </row>
    <row r="260">
      <c r="O260">
        <f>IF(A260="","",COUNTIF('30_NGAN_HANG'!$B:$B,A260))</f>
        <v/>
      </c>
      <c r="P260">
        <f>IF(A260="","",COUNTIFS('30_NGAN_HANG'!$B:$B,A260,'30_NGAN_HANG'!$Y:$Y,"Approved"))</f>
        <v/>
      </c>
    </row>
    <row r="261">
      <c r="O261">
        <f>IF(A261="","",COUNTIF('30_NGAN_HANG'!$B:$B,A261))</f>
        <v/>
      </c>
      <c r="P261">
        <f>IF(A261="","",COUNTIFS('30_NGAN_HANG'!$B:$B,A261,'30_NGAN_HANG'!$Y:$Y,"Approved"))</f>
        <v/>
      </c>
    </row>
    <row r="262">
      <c r="O262">
        <f>IF(A262="","",COUNTIF('30_NGAN_HANG'!$B:$B,A262))</f>
        <v/>
      </c>
      <c r="P262">
        <f>IF(A262="","",COUNTIFS('30_NGAN_HANG'!$B:$B,A262,'30_NGAN_HANG'!$Y:$Y,"Approved"))</f>
        <v/>
      </c>
    </row>
    <row r="263">
      <c r="O263">
        <f>IF(A263="","",COUNTIF('30_NGAN_HANG'!$B:$B,A263))</f>
        <v/>
      </c>
      <c r="P263">
        <f>IF(A263="","",COUNTIFS('30_NGAN_HANG'!$B:$B,A263,'30_NGAN_HANG'!$Y:$Y,"Approved"))</f>
        <v/>
      </c>
    </row>
    <row r="264">
      <c r="O264">
        <f>IF(A264="","",COUNTIF('30_NGAN_HANG'!$B:$B,A264))</f>
        <v/>
      </c>
      <c r="P264">
        <f>IF(A264="","",COUNTIFS('30_NGAN_HANG'!$B:$B,A264,'30_NGAN_HANG'!$Y:$Y,"Approved"))</f>
        <v/>
      </c>
    </row>
    <row r="265">
      <c r="O265">
        <f>IF(A265="","",COUNTIF('30_NGAN_HANG'!$B:$B,A265))</f>
        <v/>
      </c>
      <c r="P265">
        <f>IF(A265="","",COUNTIFS('30_NGAN_HANG'!$B:$B,A265,'30_NGAN_HANG'!$Y:$Y,"Approved"))</f>
        <v/>
      </c>
    </row>
    <row r="266">
      <c r="O266">
        <f>IF(A266="","",COUNTIF('30_NGAN_HANG'!$B:$B,A266))</f>
        <v/>
      </c>
      <c r="P266">
        <f>IF(A266="","",COUNTIFS('30_NGAN_HANG'!$B:$B,A266,'30_NGAN_HANG'!$Y:$Y,"Approved"))</f>
        <v/>
      </c>
    </row>
    <row r="267">
      <c r="O267">
        <f>IF(A267="","",COUNTIF('30_NGAN_HANG'!$B:$B,A267))</f>
        <v/>
      </c>
      <c r="P267">
        <f>IF(A267="","",COUNTIFS('30_NGAN_HANG'!$B:$B,A267,'30_NGAN_HANG'!$Y:$Y,"Approved"))</f>
        <v/>
      </c>
    </row>
    <row r="268">
      <c r="O268">
        <f>IF(A268="","",COUNTIF('30_NGAN_HANG'!$B:$B,A268))</f>
        <v/>
      </c>
      <c r="P268">
        <f>IF(A268="","",COUNTIFS('30_NGAN_HANG'!$B:$B,A268,'30_NGAN_HANG'!$Y:$Y,"Approved"))</f>
        <v/>
      </c>
    </row>
    <row r="269">
      <c r="O269">
        <f>IF(A269="","",COUNTIF('30_NGAN_HANG'!$B:$B,A269))</f>
        <v/>
      </c>
      <c r="P269">
        <f>IF(A269="","",COUNTIFS('30_NGAN_HANG'!$B:$B,A269,'30_NGAN_HANG'!$Y:$Y,"Approved"))</f>
        <v/>
      </c>
    </row>
    <row r="270">
      <c r="O270">
        <f>IF(A270="","",COUNTIF('30_NGAN_HANG'!$B:$B,A270))</f>
        <v/>
      </c>
      <c r="P270">
        <f>IF(A270="","",COUNTIFS('30_NGAN_HANG'!$B:$B,A270,'30_NGAN_HANG'!$Y:$Y,"Approved"))</f>
        <v/>
      </c>
    </row>
    <row r="271">
      <c r="O271">
        <f>IF(A271="","",COUNTIF('30_NGAN_HANG'!$B:$B,A271))</f>
        <v/>
      </c>
      <c r="P271">
        <f>IF(A271="","",COUNTIFS('30_NGAN_HANG'!$B:$B,A271,'30_NGAN_HANG'!$Y:$Y,"Approved"))</f>
        <v/>
      </c>
    </row>
    <row r="272">
      <c r="O272">
        <f>IF(A272="","",COUNTIF('30_NGAN_HANG'!$B:$B,A272))</f>
        <v/>
      </c>
      <c r="P272">
        <f>IF(A272="","",COUNTIFS('30_NGAN_HANG'!$B:$B,A272,'30_NGAN_HANG'!$Y:$Y,"Approved"))</f>
        <v/>
      </c>
    </row>
    <row r="273">
      <c r="O273">
        <f>IF(A273="","",COUNTIF('30_NGAN_HANG'!$B:$B,A273))</f>
        <v/>
      </c>
      <c r="P273">
        <f>IF(A273="","",COUNTIFS('30_NGAN_HANG'!$B:$B,A273,'30_NGAN_HANG'!$Y:$Y,"Approved"))</f>
        <v/>
      </c>
    </row>
    <row r="274">
      <c r="O274">
        <f>IF(A274="","",COUNTIF('30_NGAN_HANG'!$B:$B,A274))</f>
        <v/>
      </c>
      <c r="P274">
        <f>IF(A274="","",COUNTIFS('30_NGAN_HANG'!$B:$B,A274,'30_NGAN_HANG'!$Y:$Y,"Approved"))</f>
        <v/>
      </c>
    </row>
    <row r="275">
      <c r="O275">
        <f>IF(A275="","",COUNTIF('30_NGAN_HANG'!$B:$B,A275))</f>
        <v/>
      </c>
      <c r="P275">
        <f>IF(A275="","",COUNTIFS('30_NGAN_HANG'!$B:$B,A275,'30_NGAN_HANG'!$Y:$Y,"Approved"))</f>
        <v/>
      </c>
    </row>
    <row r="276">
      <c r="O276">
        <f>IF(A276="","",COUNTIF('30_NGAN_HANG'!$B:$B,A276))</f>
        <v/>
      </c>
      <c r="P276">
        <f>IF(A276="","",COUNTIFS('30_NGAN_HANG'!$B:$B,A276,'30_NGAN_HANG'!$Y:$Y,"Approved"))</f>
        <v/>
      </c>
    </row>
    <row r="277">
      <c r="O277">
        <f>IF(A277="","",COUNTIF('30_NGAN_HANG'!$B:$B,A277))</f>
        <v/>
      </c>
      <c r="P277">
        <f>IF(A277="","",COUNTIFS('30_NGAN_HANG'!$B:$B,A277,'30_NGAN_HANG'!$Y:$Y,"Approved"))</f>
        <v/>
      </c>
    </row>
    <row r="278">
      <c r="O278">
        <f>IF(A278="","",COUNTIF('30_NGAN_HANG'!$B:$B,A278))</f>
        <v/>
      </c>
      <c r="P278">
        <f>IF(A278="","",COUNTIFS('30_NGAN_HANG'!$B:$B,A278,'30_NGAN_HANG'!$Y:$Y,"Approved"))</f>
        <v/>
      </c>
    </row>
    <row r="279">
      <c r="O279">
        <f>IF(A279="","",COUNTIF('30_NGAN_HANG'!$B:$B,A279))</f>
        <v/>
      </c>
      <c r="P279">
        <f>IF(A279="","",COUNTIFS('30_NGAN_HANG'!$B:$B,A279,'30_NGAN_HANG'!$Y:$Y,"Approved"))</f>
        <v/>
      </c>
    </row>
    <row r="280">
      <c r="O280">
        <f>IF(A280="","",COUNTIF('30_NGAN_HANG'!$B:$B,A280))</f>
        <v/>
      </c>
      <c r="P280">
        <f>IF(A280="","",COUNTIFS('30_NGAN_HANG'!$B:$B,A280,'30_NGAN_HANG'!$Y:$Y,"Approved"))</f>
        <v/>
      </c>
    </row>
    <row r="281">
      <c r="O281">
        <f>IF(A281="","",COUNTIF('30_NGAN_HANG'!$B:$B,A281))</f>
        <v/>
      </c>
      <c r="P281">
        <f>IF(A281="","",COUNTIFS('30_NGAN_HANG'!$B:$B,A281,'30_NGAN_HANG'!$Y:$Y,"Approved"))</f>
        <v/>
      </c>
    </row>
    <row r="282">
      <c r="O282">
        <f>IF(A282="","",COUNTIF('30_NGAN_HANG'!$B:$B,A282))</f>
        <v/>
      </c>
      <c r="P282">
        <f>IF(A282="","",COUNTIFS('30_NGAN_HANG'!$B:$B,A282,'30_NGAN_HANG'!$Y:$Y,"Approved"))</f>
        <v/>
      </c>
    </row>
    <row r="283">
      <c r="O283">
        <f>IF(A283="","",COUNTIF('30_NGAN_HANG'!$B:$B,A283))</f>
        <v/>
      </c>
      <c r="P283">
        <f>IF(A283="","",COUNTIFS('30_NGAN_HANG'!$B:$B,A283,'30_NGAN_HANG'!$Y:$Y,"Approved"))</f>
        <v/>
      </c>
    </row>
    <row r="284">
      <c r="O284">
        <f>IF(A284="","",COUNTIF('30_NGAN_HANG'!$B:$B,A284))</f>
        <v/>
      </c>
      <c r="P284">
        <f>IF(A284="","",COUNTIFS('30_NGAN_HANG'!$B:$B,A284,'30_NGAN_HANG'!$Y:$Y,"Approved"))</f>
        <v/>
      </c>
    </row>
    <row r="285">
      <c r="O285">
        <f>IF(A285="","",COUNTIF('30_NGAN_HANG'!$B:$B,A285))</f>
        <v/>
      </c>
      <c r="P285">
        <f>IF(A285="","",COUNTIFS('30_NGAN_HANG'!$B:$B,A285,'30_NGAN_HANG'!$Y:$Y,"Approved"))</f>
        <v/>
      </c>
    </row>
    <row r="286">
      <c r="O286">
        <f>IF(A286="","",COUNTIF('30_NGAN_HANG'!$B:$B,A286))</f>
        <v/>
      </c>
      <c r="P286">
        <f>IF(A286="","",COUNTIFS('30_NGAN_HANG'!$B:$B,A286,'30_NGAN_HANG'!$Y:$Y,"Approved"))</f>
        <v/>
      </c>
    </row>
    <row r="287">
      <c r="O287">
        <f>IF(A287="","",COUNTIF('30_NGAN_HANG'!$B:$B,A287))</f>
        <v/>
      </c>
      <c r="P287">
        <f>IF(A287="","",COUNTIFS('30_NGAN_HANG'!$B:$B,A287,'30_NGAN_HANG'!$Y:$Y,"Approved"))</f>
        <v/>
      </c>
    </row>
    <row r="288">
      <c r="O288">
        <f>IF(A288="","",COUNTIF('30_NGAN_HANG'!$B:$B,A288))</f>
        <v/>
      </c>
      <c r="P288">
        <f>IF(A288="","",COUNTIFS('30_NGAN_HANG'!$B:$B,A288,'30_NGAN_HANG'!$Y:$Y,"Approved"))</f>
        <v/>
      </c>
    </row>
    <row r="289">
      <c r="O289">
        <f>IF(A289="","",COUNTIF('30_NGAN_HANG'!$B:$B,A289))</f>
        <v/>
      </c>
      <c r="P289">
        <f>IF(A289="","",COUNTIFS('30_NGAN_HANG'!$B:$B,A289,'30_NGAN_HANG'!$Y:$Y,"Approved"))</f>
        <v/>
      </c>
    </row>
    <row r="290">
      <c r="O290">
        <f>IF(A290="","",COUNTIF('30_NGAN_HANG'!$B:$B,A290))</f>
        <v/>
      </c>
      <c r="P290">
        <f>IF(A290="","",COUNTIFS('30_NGAN_HANG'!$B:$B,A290,'30_NGAN_HANG'!$Y:$Y,"Approved"))</f>
        <v/>
      </c>
    </row>
    <row r="291">
      <c r="O291">
        <f>IF(A291="","",COUNTIF('30_NGAN_HANG'!$B:$B,A291))</f>
        <v/>
      </c>
      <c r="P291">
        <f>IF(A291="","",COUNTIFS('30_NGAN_HANG'!$B:$B,A291,'30_NGAN_HANG'!$Y:$Y,"Approved"))</f>
        <v/>
      </c>
    </row>
    <row r="292">
      <c r="O292">
        <f>IF(A292="","",COUNTIF('30_NGAN_HANG'!$B:$B,A292))</f>
        <v/>
      </c>
      <c r="P292">
        <f>IF(A292="","",COUNTIFS('30_NGAN_HANG'!$B:$B,A292,'30_NGAN_HANG'!$Y:$Y,"Approved"))</f>
        <v/>
      </c>
    </row>
    <row r="293">
      <c r="O293">
        <f>IF(A293="","",COUNTIF('30_NGAN_HANG'!$B:$B,A293))</f>
        <v/>
      </c>
      <c r="P293">
        <f>IF(A293="","",COUNTIFS('30_NGAN_HANG'!$B:$B,A293,'30_NGAN_HANG'!$Y:$Y,"Approved"))</f>
        <v/>
      </c>
    </row>
    <row r="294">
      <c r="O294">
        <f>IF(A294="","",COUNTIF('30_NGAN_HANG'!$B:$B,A294))</f>
        <v/>
      </c>
      <c r="P294">
        <f>IF(A294="","",COUNTIFS('30_NGAN_HANG'!$B:$B,A294,'30_NGAN_HANG'!$Y:$Y,"Approved"))</f>
        <v/>
      </c>
    </row>
    <row r="295">
      <c r="O295">
        <f>IF(A295="","",COUNTIF('30_NGAN_HANG'!$B:$B,A295))</f>
        <v/>
      </c>
      <c r="P295">
        <f>IF(A295="","",COUNTIFS('30_NGAN_HANG'!$B:$B,A295,'30_NGAN_HANG'!$Y:$Y,"Approved"))</f>
        <v/>
      </c>
    </row>
    <row r="296">
      <c r="O296">
        <f>IF(A296="","",COUNTIF('30_NGAN_HANG'!$B:$B,A296))</f>
        <v/>
      </c>
      <c r="P296">
        <f>IF(A296="","",COUNTIFS('30_NGAN_HANG'!$B:$B,A296,'30_NGAN_HANG'!$Y:$Y,"Approved"))</f>
        <v/>
      </c>
    </row>
    <row r="297">
      <c r="O297">
        <f>IF(A297="","",COUNTIF('30_NGAN_HANG'!$B:$B,A297))</f>
        <v/>
      </c>
      <c r="P297">
        <f>IF(A297="","",COUNTIFS('30_NGAN_HANG'!$B:$B,A297,'30_NGAN_HANG'!$Y:$Y,"Approved"))</f>
        <v/>
      </c>
    </row>
    <row r="298">
      <c r="O298">
        <f>IF(A298="","",COUNTIF('30_NGAN_HANG'!$B:$B,A298))</f>
        <v/>
      </c>
      <c r="P298">
        <f>IF(A298="","",COUNTIFS('30_NGAN_HANG'!$B:$B,A298,'30_NGAN_HANG'!$Y:$Y,"Approved"))</f>
        <v/>
      </c>
    </row>
    <row r="299">
      <c r="O299">
        <f>IF(A299="","",COUNTIF('30_NGAN_HANG'!$B:$B,A299))</f>
        <v/>
      </c>
      <c r="P299">
        <f>IF(A299="","",COUNTIFS('30_NGAN_HANG'!$B:$B,A299,'30_NGAN_HANG'!$Y:$Y,"Approved"))</f>
        <v/>
      </c>
    </row>
    <row r="300">
      <c r="O300">
        <f>IF(A300="","",COUNTIF('30_NGAN_HANG'!$B:$B,A300))</f>
        <v/>
      </c>
      <c r="P300">
        <f>IF(A300="","",COUNTIFS('30_NGAN_HANG'!$B:$B,A300,'30_NGAN_HANG'!$Y:$Y,"Approved"))</f>
        <v/>
      </c>
    </row>
  </sheetData>
  <dataValidations count="3">
    <dataValidation sqref="C3:C300" showDropDown="0" showInputMessage="0" showErrorMessage="0" allowBlank="1" type="list">
      <formula1>='99_DANH_MUC'!$A$2:$A$4</formula1>
    </dataValidation>
    <dataValidation sqref="L3:L300" showDropDown="0" showInputMessage="0" showErrorMessage="0" allowBlank="1" type="list">
      <formula1>='99_DANH_MUC'!$G$2:$G$4</formula1>
    </dataValidation>
    <dataValidation sqref="N3:N300" showDropDown="0" showInputMessage="0" showErrorMessage="0" allowBlank="1" type="list">
      <formula1>='99_DANH_MUC'!$E$2:$E$5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C55A11"/>
    <outlinePr summaryBelow="1" summaryRight="1"/>
    <pageSetUpPr/>
  </sheetPr>
  <dimension ref="A1:S30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12" customWidth="1" min="4" max="4"/>
    <col width="34" customWidth="1" min="5" max="5"/>
    <col width="30" customWidth="1" min="6" max="6"/>
    <col width="20" customWidth="1" min="7" max="7"/>
    <col width="22" customWidth="1" min="8" max="8"/>
    <col width="38" customWidth="1" min="9" max="9"/>
    <col width="26" customWidth="1" min="10" max="10"/>
    <col width="30" customWidth="1" min="11" max="11"/>
    <col width="30" customWidth="1" min="12" max="12"/>
    <col width="40" customWidth="1" min="13" max="13"/>
    <col width="32" customWidth="1" min="14" max="14"/>
    <col width="28" customWidth="1" min="15" max="15"/>
    <col width="24" customWidth="1" min="16" max="16"/>
    <col width="24" customWidth="1" min="17" max="17"/>
    <col width="32" customWidth="1" min="18" max="18"/>
    <col width="34" customWidth="1" min="19" max="19"/>
  </cols>
  <sheetData>
    <row r="1">
      <c r="A1" s="7" t="inlineStr">
        <is>
          <t>聴解 › 会話の聴解  |  1 dòng = 1 yêu cầu sinh câu. Cam = bắt buộc, vàng = gợi ý cho AI.</t>
        </is>
      </c>
    </row>
    <row r="2" ht="42" customHeight="1">
      <c r="A2" s="8" t="inlineStr">
        <is>
          <t>Mã yêu cầu</t>
        </is>
      </c>
      <c r="B2" s="8" t="inlineStr">
        <is>
          <t>Mã đề (kế hoạch)</t>
        </is>
      </c>
      <c r="C2" s="8" t="inlineStr">
        <is>
          <t>Quyển</t>
        </is>
      </c>
      <c r="D2" s="8" t="inlineStr">
        <is>
          <t>Bài</t>
        </is>
      </c>
      <c r="E2" s="8" t="inlineStr">
        <is>
          <t>Số câu cần sinh</t>
        </is>
      </c>
      <c r="F2" s="9" t="inlineStr">
        <is>
          <t>Mã tình huống</t>
        </is>
      </c>
      <c r="G2" s="9" t="inlineStr">
        <is>
          <t>Địa điểm</t>
        </is>
      </c>
      <c r="H2" s="9" t="inlineStr">
        <is>
          <t>Người nói</t>
        </is>
      </c>
      <c r="I2" s="9" t="inlineStr">
        <is>
          <t>Câu hỏi trọng tâm</t>
        </is>
      </c>
      <c r="J2" s="9" t="inlineStr">
        <is>
          <t>Kiểu đáp án</t>
        </is>
      </c>
      <c r="K2" s="13" t="inlineStr">
        <is>
          <t>Thông tin bẫy</t>
        </is>
      </c>
      <c r="L2" s="13" t="inlineStr">
        <is>
          <t>Số lượt thoại</t>
        </is>
      </c>
      <c r="M2" s="13" t="inlineStr">
        <is>
          <t>Từ vựng/ngữ pháp bắt buộc dùng</t>
        </is>
      </c>
      <c r="N2" s="8" t="inlineStr">
        <is>
          <t>Ghi chú cho AI</t>
        </is>
      </c>
      <c r="O2" s="8" t="inlineStr">
        <is>
          <t>Công cụ sinh</t>
        </is>
      </c>
      <c r="P2" s="8" t="inlineStr">
        <is>
          <t>Người nhập</t>
        </is>
      </c>
      <c r="Q2" s="8" t="inlineStr">
        <is>
          <t>Trạng thái</t>
        </is>
      </c>
      <c r="R2" s="10" t="inlineStr">
        <is>
          <t>Số câu đã sinh</t>
        </is>
      </c>
      <c r="S2" s="10" t="inlineStr">
        <is>
          <t>Số câu Approved</t>
        </is>
      </c>
    </row>
    <row r="3">
      <c r="A3" t="inlineStr">
        <is>
          <t>IN_07-0001</t>
        </is>
      </c>
      <c r="C3" t="inlineStr">
        <is>
          <t>入門</t>
        </is>
      </c>
      <c r="D3" t="n">
        <v>1</v>
      </c>
      <c r="E3" t="n">
        <v>3</v>
      </c>
      <c r="F3" t="inlineStr">
        <is>
          <t>TH-VÍ DỤ</t>
        </is>
      </c>
      <c r="G3" t="inlineStr">
        <is>
          <t>Cửa hàng tiện lợi</t>
        </is>
      </c>
      <c r="H3" t="inlineStr">
        <is>
          <t>F=nhân viên; M=khách</t>
        </is>
      </c>
      <c r="I3" t="inlineStr">
        <is>
          <t>Khách mua gì?</t>
        </is>
      </c>
      <c r="J3" t="inlineStr">
        <is>
          <t>Hình 4 ô</t>
        </is>
      </c>
      <c r="K3" t="inlineStr">
        <is>
          <t>Định mua cơm hộp nhưng đổi sang bánh mì</t>
        </is>
      </c>
      <c r="L3" t="n">
        <v>6</v>
      </c>
      <c r="M3" t="inlineStr">
        <is>
          <t>おにぎり;パン</t>
        </is>
      </c>
      <c r="N3" t="inlineStr">
        <is>
          <t>VÍ DỤ — xoá dòng này khi dùng thật</t>
        </is>
      </c>
      <c r="O3" t="inlineStr">
        <is>
          <t>ChatGPT</t>
        </is>
      </c>
      <c r="Q3" t="inlineStr">
        <is>
          <t>Nháp</t>
        </is>
      </c>
      <c r="R3">
        <f>IF(A3="","",COUNTIF('30_NGAN_HANG'!$B:$B,A3))</f>
        <v/>
      </c>
      <c r="S3">
        <f>IF(A3="","",COUNTIFS('30_NGAN_HANG'!$B:$B,A3,'30_NGAN_HANG'!$Y:$Y,"Approved"))</f>
        <v/>
      </c>
    </row>
    <row r="4">
      <c r="R4">
        <f>IF(A4="","",COUNTIF('30_NGAN_HANG'!$B:$B,A4))</f>
        <v/>
      </c>
      <c r="S4">
        <f>IF(A4="","",COUNTIFS('30_NGAN_HANG'!$B:$B,A4,'30_NGAN_HANG'!$Y:$Y,"Approved"))</f>
        <v/>
      </c>
    </row>
    <row r="5">
      <c r="R5">
        <f>IF(A5="","",COUNTIF('30_NGAN_HANG'!$B:$B,A5))</f>
        <v/>
      </c>
      <c r="S5">
        <f>IF(A5="","",COUNTIFS('30_NGAN_HANG'!$B:$B,A5,'30_NGAN_HANG'!$Y:$Y,"Approved"))</f>
        <v/>
      </c>
    </row>
    <row r="6">
      <c r="R6">
        <f>IF(A6="","",COUNTIF('30_NGAN_HANG'!$B:$B,A6))</f>
        <v/>
      </c>
      <c r="S6">
        <f>IF(A6="","",COUNTIFS('30_NGAN_HANG'!$B:$B,A6,'30_NGAN_HANG'!$Y:$Y,"Approved"))</f>
        <v/>
      </c>
    </row>
    <row r="7">
      <c r="R7">
        <f>IF(A7="","",COUNTIF('30_NGAN_HANG'!$B:$B,A7))</f>
        <v/>
      </c>
      <c r="S7">
        <f>IF(A7="","",COUNTIFS('30_NGAN_HANG'!$B:$B,A7,'30_NGAN_HANG'!$Y:$Y,"Approved"))</f>
        <v/>
      </c>
    </row>
    <row r="8">
      <c r="R8">
        <f>IF(A8="","",COUNTIF('30_NGAN_HANG'!$B:$B,A8))</f>
        <v/>
      </c>
      <c r="S8">
        <f>IF(A8="","",COUNTIFS('30_NGAN_HANG'!$B:$B,A8,'30_NGAN_HANG'!$Y:$Y,"Approved"))</f>
        <v/>
      </c>
    </row>
    <row r="9">
      <c r="R9">
        <f>IF(A9="","",COUNTIF('30_NGAN_HANG'!$B:$B,A9))</f>
        <v/>
      </c>
      <c r="S9">
        <f>IF(A9="","",COUNTIFS('30_NGAN_HANG'!$B:$B,A9,'30_NGAN_HANG'!$Y:$Y,"Approved"))</f>
        <v/>
      </c>
    </row>
    <row r="10">
      <c r="R10">
        <f>IF(A10="","",COUNTIF('30_NGAN_HANG'!$B:$B,A10))</f>
        <v/>
      </c>
      <c r="S10">
        <f>IF(A10="","",COUNTIFS('30_NGAN_HANG'!$B:$B,A10,'30_NGAN_HANG'!$Y:$Y,"Approved"))</f>
        <v/>
      </c>
    </row>
    <row r="11">
      <c r="R11">
        <f>IF(A11="","",COUNTIF('30_NGAN_HANG'!$B:$B,A11))</f>
        <v/>
      </c>
      <c r="S11">
        <f>IF(A11="","",COUNTIFS('30_NGAN_HANG'!$B:$B,A11,'30_NGAN_HANG'!$Y:$Y,"Approved"))</f>
        <v/>
      </c>
    </row>
    <row r="12">
      <c r="R12">
        <f>IF(A12="","",COUNTIF('30_NGAN_HANG'!$B:$B,A12))</f>
        <v/>
      </c>
      <c r="S12">
        <f>IF(A12="","",COUNTIFS('30_NGAN_HANG'!$B:$B,A12,'30_NGAN_HANG'!$Y:$Y,"Approved"))</f>
        <v/>
      </c>
    </row>
    <row r="13">
      <c r="R13">
        <f>IF(A13="","",COUNTIF('30_NGAN_HANG'!$B:$B,A13))</f>
        <v/>
      </c>
      <c r="S13">
        <f>IF(A13="","",COUNTIFS('30_NGAN_HANG'!$B:$B,A13,'30_NGAN_HANG'!$Y:$Y,"Approved"))</f>
        <v/>
      </c>
    </row>
    <row r="14">
      <c r="R14">
        <f>IF(A14="","",COUNTIF('30_NGAN_HANG'!$B:$B,A14))</f>
        <v/>
      </c>
      <c r="S14">
        <f>IF(A14="","",COUNTIFS('30_NGAN_HANG'!$B:$B,A14,'30_NGAN_HANG'!$Y:$Y,"Approved"))</f>
        <v/>
      </c>
    </row>
    <row r="15">
      <c r="R15">
        <f>IF(A15="","",COUNTIF('30_NGAN_HANG'!$B:$B,A15))</f>
        <v/>
      </c>
      <c r="S15">
        <f>IF(A15="","",COUNTIFS('30_NGAN_HANG'!$B:$B,A15,'30_NGAN_HANG'!$Y:$Y,"Approved"))</f>
        <v/>
      </c>
    </row>
    <row r="16">
      <c r="R16">
        <f>IF(A16="","",COUNTIF('30_NGAN_HANG'!$B:$B,A16))</f>
        <v/>
      </c>
      <c r="S16">
        <f>IF(A16="","",COUNTIFS('30_NGAN_HANG'!$B:$B,A16,'30_NGAN_HANG'!$Y:$Y,"Approved"))</f>
        <v/>
      </c>
    </row>
    <row r="17">
      <c r="R17">
        <f>IF(A17="","",COUNTIF('30_NGAN_HANG'!$B:$B,A17))</f>
        <v/>
      </c>
      <c r="S17">
        <f>IF(A17="","",COUNTIFS('30_NGAN_HANG'!$B:$B,A17,'30_NGAN_HANG'!$Y:$Y,"Approved"))</f>
        <v/>
      </c>
    </row>
    <row r="18">
      <c r="R18">
        <f>IF(A18="","",COUNTIF('30_NGAN_HANG'!$B:$B,A18))</f>
        <v/>
      </c>
      <c r="S18">
        <f>IF(A18="","",COUNTIFS('30_NGAN_HANG'!$B:$B,A18,'30_NGAN_HANG'!$Y:$Y,"Approved"))</f>
        <v/>
      </c>
    </row>
    <row r="19">
      <c r="R19">
        <f>IF(A19="","",COUNTIF('30_NGAN_HANG'!$B:$B,A19))</f>
        <v/>
      </c>
      <c r="S19">
        <f>IF(A19="","",COUNTIFS('30_NGAN_HANG'!$B:$B,A19,'30_NGAN_HANG'!$Y:$Y,"Approved"))</f>
        <v/>
      </c>
    </row>
    <row r="20">
      <c r="R20">
        <f>IF(A20="","",COUNTIF('30_NGAN_HANG'!$B:$B,A20))</f>
        <v/>
      </c>
      <c r="S20">
        <f>IF(A20="","",COUNTIFS('30_NGAN_HANG'!$B:$B,A20,'30_NGAN_HANG'!$Y:$Y,"Approved"))</f>
        <v/>
      </c>
    </row>
    <row r="21">
      <c r="R21">
        <f>IF(A21="","",COUNTIF('30_NGAN_HANG'!$B:$B,A21))</f>
        <v/>
      </c>
      <c r="S21">
        <f>IF(A21="","",COUNTIFS('30_NGAN_HANG'!$B:$B,A21,'30_NGAN_HANG'!$Y:$Y,"Approved"))</f>
        <v/>
      </c>
    </row>
    <row r="22">
      <c r="R22">
        <f>IF(A22="","",COUNTIF('30_NGAN_HANG'!$B:$B,A22))</f>
        <v/>
      </c>
      <c r="S22">
        <f>IF(A22="","",COUNTIFS('30_NGAN_HANG'!$B:$B,A22,'30_NGAN_HANG'!$Y:$Y,"Approved"))</f>
        <v/>
      </c>
    </row>
    <row r="23">
      <c r="R23">
        <f>IF(A23="","",COUNTIF('30_NGAN_HANG'!$B:$B,A23))</f>
        <v/>
      </c>
      <c r="S23">
        <f>IF(A23="","",COUNTIFS('30_NGAN_HANG'!$B:$B,A23,'30_NGAN_HANG'!$Y:$Y,"Approved"))</f>
        <v/>
      </c>
    </row>
    <row r="24">
      <c r="R24">
        <f>IF(A24="","",COUNTIF('30_NGAN_HANG'!$B:$B,A24))</f>
        <v/>
      </c>
      <c r="S24">
        <f>IF(A24="","",COUNTIFS('30_NGAN_HANG'!$B:$B,A24,'30_NGAN_HANG'!$Y:$Y,"Approved"))</f>
        <v/>
      </c>
    </row>
    <row r="25">
      <c r="R25">
        <f>IF(A25="","",COUNTIF('30_NGAN_HANG'!$B:$B,A25))</f>
        <v/>
      </c>
      <c r="S25">
        <f>IF(A25="","",COUNTIFS('30_NGAN_HANG'!$B:$B,A25,'30_NGAN_HANG'!$Y:$Y,"Approved"))</f>
        <v/>
      </c>
    </row>
    <row r="26">
      <c r="R26">
        <f>IF(A26="","",COUNTIF('30_NGAN_HANG'!$B:$B,A26))</f>
        <v/>
      </c>
      <c r="S26">
        <f>IF(A26="","",COUNTIFS('30_NGAN_HANG'!$B:$B,A26,'30_NGAN_HANG'!$Y:$Y,"Approved"))</f>
        <v/>
      </c>
    </row>
    <row r="27">
      <c r="R27">
        <f>IF(A27="","",COUNTIF('30_NGAN_HANG'!$B:$B,A27))</f>
        <v/>
      </c>
      <c r="S27">
        <f>IF(A27="","",COUNTIFS('30_NGAN_HANG'!$B:$B,A27,'30_NGAN_HANG'!$Y:$Y,"Approved"))</f>
        <v/>
      </c>
    </row>
    <row r="28">
      <c r="R28">
        <f>IF(A28="","",COUNTIF('30_NGAN_HANG'!$B:$B,A28))</f>
        <v/>
      </c>
      <c r="S28">
        <f>IF(A28="","",COUNTIFS('30_NGAN_HANG'!$B:$B,A28,'30_NGAN_HANG'!$Y:$Y,"Approved"))</f>
        <v/>
      </c>
    </row>
    <row r="29">
      <c r="R29">
        <f>IF(A29="","",COUNTIF('30_NGAN_HANG'!$B:$B,A29))</f>
        <v/>
      </c>
      <c r="S29">
        <f>IF(A29="","",COUNTIFS('30_NGAN_HANG'!$B:$B,A29,'30_NGAN_HANG'!$Y:$Y,"Approved"))</f>
        <v/>
      </c>
    </row>
    <row r="30">
      <c r="R30">
        <f>IF(A30="","",COUNTIF('30_NGAN_HANG'!$B:$B,A30))</f>
        <v/>
      </c>
      <c r="S30">
        <f>IF(A30="","",COUNTIFS('30_NGAN_HANG'!$B:$B,A30,'30_NGAN_HANG'!$Y:$Y,"Approved"))</f>
        <v/>
      </c>
    </row>
    <row r="31">
      <c r="R31">
        <f>IF(A31="","",COUNTIF('30_NGAN_HANG'!$B:$B,A31))</f>
        <v/>
      </c>
      <c r="S31">
        <f>IF(A31="","",COUNTIFS('30_NGAN_HANG'!$B:$B,A31,'30_NGAN_HANG'!$Y:$Y,"Approved"))</f>
        <v/>
      </c>
    </row>
    <row r="32">
      <c r="R32">
        <f>IF(A32="","",COUNTIF('30_NGAN_HANG'!$B:$B,A32))</f>
        <v/>
      </c>
      <c r="S32">
        <f>IF(A32="","",COUNTIFS('30_NGAN_HANG'!$B:$B,A32,'30_NGAN_HANG'!$Y:$Y,"Approved"))</f>
        <v/>
      </c>
    </row>
    <row r="33">
      <c r="R33">
        <f>IF(A33="","",COUNTIF('30_NGAN_HANG'!$B:$B,A33))</f>
        <v/>
      </c>
      <c r="S33">
        <f>IF(A33="","",COUNTIFS('30_NGAN_HANG'!$B:$B,A33,'30_NGAN_HANG'!$Y:$Y,"Approved"))</f>
        <v/>
      </c>
    </row>
    <row r="34">
      <c r="R34">
        <f>IF(A34="","",COUNTIF('30_NGAN_HANG'!$B:$B,A34))</f>
        <v/>
      </c>
      <c r="S34">
        <f>IF(A34="","",COUNTIFS('30_NGAN_HANG'!$B:$B,A34,'30_NGAN_HANG'!$Y:$Y,"Approved"))</f>
        <v/>
      </c>
    </row>
    <row r="35">
      <c r="R35">
        <f>IF(A35="","",COUNTIF('30_NGAN_HANG'!$B:$B,A35))</f>
        <v/>
      </c>
      <c r="S35">
        <f>IF(A35="","",COUNTIFS('30_NGAN_HANG'!$B:$B,A35,'30_NGAN_HANG'!$Y:$Y,"Approved"))</f>
        <v/>
      </c>
    </row>
    <row r="36">
      <c r="R36">
        <f>IF(A36="","",COUNTIF('30_NGAN_HANG'!$B:$B,A36))</f>
        <v/>
      </c>
      <c r="S36">
        <f>IF(A36="","",COUNTIFS('30_NGAN_HANG'!$B:$B,A36,'30_NGAN_HANG'!$Y:$Y,"Approved"))</f>
        <v/>
      </c>
    </row>
    <row r="37">
      <c r="R37">
        <f>IF(A37="","",COUNTIF('30_NGAN_HANG'!$B:$B,A37))</f>
        <v/>
      </c>
      <c r="S37">
        <f>IF(A37="","",COUNTIFS('30_NGAN_HANG'!$B:$B,A37,'30_NGAN_HANG'!$Y:$Y,"Approved"))</f>
        <v/>
      </c>
    </row>
    <row r="38">
      <c r="R38">
        <f>IF(A38="","",COUNTIF('30_NGAN_HANG'!$B:$B,A38))</f>
        <v/>
      </c>
      <c r="S38">
        <f>IF(A38="","",COUNTIFS('30_NGAN_HANG'!$B:$B,A38,'30_NGAN_HANG'!$Y:$Y,"Approved"))</f>
        <v/>
      </c>
    </row>
    <row r="39">
      <c r="R39">
        <f>IF(A39="","",COUNTIF('30_NGAN_HANG'!$B:$B,A39))</f>
        <v/>
      </c>
      <c r="S39">
        <f>IF(A39="","",COUNTIFS('30_NGAN_HANG'!$B:$B,A39,'30_NGAN_HANG'!$Y:$Y,"Approved"))</f>
        <v/>
      </c>
    </row>
    <row r="40">
      <c r="R40">
        <f>IF(A40="","",COUNTIF('30_NGAN_HANG'!$B:$B,A40))</f>
        <v/>
      </c>
      <c r="S40">
        <f>IF(A40="","",COUNTIFS('30_NGAN_HANG'!$B:$B,A40,'30_NGAN_HANG'!$Y:$Y,"Approved"))</f>
        <v/>
      </c>
    </row>
    <row r="41">
      <c r="R41">
        <f>IF(A41="","",COUNTIF('30_NGAN_HANG'!$B:$B,A41))</f>
        <v/>
      </c>
      <c r="S41">
        <f>IF(A41="","",COUNTIFS('30_NGAN_HANG'!$B:$B,A41,'30_NGAN_HANG'!$Y:$Y,"Approved"))</f>
        <v/>
      </c>
    </row>
    <row r="42">
      <c r="R42">
        <f>IF(A42="","",COUNTIF('30_NGAN_HANG'!$B:$B,A42))</f>
        <v/>
      </c>
      <c r="S42">
        <f>IF(A42="","",COUNTIFS('30_NGAN_HANG'!$B:$B,A42,'30_NGAN_HANG'!$Y:$Y,"Approved"))</f>
        <v/>
      </c>
    </row>
    <row r="43">
      <c r="R43">
        <f>IF(A43="","",COUNTIF('30_NGAN_HANG'!$B:$B,A43))</f>
        <v/>
      </c>
      <c r="S43">
        <f>IF(A43="","",COUNTIFS('30_NGAN_HANG'!$B:$B,A43,'30_NGAN_HANG'!$Y:$Y,"Approved"))</f>
        <v/>
      </c>
    </row>
    <row r="44">
      <c r="R44">
        <f>IF(A44="","",COUNTIF('30_NGAN_HANG'!$B:$B,A44))</f>
        <v/>
      </c>
      <c r="S44">
        <f>IF(A44="","",COUNTIFS('30_NGAN_HANG'!$B:$B,A44,'30_NGAN_HANG'!$Y:$Y,"Approved"))</f>
        <v/>
      </c>
    </row>
    <row r="45">
      <c r="R45">
        <f>IF(A45="","",COUNTIF('30_NGAN_HANG'!$B:$B,A45))</f>
        <v/>
      </c>
      <c r="S45">
        <f>IF(A45="","",COUNTIFS('30_NGAN_HANG'!$B:$B,A45,'30_NGAN_HANG'!$Y:$Y,"Approved"))</f>
        <v/>
      </c>
    </row>
    <row r="46">
      <c r="R46">
        <f>IF(A46="","",COUNTIF('30_NGAN_HANG'!$B:$B,A46))</f>
        <v/>
      </c>
      <c r="S46">
        <f>IF(A46="","",COUNTIFS('30_NGAN_HANG'!$B:$B,A46,'30_NGAN_HANG'!$Y:$Y,"Approved"))</f>
        <v/>
      </c>
    </row>
    <row r="47">
      <c r="R47">
        <f>IF(A47="","",COUNTIF('30_NGAN_HANG'!$B:$B,A47))</f>
        <v/>
      </c>
      <c r="S47">
        <f>IF(A47="","",COUNTIFS('30_NGAN_HANG'!$B:$B,A47,'30_NGAN_HANG'!$Y:$Y,"Approved"))</f>
        <v/>
      </c>
    </row>
    <row r="48">
      <c r="R48">
        <f>IF(A48="","",COUNTIF('30_NGAN_HANG'!$B:$B,A48))</f>
        <v/>
      </c>
      <c r="S48">
        <f>IF(A48="","",COUNTIFS('30_NGAN_HANG'!$B:$B,A48,'30_NGAN_HANG'!$Y:$Y,"Approved"))</f>
        <v/>
      </c>
    </row>
    <row r="49">
      <c r="R49">
        <f>IF(A49="","",COUNTIF('30_NGAN_HANG'!$B:$B,A49))</f>
        <v/>
      </c>
      <c r="S49">
        <f>IF(A49="","",COUNTIFS('30_NGAN_HANG'!$B:$B,A49,'30_NGAN_HANG'!$Y:$Y,"Approved"))</f>
        <v/>
      </c>
    </row>
    <row r="50">
      <c r="R50">
        <f>IF(A50="","",COUNTIF('30_NGAN_HANG'!$B:$B,A50))</f>
        <v/>
      </c>
      <c r="S50">
        <f>IF(A50="","",COUNTIFS('30_NGAN_HANG'!$B:$B,A50,'30_NGAN_HANG'!$Y:$Y,"Approved"))</f>
        <v/>
      </c>
    </row>
    <row r="51">
      <c r="R51">
        <f>IF(A51="","",COUNTIF('30_NGAN_HANG'!$B:$B,A51))</f>
        <v/>
      </c>
      <c r="S51">
        <f>IF(A51="","",COUNTIFS('30_NGAN_HANG'!$B:$B,A51,'30_NGAN_HANG'!$Y:$Y,"Approved"))</f>
        <v/>
      </c>
    </row>
    <row r="52">
      <c r="R52">
        <f>IF(A52="","",COUNTIF('30_NGAN_HANG'!$B:$B,A52))</f>
        <v/>
      </c>
      <c r="S52">
        <f>IF(A52="","",COUNTIFS('30_NGAN_HANG'!$B:$B,A52,'30_NGAN_HANG'!$Y:$Y,"Approved"))</f>
        <v/>
      </c>
    </row>
    <row r="53">
      <c r="R53">
        <f>IF(A53="","",COUNTIF('30_NGAN_HANG'!$B:$B,A53))</f>
        <v/>
      </c>
      <c r="S53">
        <f>IF(A53="","",COUNTIFS('30_NGAN_HANG'!$B:$B,A53,'30_NGAN_HANG'!$Y:$Y,"Approved"))</f>
        <v/>
      </c>
    </row>
    <row r="54">
      <c r="R54">
        <f>IF(A54="","",COUNTIF('30_NGAN_HANG'!$B:$B,A54))</f>
        <v/>
      </c>
      <c r="S54">
        <f>IF(A54="","",COUNTIFS('30_NGAN_HANG'!$B:$B,A54,'30_NGAN_HANG'!$Y:$Y,"Approved"))</f>
        <v/>
      </c>
    </row>
    <row r="55">
      <c r="R55">
        <f>IF(A55="","",COUNTIF('30_NGAN_HANG'!$B:$B,A55))</f>
        <v/>
      </c>
      <c r="S55">
        <f>IF(A55="","",COUNTIFS('30_NGAN_HANG'!$B:$B,A55,'30_NGAN_HANG'!$Y:$Y,"Approved"))</f>
        <v/>
      </c>
    </row>
    <row r="56">
      <c r="R56">
        <f>IF(A56="","",COUNTIF('30_NGAN_HANG'!$B:$B,A56))</f>
        <v/>
      </c>
      <c r="S56">
        <f>IF(A56="","",COUNTIFS('30_NGAN_HANG'!$B:$B,A56,'30_NGAN_HANG'!$Y:$Y,"Approved"))</f>
        <v/>
      </c>
    </row>
    <row r="57">
      <c r="R57">
        <f>IF(A57="","",COUNTIF('30_NGAN_HANG'!$B:$B,A57))</f>
        <v/>
      </c>
      <c r="S57">
        <f>IF(A57="","",COUNTIFS('30_NGAN_HANG'!$B:$B,A57,'30_NGAN_HANG'!$Y:$Y,"Approved"))</f>
        <v/>
      </c>
    </row>
    <row r="58">
      <c r="R58">
        <f>IF(A58="","",COUNTIF('30_NGAN_HANG'!$B:$B,A58))</f>
        <v/>
      </c>
      <c r="S58">
        <f>IF(A58="","",COUNTIFS('30_NGAN_HANG'!$B:$B,A58,'30_NGAN_HANG'!$Y:$Y,"Approved"))</f>
        <v/>
      </c>
    </row>
    <row r="59">
      <c r="R59">
        <f>IF(A59="","",COUNTIF('30_NGAN_HANG'!$B:$B,A59))</f>
        <v/>
      </c>
      <c r="S59">
        <f>IF(A59="","",COUNTIFS('30_NGAN_HANG'!$B:$B,A59,'30_NGAN_HANG'!$Y:$Y,"Approved"))</f>
        <v/>
      </c>
    </row>
    <row r="60">
      <c r="R60">
        <f>IF(A60="","",COUNTIF('30_NGAN_HANG'!$B:$B,A60))</f>
        <v/>
      </c>
      <c r="S60">
        <f>IF(A60="","",COUNTIFS('30_NGAN_HANG'!$B:$B,A60,'30_NGAN_HANG'!$Y:$Y,"Approved"))</f>
        <v/>
      </c>
    </row>
    <row r="61">
      <c r="R61">
        <f>IF(A61="","",COUNTIF('30_NGAN_HANG'!$B:$B,A61))</f>
        <v/>
      </c>
      <c r="S61">
        <f>IF(A61="","",COUNTIFS('30_NGAN_HANG'!$B:$B,A61,'30_NGAN_HANG'!$Y:$Y,"Approved"))</f>
        <v/>
      </c>
    </row>
    <row r="62">
      <c r="R62">
        <f>IF(A62="","",COUNTIF('30_NGAN_HANG'!$B:$B,A62))</f>
        <v/>
      </c>
      <c r="S62">
        <f>IF(A62="","",COUNTIFS('30_NGAN_HANG'!$B:$B,A62,'30_NGAN_HANG'!$Y:$Y,"Approved"))</f>
        <v/>
      </c>
    </row>
    <row r="63">
      <c r="R63">
        <f>IF(A63="","",COUNTIF('30_NGAN_HANG'!$B:$B,A63))</f>
        <v/>
      </c>
      <c r="S63">
        <f>IF(A63="","",COUNTIFS('30_NGAN_HANG'!$B:$B,A63,'30_NGAN_HANG'!$Y:$Y,"Approved"))</f>
        <v/>
      </c>
    </row>
    <row r="64">
      <c r="R64">
        <f>IF(A64="","",COUNTIF('30_NGAN_HANG'!$B:$B,A64))</f>
        <v/>
      </c>
      <c r="S64">
        <f>IF(A64="","",COUNTIFS('30_NGAN_HANG'!$B:$B,A64,'30_NGAN_HANG'!$Y:$Y,"Approved"))</f>
        <v/>
      </c>
    </row>
    <row r="65">
      <c r="R65">
        <f>IF(A65="","",COUNTIF('30_NGAN_HANG'!$B:$B,A65))</f>
        <v/>
      </c>
      <c r="S65">
        <f>IF(A65="","",COUNTIFS('30_NGAN_HANG'!$B:$B,A65,'30_NGAN_HANG'!$Y:$Y,"Approved"))</f>
        <v/>
      </c>
    </row>
    <row r="66">
      <c r="R66">
        <f>IF(A66="","",COUNTIF('30_NGAN_HANG'!$B:$B,A66))</f>
        <v/>
      </c>
      <c r="S66">
        <f>IF(A66="","",COUNTIFS('30_NGAN_HANG'!$B:$B,A66,'30_NGAN_HANG'!$Y:$Y,"Approved"))</f>
        <v/>
      </c>
    </row>
    <row r="67">
      <c r="R67">
        <f>IF(A67="","",COUNTIF('30_NGAN_HANG'!$B:$B,A67))</f>
        <v/>
      </c>
      <c r="S67">
        <f>IF(A67="","",COUNTIFS('30_NGAN_HANG'!$B:$B,A67,'30_NGAN_HANG'!$Y:$Y,"Approved"))</f>
        <v/>
      </c>
    </row>
    <row r="68">
      <c r="R68">
        <f>IF(A68="","",COUNTIF('30_NGAN_HANG'!$B:$B,A68))</f>
        <v/>
      </c>
      <c r="S68">
        <f>IF(A68="","",COUNTIFS('30_NGAN_HANG'!$B:$B,A68,'30_NGAN_HANG'!$Y:$Y,"Approved"))</f>
        <v/>
      </c>
    </row>
    <row r="69">
      <c r="R69">
        <f>IF(A69="","",COUNTIF('30_NGAN_HANG'!$B:$B,A69))</f>
        <v/>
      </c>
      <c r="S69">
        <f>IF(A69="","",COUNTIFS('30_NGAN_HANG'!$B:$B,A69,'30_NGAN_HANG'!$Y:$Y,"Approved"))</f>
        <v/>
      </c>
    </row>
    <row r="70">
      <c r="R70">
        <f>IF(A70="","",COUNTIF('30_NGAN_HANG'!$B:$B,A70))</f>
        <v/>
      </c>
      <c r="S70">
        <f>IF(A70="","",COUNTIFS('30_NGAN_HANG'!$B:$B,A70,'30_NGAN_HANG'!$Y:$Y,"Approved"))</f>
        <v/>
      </c>
    </row>
    <row r="71">
      <c r="R71">
        <f>IF(A71="","",COUNTIF('30_NGAN_HANG'!$B:$B,A71))</f>
        <v/>
      </c>
      <c r="S71">
        <f>IF(A71="","",COUNTIFS('30_NGAN_HANG'!$B:$B,A71,'30_NGAN_HANG'!$Y:$Y,"Approved"))</f>
        <v/>
      </c>
    </row>
    <row r="72">
      <c r="R72">
        <f>IF(A72="","",COUNTIF('30_NGAN_HANG'!$B:$B,A72))</f>
        <v/>
      </c>
      <c r="S72">
        <f>IF(A72="","",COUNTIFS('30_NGAN_HANG'!$B:$B,A72,'30_NGAN_HANG'!$Y:$Y,"Approved"))</f>
        <v/>
      </c>
    </row>
    <row r="73">
      <c r="R73">
        <f>IF(A73="","",COUNTIF('30_NGAN_HANG'!$B:$B,A73))</f>
        <v/>
      </c>
      <c r="S73">
        <f>IF(A73="","",COUNTIFS('30_NGAN_HANG'!$B:$B,A73,'30_NGAN_HANG'!$Y:$Y,"Approved"))</f>
        <v/>
      </c>
    </row>
    <row r="74">
      <c r="R74">
        <f>IF(A74="","",COUNTIF('30_NGAN_HANG'!$B:$B,A74))</f>
        <v/>
      </c>
      <c r="S74">
        <f>IF(A74="","",COUNTIFS('30_NGAN_HANG'!$B:$B,A74,'30_NGAN_HANG'!$Y:$Y,"Approved"))</f>
        <v/>
      </c>
    </row>
    <row r="75">
      <c r="R75">
        <f>IF(A75="","",COUNTIF('30_NGAN_HANG'!$B:$B,A75))</f>
        <v/>
      </c>
      <c r="S75">
        <f>IF(A75="","",COUNTIFS('30_NGAN_HANG'!$B:$B,A75,'30_NGAN_HANG'!$Y:$Y,"Approved"))</f>
        <v/>
      </c>
    </row>
    <row r="76">
      <c r="R76">
        <f>IF(A76="","",COUNTIF('30_NGAN_HANG'!$B:$B,A76))</f>
        <v/>
      </c>
      <c r="S76">
        <f>IF(A76="","",COUNTIFS('30_NGAN_HANG'!$B:$B,A76,'30_NGAN_HANG'!$Y:$Y,"Approved"))</f>
        <v/>
      </c>
    </row>
    <row r="77">
      <c r="R77">
        <f>IF(A77="","",COUNTIF('30_NGAN_HANG'!$B:$B,A77))</f>
        <v/>
      </c>
      <c r="S77">
        <f>IF(A77="","",COUNTIFS('30_NGAN_HANG'!$B:$B,A77,'30_NGAN_HANG'!$Y:$Y,"Approved"))</f>
        <v/>
      </c>
    </row>
    <row r="78">
      <c r="R78">
        <f>IF(A78="","",COUNTIF('30_NGAN_HANG'!$B:$B,A78))</f>
        <v/>
      </c>
      <c r="S78">
        <f>IF(A78="","",COUNTIFS('30_NGAN_HANG'!$B:$B,A78,'30_NGAN_HANG'!$Y:$Y,"Approved"))</f>
        <v/>
      </c>
    </row>
    <row r="79">
      <c r="R79">
        <f>IF(A79="","",COUNTIF('30_NGAN_HANG'!$B:$B,A79))</f>
        <v/>
      </c>
      <c r="S79">
        <f>IF(A79="","",COUNTIFS('30_NGAN_HANG'!$B:$B,A79,'30_NGAN_HANG'!$Y:$Y,"Approved"))</f>
        <v/>
      </c>
    </row>
    <row r="80">
      <c r="R80">
        <f>IF(A80="","",COUNTIF('30_NGAN_HANG'!$B:$B,A80))</f>
        <v/>
      </c>
      <c r="S80">
        <f>IF(A80="","",COUNTIFS('30_NGAN_HANG'!$B:$B,A80,'30_NGAN_HANG'!$Y:$Y,"Approved"))</f>
        <v/>
      </c>
    </row>
    <row r="81">
      <c r="R81">
        <f>IF(A81="","",COUNTIF('30_NGAN_HANG'!$B:$B,A81))</f>
        <v/>
      </c>
      <c r="S81">
        <f>IF(A81="","",COUNTIFS('30_NGAN_HANG'!$B:$B,A81,'30_NGAN_HANG'!$Y:$Y,"Approved"))</f>
        <v/>
      </c>
    </row>
    <row r="82">
      <c r="R82">
        <f>IF(A82="","",COUNTIF('30_NGAN_HANG'!$B:$B,A82))</f>
        <v/>
      </c>
      <c r="S82">
        <f>IF(A82="","",COUNTIFS('30_NGAN_HANG'!$B:$B,A82,'30_NGAN_HANG'!$Y:$Y,"Approved"))</f>
        <v/>
      </c>
    </row>
    <row r="83">
      <c r="R83">
        <f>IF(A83="","",COUNTIF('30_NGAN_HANG'!$B:$B,A83))</f>
        <v/>
      </c>
      <c r="S83">
        <f>IF(A83="","",COUNTIFS('30_NGAN_HANG'!$B:$B,A83,'30_NGAN_HANG'!$Y:$Y,"Approved"))</f>
        <v/>
      </c>
    </row>
    <row r="84">
      <c r="R84">
        <f>IF(A84="","",COUNTIF('30_NGAN_HANG'!$B:$B,A84))</f>
        <v/>
      </c>
      <c r="S84">
        <f>IF(A84="","",COUNTIFS('30_NGAN_HANG'!$B:$B,A84,'30_NGAN_HANG'!$Y:$Y,"Approved"))</f>
        <v/>
      </c>
    </row>
    <row r="85">
      <c r="R85">
        <f>IF(A85="","",COUNTIF('30_NGAN_HANG'!$B:$B,A85))</f>
        <v/>
      </c>
      <c r="S85">
        <f>IF(A85="","",COUNTIFS('30_NGAN_HANG'!$B:$B,A85,'30_NGAN_HANG'!$Y:$Y,"Approved"))</f>
        <v/>
      </c>
    </row>
    <row r="86">
      <c r="R86">
        <f>IF(A86="","",COUNTIF('30_NGAN_HANG'!$B:$B,A86))</f>
        <v/>
      </c>
      <c r="S86">
        <f>IF(A86="","",COUNTIFS('30_NGAN_HANG'!$B:$B,A86,'30_NGAN_HANG'!$Y:$Y,"Approved"))</f>
        <v/>
      </c>
    </row>
    <row r="87">
      <c r="R87">
        <f>IF(A87="","",COUNTIF('30_NGAN_HANG'!$B:$B,A87))</f>
        <v/>
      </c>
      <c r="S87">
        <f>IF(A87="","",COUNTIFS('30_NGAN_HANG'!$B:$B,A87,'30_NGAN_HANG'!$Y:$Y,"Approved"))</f>
        <v/>
      </c>
    </row>
    <row r="88">
      <c r="R88">
        <f>IF(A88="","",COUNTIF('30_NGAN_HANG'!$B:$B,A88))</f>
        <v/>
      </c>
      <c r="S88">
        <f>IF(A88="","",COUNTIFS('30_NGAN_HANG'!$B:$B,A88,'30_NGAN_HANG'!$Y:$Y,"Approved"))</f>
        <v/>
      </c>
    </row>
    <row r="89">
      <c r="R89">
        <f>IF(A89="","",COUNTIF('30_NGAN_HANG'!$B:$B,A89))</f>
        <v/>
      </c>
      <c r="S89">
        <f>IF(A89="","",COUNTIFS('30_NGAN_HANG'!$B:$B,A89,'30_NGAN_HANG'!$Y:$Y,"Approved"))</f>
        <v/>
      </c>
    </row>
    <row r="90">
      <c r="R90">
        <f>IF(A90="","",COUNTIF('30_NGAN_HANG'!$B:$B,A90))</f>
        <v/>
      </c>
      <c r="S90">
        <f>IF(A90="","",COUNTIFS('30_NGAN_HANG'!$B:$B,A90,'30_NGAN_HANG'!$Y:$Y,"Approved"))</f>
        <v/>
      </c>
    </row>
    <row r="91">
      <c r="R91">
        <f>IF(A91="","",COUNTIF('30_NGAN_HANG'!$B:$B,A91))</f>
        <v/>
      </c>
      <c r="S91">
        <f>IF(A91="","",COUNTIFS('30_NGAN_HANG'!$B:$B,A91,'30_NGAN_HANG'!$Y:$Y,"Approved"))</f>
        <v/>
      </c>
    </row>
    <row r="92">
      <c r="R92">
        <f>IF(A92="","",COUNTIF('30_NGAN_HANG'!$B:$B,A92))</f>
        <v/>
      </c>
      <c r="S92">
        <f>IF(A92="","",COUNTIFS('30_NGAN_HANG'!$B:$B,A92,'30_NGAN_HANG'!$Y:$Y,"Approved"))</f>
        <v/>
      </c>
    </row>
    <row r="93">
      <c r="R93">
        <f>IF(A93="","",COUNTIF('30_NGAN_HANG'!$B:$B,A93))</f>
        <v/>
      </c>
      <c r="S93">
        <f>IF(A93="","",COUNTIFS('30_NGAN_HANG'!$B:$B,A93,'30_NGAN_HANG'!$Y:$Y,"Approved"))</f>
        <v/>
      </c>
    </row>
    <row r="94">
      <c r="R94">
        <f>IF(A94="","",COUNTIF('30_NGAN_HANG'!$B:$B,A94))</f>
        <v/>
      </c>
      <c r="S94">
        <f>IF(A94="","",COUNTIFS('30_NGAN_HANG'!$B:$B,A94,'30_NGAN_HANG'!$Y:$Y,"Approved"))</f>
        <v/>
      </c>
    </row>
    <row r="95">
      <c r="R95">
        <f>IF(A95="","",COUNTIF('30_NGAN_HANG'!$B:$B,A95))</f>
        <v/>
      </c>
      <c r="S95">
        <f>IF(A95="","",COUNTIFS('30_NGAN_HANG'!$B:$B,A95,'30_NGAN_HANG'!$Y:$Y,"Approved"))</f>
        <v/>
      </c>
    </row>
    <row r="96">
      <c r="R96">
        <f>IF(A96="","",COUNTIF('30_NGAN_HANG'!$B:$B,A96))</f>
        <v/>
      </c>
      <c r="S96">
        <f>IF(A96="","",COUNTIFS('30_NGAN_HANG'!$B:$B,A96,'30_NGAN_HANG'!$Y:$Y,"Approved"))</f>
        <v/>
      </c>
    </row>
    <row r="97">
      <c r="R97">
        <f>IF(A97="","",COUNTIF('30_NGAN_HANG'!$B:$B,A97))</f>
        <v/>
      </c>
      <c r="S97">
        <f>IF(A97="","",COUNTIFS('30_NGAN_HANG'!$B:$B,A97,'30_NGAN_HANG'!$Y:$Y,"Approved"))</f>
        <v/>
      </c>
    </row>
    <row r="98">
      <c r="R98">
        <f>IF(A98="","",COUNTIF('30_NGAN_HANG'!$B:$B,A98))</f>
        <v/>
      </c>
      <c r="S98">
        <f>IF(A98="","",COUNTIFS('30_NGAN_HANG'!$B:$B,A98,'30_NGAN_HANG'!$Y:$Y,"Approved"))</f>
        <v/>
      </c>
    </row>
    <row r="99">
      <c r="R99">
        <f>IF(A99="","",COUNTIF('30_NGAN_HANG'!$B:$B,A99))</f>
        <v/>
      </c>
      <c r="S99">
        <f>IF(A99="","",COUNTIFS('30_NGAN_HANG'!$B:$B,A99,'30_NGAN_HANG'!$Y:$Y,"Approved"))</f>
        <v/>
      </c>
    </row>
    <row r="100">
      <c r="R100">
        <f>IF(A100="","",COUNTIF('30_NGAN_HANG'!$B:$B,A100))</f>
        <v/>
      </c>
      <c r="S100">
        <f>IF(A100="","",COUNTIFS('30_NGAN_HANG'!$B:$B,A100,'30_NGAN_HANG'!$Y:$Y,"Approved"))</f>
        <v/>
      </c>
    </row>
    <row r="101">
      <c r="R101">
        <f>IF(A101="","",COUNTIF('30_NGAN_HANG'!$B:$B,A101))</f>
        <v/>
      </c>
      <c r="S101">
        <f>IF(A101="","",COUNTIFS('30_NGAN_HANG'!$B:$B,A101,'30_NGAN_HANG'!$Y:$Y,"Approved"))</f>
        <v/>
      </c>
    </row>
    <row r="102">
      <c r="R102">
        <f>IF(A102="","",COUNTIF('30_NGAN_HANG'!$B:$B,A102))</f>
        <v/>
      </c>
      <c r="S102">
        <f>IF(A102="","",COUNTIFS('30_NGAN_HANG'!$B:$B,A102,'30_NGAN_HANG'!$Y:$Y,"Approved"))</f>
        <v/>
      </c>
    </row>
    <row r="103">
      <c r="R103">
        <f>IF(A103="","",COUNTIF('30_NGAN_HANG'!$B:$B,A103))</f>
        <v/>
      </c>
      <c r="S103">
        <f>IF(A103="","",COUNTIFS('30_NGAN_HANG'!$B:$B,A103,'30_NGAN_HANG'!$Y:$Y,"Approved"))</f>
        <v/>
      </c>
    </row>
    <row r="104">
      <c r="R104">
        <f>IF(A104="","",COUNTIF('30_NGAN_HANG'!$B:$B,A104))</f>
        <v/>
      </c>
      <c r="S104">
        <f>IF(A104="","",COUNTIFS('30_NGAN_HANG'!$B:$B,A104,'30_NGAN_HANG'!$Y:$Y,"Approved"))</f>
        <v/>
      </c>
    </row>
    <row r="105">
      <c r="R105">
        <f>IF(A105="","",COUNTIF('30_NGAN_HANG'!$B:$B,A105))</f>
        <v/>
      </c>
      <c r="S105">
        <f>IF(A105="","",COUNTIFS('30_NGAN_HANG'!$B:$B,A105,'30_NGAN_HANG'!$Y:$Y,"Approved"))</f>
        <v/>
      </c>
    </row>
    <row r="106">
      <c r="R106">
        <f>IF(A106="","",COUNTIF('30_NGAN_HANG'!$B:$B,A106))</f>
        <v/>
      </c>
      <c r="S106">
        <f>IF(A106="","",COUNTIFS('30_NGAN_HANG'!$B:$B,A106,'30_NGAN_HANG'!$Y:$Y,"Approved"))</f>
        <v/>
      </c>
    </row>
    <row r="107">
      <c r="R107">
        <f>IF(A107="","",COUNTIF('30_NGAN_HANG'!$B:$B,A107))</f>
        <v/>
      </c>
      <c r="S107">
        <f>IF(A107="","",COUNTIFS('30_NGAN_HANG'!$B:$B,A107,'30_NGAN_HANG'!$Y:$Y,"Approved"))</f>
        <v/>
      </c>
    </row>
    <row r="108">
      <c r="R108">
        <f>IF(A108="","",COUNTIF('30_NGAN_HANG'!$B:$B,A108))</f>
        <v/>
      </c>
      <c r="S108">
        <f>IF(A108="","",COUNTIFS('30_NGAN_HANG'!$B:$B,A108,'30_NGAN_HANG'!$Y:$Y,"Approved"))</f>
        <v/>
      </c>
    </row>
    <row r="109">
      <c r="R109">
        <f>IF(A109="","",COUNTIF('30_NGAN_HANG'!$B:$B,A109))</f>
        <v/>
      </c>
      <c r="S109">
        <f>IF(A109="","",COUNTIFS('30_NGAN_HANG'!$B:$B,A109,'30_NGAN_HANG'!$Y:$Y,"Approved"))</f>
        <v/>
      </c>
    </row>
    <row r="110">
      <c r="R110">
        <f>IF(A110="","",COUNTIF('30_NGAN_HANG'!$B:$B,A110))</f>
        <v/>
      </c>
      <c r="S110">
        <f>IF(A110="","",COUNTIFS('30_NGAN_HANG'!$B:$B,A110,'30_NGAN_HANG'!$Y:$Y,"Approved"))</f>
        <v/>
      </c>
    </row>
    <row r="111">
      <c r="R111">
        <f>IF(A111="","",COUNTIF('30_NGAN_HANG'!$B:$B,A111))</f>
        <v/>
      </c>
      <c r="S111">
        <f>IF(A111="","",COUNTIFS('30_NGAN_HANG'!$B:$B,A111,'30_NGAN_HANG'!$Y:$Y,"Approved"))</f>
        <v/>
      </c>
    </row>
    <row r="112">
      <c r="R112">
        <f>IF(A112="","",COUNTIF('30_NGAN_HANG'!$B:$B,A112))</f>
        <v/>
      </c>
      <c r="S112">
        <f>IF(A112="","",COUNTIFS('30_NGAN_HANG'!$B:$B,A112,'30_NGAN_HANG'!$Y:$Y,"Approved"))</f>
        <v/>
      </c>
    </row>
    <row r="113">
      <c r="R113">
        <f>IF(A113="","",COUNTIF('30_NGAN_HANG'!$B:$B,A113))</f>
        <v/>
      </c>
      <c r="S113">
        <f>IF(A113="","",COUNTIFS('30_NGAN_HANG'!$B:$B,A113,'30_NGAN_HANG'!$Y:$Y,"Approved"))</f>
        <v/>
      </c>
    </row>
    <row r="114">
      <c r="R114">
        <f>IF(A114="","",COUNTIF('30_NGAN_HANG'!$B:$B,A114))</f>
        <v/>
      </c>
      <c r="S114">
        <f>IF(A114="","",COUNTIFS('30_NGAN_HANG'!$B:$B,A114,'30_NGAN_HANG'!$Y:$Y,"Approved"))</f>
        <v/>
      </c>
    </row>
    <row r="115">
      <c r="R115">
        <f>IF(A115="","",COUNTIF('30_NGAN_HANG'!$B:$B,A115))</f>
        <v/>
      </c>
      <c r="S115">
        <f>IF(A115="","",COUNTIFS('30_NGAN_HANG'!$B:$B,A115,'30_NGAN_HANG'!$Y:$Y,"Approved"))</f>
        <v/>
      </c>
    </row>
    <row r="116">
      <c r="R116">
        <f>IF(A116="","",COUNTIF('30_NGAN_HANG'!$B:$B,A116))</f>
        <v/>
      </c>
      <c r="S116">
        <f>IF(A116="","",COUNTIFS('30_NGAN_HANG'!$B:$B,A116,'30_NGAN_HANG'!$Y:$Y,"Approved"))</f>
        <v/>
      </c>
    </row>
    <row r="117">
      <c r="R117">
        <f>IF(A117="","",COUNTIF('30_NGAN_HANG'!$B:$B,A117))</f>
        <v/>
      </c>
      <c r="S117">
        <f>IF(A117="","",COUNTIFS('30_NGAN_HANG'!$B:$B,A117,'30_NGAN_HANG'!$Y:$Y,"Approved"))</f>
        <v/>
      </c>
    </row>
    <row r="118">
      <c r="R118">
        <f>IF(A118="","",COUNTIF('30_NGAN_HANG'!$B:$B,A118))</f>
        <v/>
      </c>
      <c r="S118">
        <f>IF(A118="","",COUNTIFS('30_NGAN_HANG'!$B:$B,A118,'30_NGAN_HANG'!$Y:$Y,"Approved"))</f>
        <v/>
      </c>
    </row>
    <row r="119">
      <c r="R119">
        <f>IF(A119="","",COUNTIF('30_NGAN_HANG'!$B:$B,A119))</f>
        <v/>
      </c>
      <c r="S119">
        <f>IF(A119="","",COUNTIFS('30_NGAN_HANG'!$B:$B,A119,'30_NGAN_HANG'!$Y:$Y,"Approved"))</f>
        <v/>
      </c>
    </row>
    <row r="120">
      <c r="R120">
        <f>IF(A120="","",COUNTIF('30_NGAN_HANG'!$B:$B,A120))</f>
        <v/>
      </c>
      <c r="S120">
        <f>IF(A120="","",COUNTIFS('30_NGAN_HANG'!$B:$B,A120,'30_NGAN_HANG'!$Y:$Y,"Approved"))</f>
        <v/>
      </c>
    </row>
    <row r="121">
      <c r="R121">
        <f>IF(A121="","",COUNTIF('30_NGAN_HANG'!$B:$B,A121))</f>
        <v/>
      </c>
      <c r="S121">
        <f>IF(A121="","",COUNTIFS('30_NGAN_HANG'!$B:$B,A121,'30_NGAN_HANG'!$Y:$Y,"Approved"))</f>
        <v/>
      </c>
    </row>
    <row r="122">
      <c r="R122">
        <f>IF(A122="","",COUNTIF('30_NGAN_HANG'!$B:$B,A122))</f>
        <v/>
      </c>
      <c r="S122">
        <f>IF(A122="","",COUNTIFS('30_NGAN_HANG'!$B:$B,A122,'30_NGAN_HANG'!$Y:$Y,"Approved"))</f>
        <v/>
      </c>
    </row>
    <row r="123">
      <c r="R123">
        <f>IF(A123="","",COUNTIF('30_NGAN_HANG'!$B:$B,A123))</f>
        <v/>
      </c>
      <c r="S123">
        <f>IF(A123="","",COUNTIFS('30_NGAN_HANG'!$B:$B,A123,'30_NGAN_HANG'!$Y:$Y,"Approved"))</f>
        <v/>
      </c>
    </row>
    <row r="124">
      <c r="R124">
        <f>IF(A124="","",COUNTIF('30_NGAN_HANG'!$B:$B,A124))</f>
        <v/>
      </c>
      <c r="S124">
        <f>IF(A124="","",COUNTIFS('30_NGAN_HANG'!$B:$B,A124,'30_NGAN_HANG'!$Y:$Y,"Approved"))</f>
        <v/>
      </c>
    </row>
    <row r="125">
      <c r="R125">
        <f>IF(A125="","",COUNTIF('30_NGAN_HANG'!$B:$B,A125))</f>
        <v/>
      </c>
      <c r="S125">
        <f>IF(A125="","",COUNTIFS('30_NGAN_HANG'!$B:$B,A125,'30_NGAN_HANG'!$Y:$Y,"Approved"))</f>
        <v/>
      </c>
    </row>
    <row r="126">
      <c r="R126">
        <f>IF(A126="","",COUNTIF('30_NGAN_HANG'!$B:$B,A126))</f>
        <v/>
      </c>
      <c r="S126">
        <f>IF(A126="","",COUNTIFS('30_NGAN_HANG'!$B:$B,A126,'30_NGAN_HANG'!$Y:$Y,"Approved"))</f>
        <v/>
      </c>
    </row>
    <row r="127">
      <c r="R127">
        <f>IF(A127="","",COUNTIF('30_NGAN_HANG'!$B:$B,A127))</f>
        <v/>
      </c>
      <c r="S127">
        <f>IF(A127="","",COUNTIFS('30_NGAN_HANG'!$B:$B,A127,'30_NGAN_HANG'!$Y:$Y,"Approved"))</f>
        <v/>
      </c>
    </row>
    <row r="128">
      <c r="R128">
        <f>IF(A128="","",COUNTIF('30_NGAN_HANG'!$B:$B,A128))</f>
        <v/>
      </c>
      <c r="S128">
        <f>IF(A128="","",COUNTIFS('30_NGAN_HANG'!$B:$B,A128,'30_NGAN_HANG'!$Y:$Y,"Approved"))</f>
        <v/>
      </c>
    </row>
    <row r="129">
      <c r="R129">
        <f>IF(A129="","",COUNTIF('30_NGAN_HANG'!$B:$B,A129))</f>
        <v/>
      </c>
      <c r="S129">
        <f>IF(A129="","",COUNTIFS('30_NGAN_HANG'!$B:$B,A129,'30_NGAN_HANG'!$Y:$Y,"Approved"))</f>
        <v/>
      </c>
    </row>
    <row r="130">
      <c r="R130">
        <f>IF(A130="","",COUNTIF('30_NGAN_HANG'!$B:$B,A130))</f>
        <v/>
      </c>
      <c r="S130">
        <f>IF(A130="","",COUNTIFS('30_NGAN_HANG'!$B:$B,A130,'30_NGAN_HANG'!$Y:$Y,"Approved"))</f>
        <v/>
      </c>
    </row>
    <row r="131">
      <c r="R131">
        <f>IF(A131="","",COUNTIF('30_NGAN_HANG'!$B:$B,A131))</f>
        <v/>
      </c>
      <c r="S131">
        <f>IF(A131="","",COUNTIFS('30_NGAN_HANG'!$B:$B,A131,'30_NGAN_HANG'!$Y:$Y,"Approved"))</f>
        <v/>
      </c>
    </row>
    <row r="132">
      <c r="R132">
        <f>IF(A132="","",COUNTIF('30_NGAN_HANG'!$B:$B,A132))</f>
        <v/>
      </c>
      <c r="S132">
        <f>IF(A132="","",COUNTIFS('30_NGAN_HANG'!$B:$B,A132,'30_NGAN_HANG'!$Y:$Y,"Approved"))</f>
        <v/>
      </c>
    </row>
    <row r="133">
      <c r="R133">
        <f>IF(A133="","",COUNTIF('30_NGAN_HANG'!$B:$B,A133))</f>
        <v/>
      </c>
      <c r="S133">
        <f>IF(A133="","",COUNTIFS('30_NGAN_HANG'!$B:$B,A133,'30_NGAN_HANG'!$Y:$Y,"Approved"))</f>
        <v/>
      </c>
    </row>
    <row r="134">
      <c r="R134">
        <f>IF(A134="","",COUNTIF('30_NGAN_HANG'!$B:$B,A134))</f>
        <v/>
      </c>
      <c r="S134">
        <f>IF(A134="","",COUNTIFS('30_NGAN_HANG'!$B:$B,A134,'30_NGAN_HANG'!$Y:$Y,"Approved"))</f>
        <v/>
      </c>
    </row>
    <row r="135">
      <c r="R135">
        <f>IF(A135="","",COUNTIF('30_NGAN_HANG'!$B:$B,A135))</f>
        <v/>
      </c>
      <c r="S135">
        <f>IF(A135="","",COUNTIFS('30_NGAN_HANG'!$B:$B,A135,'30_NGAN_HANG'!$Y:$Y,"Approved"))</f>
        <v/>
      </c>
    </row>
    <row r="136">
      <c r="R136">
        <f>IF(A136="","",COUNTIF('30_NGAN_HANG'!$B:$B,A136))</f>
        <v/>
      </c>
      <c r="S136">
        <f>IF(A136="","",COUNTIFS('30_NGAN_HANG'!$B:$B,A136,'30_NGAN_HANG'!$Y:$Y,"Approved"))</f>
        <v/>
      </c>
    </row>
    <row r="137">
      <c r="R137">
        <f>IF(A137="","",COUNTIF('30_NGAN_HANG'!$B:$B,A137))</f>
        <v/>
      </c>
      <c r="S137">
        <f>IF(A137="","",COUNTIFS('30_NGAN_HANG'!$B:$B,A137,'30_NGAN_HANG'!$Y:$Y,"Approved"))</f>
        <v/>
      </c>
    </row>
    <row r="138">
      <c r="R138">
        <f>IF(A138="","",COUNTIF('30_NGAN_HANG'!$B:$B,A138))</f>
        <v/>
      </c>
      <c r="S138">
        <f>IF(A138="","",COUNTIFS('30_NGAN_HANG'!$B:$B,A138,'30_NGAN_HANG'!$Y:$Y,"Approved"))</f>
        <v/>
      </c>
    </row>
    <row r="139">
      <c r="R139">
        <f>IF(A139="","",COUNTIF('30_NGAN_HANG'!$B:$B,A139))</f>
        <v/>
      </c>
      <c r="S139">
        <f>IF(A139="","",COUNTIFS('30_NGAN_HANG'!$B:$B,A139,'30_NGAN_HANG'!$Y:$Y,"Approved"))</f>
        <v/>
      </c>
    </row>
    <row r="140">
      <c r="R140">
        <f>IF(A140="","",COUNTIF('30_NGAN_HANG'!$B:$B,A140))</f>
        <v/>
      </c>
      <c r="S140">
        <f>IF(A140="","",COUNTIFS('30_NGAN_HANG'!$B:$B,A140,'30_NGAN_HANG'!$Y:$Y,"Approved"))</f>
        <v/>
      </c>
    </row>
    <row r="141">
      <c r="R141">
        <f>IF(A141="","",COUNTIF('30_NGAN_HANG'!$B:$B,A141))</f>
        <v/>
      </c>
      <c r="S141">
        <f>IF(A141="","",COUNTIFS('30_NGAN_HANG'!$B:$B,A141,'30_NGAN_HANG'!$Y:$Y,"Approved"))</f>
        <v/>
      </c>
    </row>
    <row r="142">
      <c r="R142">
        <f>IF(A142="","",COUNTIF('30_NGAN_HANG'!$B:$B,A142))</f>
        <v/>
      </c>
      <c r="S142">
        <f>IF(A142="","",COUNTIFS('30_NGAN_HANG'!$B:$B,A142,'30_NGAN_HANG'!$Y:$Y,"Approved"))</f>
        <v/>
      </c>
    </row>
    <row r="143">
      <c r="R143">
        <f>IF(A143="","",COUNTIF('30_NGAN_HANG'!$B:$B,A143))</f>
        <v/>
      </c>
      <c r="S143">
        <f>IF(A143="","",COUNTIFS('30_NGAN_HANG'!$B:$B,A143,'30_NGAN_HANG'!$Y:$Y,"Approved"))</f>
        <v/>
      </c>
    </row>
    <row r="144">
      <c r="R144">
        <f>IF(A144="","",COUNTIF('30_NGAN_HANG'!$B:$B,A144))</f>
        <v/>
      </c>
      <c r="S144">
        <f>IF(A144="","",COUNTIFS('30_NGAN_HANG'!$B:$B,A144,'30_NGAN_HANG'!$Y:$Y,"Approved"))</f>
        <v/>
      </c>
    </row>
    <row r="145">
      <c r="R145">
        <f>IF(A145="","",COUNTIF('30_NGAN_HANG'!$B:$B,A145))</f>
        <v/>
      </c>
      <c r="S145">
        <f>IF(A145="","",COUNTIFS('30_NGAN_HANG'!$B:$B,A145,'30_NGAN_HANG'!$Y:$Y,"Approved"))</f>
        <v/>
      </c>
    </row>
    <row r="146">
      <c r="R146">
        <f>IF(A146="","",COUNTIF('30_NGAN_HANG'!$B:$B,A146))</f>
        <v/>
      </c>
      <c r="S146">
        <f>IF(A146="","",COUNTIFS('30_NGAN_HANG'!$B:$B,A146,'30_NGAN_HANG'!$Y:$Y,"Approved"))</f>
        <v/>
      </c>
    </row>
    <row r="147">
      <c r="R147">
        <f>IF(A147="","",COUNTIF('30_NGAN_HANG'!$B:$B,A147))</f>
        <v/>
      </c>
      <c r="S147">
        <f>IF(A147="","",COUNTIFS('30_NGAN_HANG'!$B:$B,A147,'30_NGAN_HANG'!$Y:$Y,"Approved"))</f>
        <v/>
      </c>
    </row>
    <row r="148">
      <c r="R148">
        <f>IF(A148="","",COUNTIF('30_NGAN_HANG'!$B:$B,A148))</f>
        <v/>
      </c>
      <c r="S148">
        <f>IF(A148="","",COUNTIFS('30_NGAN_HANG'!$B:$B,A148,'30_NGAN_HANG'!$Y:$Y,"Approved"))</f>
        <v/>
      </c>
    </row>
    <row r="149">
      <c r="R149">
        <f>IF(A149="","",COUNTIF('30_NGAN_HANG'!$B:$B,A149))</f>
        <v/>
      </c>
      <c r="S149">
        <f>IF(A149="","",COUNTIFS('30_NGAN_HANG'!$B:$B,A149,'30_NGAN_HANG'!$Y:$Y,"Approved"))</f>
        <v/>
      </c>
    </row>
    <row r="150">
      <c r="R150">
        <f>IF(A150="","",COUNTIF('30_NGAN_HANG'!$B:$B,A150))</f>
        <v/>
      </c>
      <c r="S150">
        <f>IF(A150="","",COUNTIFS('30_NGAN_HANG'!$B:$B,A150,'30_NGAN_HANG'!$Y:$Y,"Approved"))</f>
        <v/>
      </c>
    </row>
    <row r="151">
      <c r="R151">
        <f>IF(A151="","",COUNTIF('30_NGAN_HANG'!$B:$B,A151))</f>
        <v/>
      </c>
      <c r="S151">
        <f>IF(A151="","",COUNTIFS('30_NGAN_HANG'!$B:$B,A151,'30_NGAN_HANG'!$Y:$Y,"Approved"))</f>
        <v/>
      </c>
    </row>
    <row r="152">
      <c r="R152">
        <f>IF(A152="","",COUNTIF('30_NGAN_HANG'!$B:$B,A152))</f>
        <v/>
      </c>
      <c r="S152">
        <f>IF(A152="","",COUNTIFS('30_NGAN_HANG'!$B:$B,A152,'30_NGAN_HANG'!$Y:$Y,"Approved"))</f>
        <v/>
      </c>
    </row>
    <row r="153">
      <c r="R153">
        <f>IF(A153="","",COUNTIF('30_NGAN_HANG'!$B:$B,A153))</f>
        <v/>
      </c>
      <c r="S153">
        <f>IF(A153="","",COUNTIFS('30_NGAN_HANG'!$B:$B,A153,'30_NGAN_HANG'!$Y:$Y,"Approved"))</f>
        <v/>
      </c>
    </row>
    <row r="154">
      <c r="R154">
        <f>IF(A154="","",COUNTIF('30_NGAN_HANG'!$B:$B,A154))</f>
        <v/>
      </c>
      <c r="S154">
        <f>IF(A154="","",COUNTIFS('30_NGAN_HANG'!$B:$B,A154,'30_NGAN_HANG'!$Y:$Y,"Approved"))</f>
        <v/>
      </c>
    </row>
    <row r="155">
      <c r="R155">
        <f>IF(A155="","",COUNTIF('30_NGAN_HANG'!$B:$B,A155))</f>
        <v/>
      </c>
      <c r="S155">
        <f>IF(A155="","",COUNTIFS('30_NGAN_HANG'!$B:$B,A155,'30_NGAN_HANG'!$Y:$Y,"Approved"))</f>
        <v/>
      </c>
    </row>
    <row r="156">
      <c r="R156">
        <f>IF(A156="","",COUNTIF('30_NGAN_HANG'!$B:$B,A156))</f>
        <v/>
      </c>
      <c r="S156">
        <f>IF(A156="","",COUNTIFS('30_NGAN_HANG'!$B:$B,A156,'30_NGAN_HANG'!$Y:$Y,"Approved"))</f>
        <v/>
      </c>
    </row>
    <row r="157">
      <c r="R157">
        <f>IF(A157="","",COUNTIF('30_NGAN_HANG'!$B:$B,A157))</f>
        <v/>
      </c>
      <c r="S157">
        <f>IF(A157="","",COUNTIFS('30_NGAN_HANG'!$B:$B,A157,'30_NGAN_HANG'!$Y:$Y,"Approved"))</f>
        <v/>
      </c>
    </row>
    <row r="158">
      <c r="R158">
        <f>IF(A158="","",COUNTIF('30_NGAN_HANG'!$B:$B,A158))</f>
        <v/>
      </c>
      <c r="S158">
        <f>IF(A158="","",COUNTIFS('30_NGAN_HANG'!$B:$B,A158,'30_NGAN_HANG'!$Y:$Y,"Approved"))</f>
        <v/>
      </c>
    </row>
    <row r="159">
      <c r="R159">
        <f>IF(A159="","",COUNTIF('30_NGAN_HANG'!$B:$B,A159))</f>
        <v/>
      </c>
      <c r="S159">
        <f>IF(A159="","",COUNTIFS('30_NGAN_HANG'!$B:$B,A159,'30_NGAN_HANG'!$Y:$Y,"Approved"))</f>
        <v/>
      </c>
    </row>
    <row r="160">
      <c r="R160">
        <f>IF(A160="","",COUNTIF('30_NGAN_HANG'!$B:$B,A160))</f>
        <v/>
      </c>
      <c r="S160">
        <f>IF(A160="","",COUNTIFS('30_NGAN_HANG'!$B:$B,A160,'30_NGAN_HANG'!$Y:$Y,"Approved"))</f>
        <v/>
      </c>
    </row>
    <row r="161">
      <c r="R161">
        <f>IF(A161="","",COUNTIF('30_NGAN_HANG'!$B:$B,A161))</f>
        <v/>
      </c>
      <c r="S161">
        <f>IF(A161="","",COUNTIFS('30_NGAN_HANG'!$B:$B,A161,'30_NGAN_HANG'!$Y:$Y,"Approved"))</f>
        <v/>
      </c>
    </row>
    <row r="162">
      <c r="R162">
        <f>IF(A162="","",COUNTIF('30_NGAN_HANG'!$B:$B,A162))</f>
        <v/>
      </c>
      <c r="S162">
        <f>IF(A162="","",COUNTIFS('30_NGAN_HANG'!$B:$B,A162,'30_NGAN_HANG'!$Y:$Y,"Approved"))</f>
        <v/>
      </c>
    </row>
    <row r="163">
      <c r="R163">
        <f>IF(A163="","",COUNTIF('30_NGAN_HANG'!$B:$B,A163))</f>
        <v/>
      </c>
      <c r="S163">
        <f>IF(A163="","",COUNTIFS('30_NGAN_HANG'!$B:$B,A163,'30_NGAN_HANG'!$Y:$Y,"Approved"))</f>
        <v/>
      </c>
    </row>
    <row r="164">
      <c r="R164">
        <f>IF(A164="","",COUNTIF('30_NGAN_HANG'!$B:$B,A164))</f>
        <v/>
      </c>
      <c r="S164">
        <f>IF(A164="","",COUNTIFS('30_NGAN_HANG'!$B:$B,A164,'30_NGAN_HANG'!$Y:$Y,"Approved"))</f>
        <v/>
      </c>
    </row>
    <row r="165">
      <c r="R165">
        <f>IF(A165="","",COUNTIF('30_NGAN_HANG'!$B:$B,A165))</f>
        <v/>
      </c>
      <c r="S165">
        <f>IF(A165="","",COUNTIFS('30_NGAN_HANG'!$B:$B,A165,'30_NGAN_HANG'!$Y:$Y,"Approved"))</f>
        <v/>
      </c>
    </row>
    <row r="166">
      <c r="R166">
        <f>IF(A166="","",COUNTIF('30_NGAN_HANG'!$B:$B,A166))</f>
        <v/>
      </c>
      <c r="S166">
        <f>IF(A166="","",COUNTIFS('30_NGAN_HANG'!$B:$B,A166,'30_NGAN_HANG'!$Y:$Y,"Approved"))</f>
        <v/>
      </c>
    </row>
    <row r="167">
      <c r="R167">
        <f>IF(A167="","",COUNTIF('30_NGAN_HANG'!$B:$B,A167))</f>
        <v/>
      </c>
      <c r="S167">
        <f>IF(A167="","",COUNTIFS('30_NGAN_HANG'!$B:$B,A167,'30_NGAN_HANG'!$Y:$Y,"Approved"))</f>
        <v/>
      </c>
    </row>
    <row r="168">
      <c r="R168">
        <f>IF(A168="","",COUNTIF('30_NGAN_HANG'!$B:$B,A168))</f>
        <v/>
      </c>
      <c r="S168">
        <f>IF(A168="","",COUNTIFS('30_NGAN_HANG'!$B:$B,A168,'30_NGAN_HANG'!$Y:$Y,"Approved"))</f>
        <v/>
      </c>
    </row>
    <row r="169">
      <c r="R169">
        <f>IF(A169="","",COUNTIF('30_NGAN_HANG'!$B:$B,A169))</f>
        <v/>
      </c>
      <c r="S169">
        <f>IF(A169="","",COUNTIFS('30_NGAN_HANG'!$B:$B,A169,'30_NGAN_HANG'!$Y:$Y,"Approved"))</f>
        <v/>
      </c>
    </row>
    <row r="170">
      <c r="R170">
        <f>IF(A170="","",COUNTIF('30_NGAN_HANG'!$B:$B,A170))</f>
        <v/>
      </c>
      <c r="S170">
        <f>IF(A170="","",COUNTIFS('30_NGAN_HANG'!$B:$B,A170,'30_NGAN_HANG'!$Y:$Y,"Approved"))</f>
        <v/>
      </c>
    </row>
    <row r="171">
      <c r="R171">
        <f>IF(A171="","",COUNTIF('30_NGAN_HANG'!$B:$B,A171))</f>
        <v/>
      </c>
      <c r="S171">
        <f>IF(A171="","",COUNTIFS('30_NGAN_HANG'!$B:$B,A171,'30_NGAN_HANG'!$Y:$Y,"Approved"))</f>
        <v/>
      </c>
    </row>
    <row r="172">
      <c r="R172">
        <f>IF(A172="","",COUNTIF('30_NGAN_HANG'!$B:$B,A172))</f>
        <v/>
      </c>
      <c r="S172">
        <f>IF(A172="","",COUNTIFS('30_NGAN_HANG'!$B:$B,A172,'30_NGAN_HANG'!$Y:$Y,"Approved"))</f>
        <v/>
      </c>
    </row>
    <row r="173">
      <c r="R173">
        <f>IF(A173="","",COUNTIF('30_NGAN_HANG'!$B:$B,A173))</f>
        <v/>
      </c>
      <c r="S173">
        <f>IF(A173="","",COUNTIFS('30_NGAN_HANG'!$B:$B,A173,'30_NGAN_HANG'!$Y:$Y,"Approved"))</f>
        <v/>
      </c>
    </row>
    <row r="174">
      <c r="R174">
        <f>IF(A174="","",COUNTIF('30_NGAN_HANG'!$B:$B,A174))</f>
        <v/>
      </c>
      <c r="S174">
        <f>IF(A174="","",COUNTIFS('30_NGAN_HANG'!$B:$B,A174,'30_NGAN_HANG'!$Y:$Y,"Approved"))</f>
        <v/>
      </c>
    </row>
    <row r="175">
      <c r="R175">
        <f>IF(A175="","",COUNTIF('30_NGAN_HANG'!$B:$B,A175))</f>
        <v/>
      </c>
      <c r="S175">
        <f>IF(A175="","",COUNTIFS('30_NGAN_HANG'!$B:$B,A175,'30_NGAN_HANG'!$Y:$Y,"Approved"))</f>
        <v/>
      </c>
    </row>
    <row r="176">
      <c r="R176">
        <f>IF(A176="","",COUNTIF('30_NGAN_HANG'!$B:$B,A176))</f>
        <v/>
      </c>
      <c r="S176">
        <f>IF(A176="","",COUNTIFS('30_NGAN_HANG'!$B:$B,A176,'30_NGAN_HANG'!$Y:$Y,"Approved"))</f>
        <v/>
      </c>
    </row>
    <row r="177">
      <c r="R177">
        <f>IF(A177="","",COUNTIF('30_NGAN_HANG'!$B:$B,A177))</f>
        <v/>
      </c>
      <c r="S177">
        <f>IF(A177="","",COUNTIFS('30_NGAN_HANG'!$B:$B,A177,'30_NGAN_HANG'!$Y:$Y,"Approved"))</f>
        <v/>
      </c>
    </row>
    <row r="178">
      <c r="R178">
        <f>IF(A178="","",COUNTIF('30_NGAN_HANG'!$B:$B,A178))</f>
        <v/>
      </c>
      <c r="S178">
        <f>IF(A178="","",COUNTIFS('30_NGAN_HANG'!$B:$B,A178,'30_NGAN_HANG'!$Y:$Y,"Approved"))</f>
        <v/>
      </c>
    </row>
    <row r="179">
      <c r="R179">
        <f>IF(A179="","",COUNTIF('30_NGAN_HANG'!$B:$B,A179))</f>
        <v/>
      </c>
      <c r="S179">
        <f>IF(A179="","",COUNTIFS('30_NGAN_HANG'!$B:$B,A179,'30_NGAN_HANG'!$Y:$Y,"Approved"))</f>
        <v/>
      </c>
    </row>
    <row r="180">
      <c r="R180">
        <f>IF(A180="","",COUNTIF('30_NGAN_HANG'!$B:$B,A180))</f>
        <v/>
      </c>
      <c r="S180">
        <f>IF(A180="","",COUNTIFS('30_NGAN_HANG'!$B:$B,A180,'30_NGAN_HANG'!$Y:$Y,"Approved"))</f>
        <v/>
      </c>
    </row>
    <row r="181">
      <c r="R181">
        <f>IF(A181="","",COUNTIF('30_NGAN_HANG'!$B:$B,A181))</f>
        <v/>
      </c>
      <c r="S181">
        <f>IF(A181="","",COUNTIFS('30_NGAN_HANG'!$B:$B,A181,'30_NGAN_HANG'!$Y:$Y,"Approved"))</f>
        <v/>
      </c>
    </row>
    <row r="182">
      <c r="R182">
        <f>IF(A182="","",COUNTIF('30_NGAN_HANG'!$B:$B,A182))</f>
        <v/>
      </c>
      <c r="S182">
        <f>IF(A182="","",COUNTIFS('30_NGAN_HANG'!$B:$B,A182,'30_NGAN_HANG'!$Y:$Y,"Approved"))</f>
        <v/>
      </c>
    </row>
    <row r="183">
      <c r="R183">
        <f>IF(A183="","",COUNTIF('30_NGAN_HANG'!$B:$B,A183))</f>
        <v/>
      </c>
      <c r="S183">
        <f>IF(A183="","",COUNTIFS('30_NGAN_HANG'!$B:$B,A183,'30_NGAN_HANG'!$Y:$Y,"Approved"))</f>
        <v/>
      </c>
    </row>
    <row r="184">
      <c r="R184">
        <f>IF(A184="","",COUNTIF('30_NGAN_HANG'!$B:$B,A184))</f>
        <v/>
      </c>
      <c r="S184">
        <f>IF(A184="","",COUNTIFS('30_NGAN_HANG'!$B:$B,A184,'30_NGAN_HANG'!$Y:$Y,"Approved"))</f>
        <v/>
      </c>
    </row>
    <row r="185">
      <c r="R185">
        <f>IF(A185="","",COUNTIF('30_NGAN_HANG'!$B:$B,A185))</f>
        <v/>
      </c>
      <c r="S185">
        <f>IF(A185="","",COUNTIFS('30_NGAN_HANG'!$B:$B,A185,'30_NGAN_HANG'!$Y:$Y,"Approved"))</f>
        <v/>
      </c>
    </row>
    <row r="186">
      <c r="R186">
        <f>IF(A186="","",COUNTIF('30_NGAN_HANG'!$B:$B,A186))</f>
        <v/>
      </c>
      <c r="S186">
        <f>IF(A186="","",COUNTIFS('30_NGAN_HANG'!$B:$B,A186,'30_NGAN_HANG'!$Y:$Y,"Approved"))</f>
        <v/>
      </c>
    </row>
    <row r="187">
      <c r="R187">
        <f>IF(A187="","",COUNTIF('30_NGAN_HANG'!$B:$B,A187))</f>
        <v/>
      </c>
      <c r="S187">
        <f>IF(A187="","",COUNTIFS('30_NGAN_HANG'!$B:$B,A187,'30_NGAN_HANG'!$Y:$Y,"Approved"))</f>
        <v/>
      </c>
    </row>
    <row r="188">
      <c r="R188">
        <f>IF(A188="","",COUNTIF('30_NGAN_HANG'!$B:$B,A188))</f>
        <v/>
      </c>
      <c r="S188">
        <f>IF(A188="","",COUNTIFS('30_NGAN_HANG'!$B:$B,A188,'30_NGAN_HANG'!$Y:$Y,"Approved"))</f>
        <v/>
      </c>
    </row>
    <row r="189">
      <c r="R189">
        <f>IF(A189="","",COUNTIF('30_NGAN_HANG'!$B:$B,A189))</f>
        <v/>
      </c>
      <c r="S189">
        <f>IF(A189="","",COUNTIFS('30_NGAN_HANG'!$B:$B,A189,'30_NGAN_HANG'!$Y:$Y,"Approved"))</f>
        <v/>
      </c>
    </row>
    <row r="190">
      <c r="R190">
        <f>IF(A190="","",COUNTIF('30_NGAN_HANG'!$B:$B,A190))</f>
        <v/>
      </c>
      <c r="S190">
        <f>IF(A190="","",COUNTIFS('30_NGAN_HANG'!$B:$B,A190,'30_NGAN_HANG'!$Y:$Y,"Approved"))</f>
        <v/>
      </c>
    </row>
    <row r="191">
      <c r="R191">
        <f>IF(A191="","",COUNTIF('30_NGAN_HANG'!$B:$B,A191))</f>
        <v/>
      </c>
      <c r="S191">
        <f>IF(A191="","",COUNTIFS('30_NGAN_HANG'!$B:$B,A191,'30_NGAN_HANG'!$Y:$Y,"Approved"))</f>
        <v/>
      </c>
    </row>
    <row r="192">
      <c r="R192">
        <f>IF(A192="","",COUNTIF('30_NGAN_HANG'!$B:$B,A192))</f>
        <v/>
      </c>
      <c r="S192">
        <f>IF(A192="","",COUNTIFS('30_NGAN_HANG'!$B:$B,A192,'30_NGAN_HANG'!$Y:$Y,"Approved"))</f>
        <v/>
      </c>
    </row>
    <row r="193">
      <c r="R193">
        <f>IF(A193="","",COUNTIF('30_NGAN_HANG'!$B:$B,A193))</f>
        <v/>
      </c>
      <c r="S193">
        <f>IF(A193="","",COUNTIFS('30_NGAN_HANG'!$B:$B,A193,'30_NGAN_HANG'!$Y:$Y,"Approved"))</f>
        <v/>
      </c>
    </row>
    <row r="194">
      <c r="R194">
        <f>IF(A194="","",COUNTIF('30_NGAN_HANG'!$B:$B,A194))</f>
        <v/>
      </c>
      <c r="S194">
        <f>IF(A194="","",COUNTIFS('30_NGAN_HANG'!$B:$B,A194,'30_NGAN_HANG'!$Y:$Y,"Approved"))</f>
        <v/>
      </c>
    </row>
    <row r="195">
      <c r="R195">
        <f>IF(A195="","",COUNTIF('30_NGAN_HANG'!$B:$B,A195))</f>
        <v/>
      </c>
      <c r="S195">
        <f>IF(A195="","",COUNTIFS('30_NGAN_HANG'!$B:$B,A195,'30_NGAN_HANG'!$Y:$Y,"Approved"))</f>
        <v/>
      </c>
    </row>
    <row r="196">
      <c r="R196">
        <f>IF(A196="","",COUNTIF('30_NGAN_HANG'!$B:$B,A196))</f>
        <v/>
      </c>
      <c r="S196">
        <f>IF(A196="","",COUNTIFS('30_NGAN_HANG'!$B:$B,A196,'30_NGAN_HANG'!$Y:$Y,"Approved"))</f>
        <v/>
      </c>
    </row>
    <row r="197">
      <c r="R197">
        <f>IF(A197="","",COUNTIF('30_NGAN_HANG'!$B:$B,A197))</f>
        <v/>
      </c>
      <c r="S197">
        <f>IF(A197="","",COUNTIFS('30_NGAN_HANG'!$B:$B,A197,'30_NGAN_HANG'!$Y:$Y,"Approved"))</f>
        <v/>
      </c>
    </row>
    <row r="198">
      <c r="R198">
        <f>IF(A198="","",COUNTIF('30_NGAN_HANG'!$B:$B,A198))</f>
        <v/>
      </c>
      <c r="S198">
        <f>IF(A198="","",COUNTIFS('30_NGAN_HANG'!$B:$B,A198,'30_NGAN_HANG'!$Y:$Y,"Approved"))</f>
        <v/>
      </c>
    </row>
    <row r="199">
      <c r="R199">
        <f>IF(A199="","",COUNTIF('30_NGAN_HANG'!$B:$B,A199))</f>
        <v/>
      </c>
      <c r="S199">
        <f>IF(A199="","",COUNTIFS('30_NGAN_HANG'!$B:$B,A199,'30_NGAN_HANG'!$Y:$Y,"Approved"))</f>
        <v/>
      </c>
    </row>
    <row r="200">
      <c r="R200">
        <f>IF(A200="","",COUNTIF('30_NGAN_HANG'!$B:$B,A200))</f>
        <v/>
      </c>
      <c r="S200">
        <f>IF(A200="","",COUNTIFS('30_NGAN_HANG'!$B:$B,A200,'30_NGAN_HANG'!$Y:$Y,"Approved"))</f>
        <v/>
      </c>
    </row>
    <row r="201">
      <c r="R201">
        <f>IF(A201="","",COUNTIF('30_NGAN_HANG'!$B:$B,A201))</f>
        <v/>
      </c>
      <c r="S201">
        <f>IF(A201="","",COUNTIFS('30_NGAN_HANG'!$B:$B,A201,'30_NGAN_HANG'!$Y:$Y,"Approved"))</f>
        <v/>
      </c>
    </row>
    <row r="202">
      <c r="R202">
        <f>IF(A202="","",COUNTIF('30_NGAN_HANG'!$B:$B,A202))</f>
        <v/>
      </c>
      <c r="S202">
        <f>IF(A202="","",COUNTIFS('30_NGAN_HANG'!$B:$B,A202,'30_NGAN_HANG'!$Y:$Y,"Approved"))</f>
        <v/>
      </c>
    </row>
    <row r="203">
      <c r="R203">
        <f>IF(A203="","",COUNTIF('30_NGAN_HANG'!$B:$B,A203))</f>
        <v/>
      </c>
      <c r="S203">
        <f>IF(A203="","",COUNTIFS('30_NGAN_HANG'!$B:$B,A203,'30_NGAN_HANG'!$Y:$Y,"Approved"))</f>
        <v/>
      </c>
    </row>
    <row r="204">
      <c r="R204">
        <f>IF(A204="","",COUNTIF('30_NGAN_HANG'!$B:$B,A204))</f>
        <v/>
      </c>
      <c r="S204">
        <f>IF(A204="","",COUNTIFS('30_NGAN_HANG'!$B:$B,A204,'30_NGAN_HANG'!$Y:$Y,"Approved"))</f>
        <v/>
      </c>
    </row>
    <row r="205">
      <c r="R205">
        <f>IF(A205="","",COUNTIF('30_NGAN_HANG'!$B:$B,A205))</f>
        <v/>
      </c>
      <c r="S205">
        <f>IF(A205="","",COUNTIFS('30_NGAN_HANG'!$B:$B,A205,'30_NGAN_HANG'!$Y:$Y,"Approved"))</f>
        <v/>
      </c>
    </row>
    <row r="206">
      <c r="R206">
        <f>IF(A206="","",COUNTIF('30_NGAN_HANG'!$B:$B,A206))</f>
        <v/>
      </c>
      <c r="S206">
        <f>IF(A206="","",COUNTIFS('30_NGAN_HANG'!$B:$B,A206,'30_NGAN_HANG'!$Y:$Y,"Approved"))</f>
        <v/>
      </c>
    </row>
    <row r="207">
      <c r="R207">
        <f>IF(A207="","",COUNTIF('30_NGAN_HANG'!$B:$B,A207))</f>
        <v/>
      </c>
      <c r="S207">
        <f>IF(A207="","",COUNTIFS('30_NGAN_HANG'!$B:$B,A207,'30_NGAN_HANG'!$Y:$Y,"Approved"))</f>
        <v/>
      </c>
    </row>
    <row r="208">
      <c r="R208">
        <f>IF(A208="","",COUNTIF('30_NGAN_HANG'!$B:$B,A208))</f>
        <v/>
      </c>
      <c r="S208">
        <f>IF(A208="","",COUNTIFS('30_NGAN_HANG'!$B:$B,A208,'30_NGAN_HANG'!$Y:$Y,"Approved"))</f>
        <v/>
      </c>
    </row>
    <row r="209">
      <c r="R209">
        <f>IF(A209="","",COUNTIF('30_NGAN_HANG'!$B:$B,A209))</f>
        <v/>
      </c>
      <c r="S209">
        <f>IF(A209="","",COUNTIFS('30_NGAN_HANG'!$B:$B,A209,'30_NGAN_HANG'!$Y:$Y,"Approved"))</f>
        <v/>
      </c>
    </row>
    <row r="210">
      <c r="R210">
        <f>IF(A210="","",COUNTIF('30_NGAN_HANG'!$B:$B,A210))</f>
        <v/>
      </c>
      <c r="S210">
        <f>IF(A210="","",COUNTIFS('30_NGAN_HANG'!$B:$B,A210,'30_NGAN_HANG'!$Y:$Y,"Approved"))</f>
        <v/>
      </c>
    </row>
    <row r="211">
      <c r="R211">
        <f>IF(A211="","",COUNTIF('30_NGAN_HANG'!$B:$B,A211))</f>
        <v/>
      </c>
      <c r="S211">
        <f>IF(A211="","",COUNTIFS('30_NGAN_HANG'!$B:$B,A211,'30_NGAN_HANG'!$Y:$Y,"Approved"))</f>
        <v/>
      </c>
    </row>
    <row r="212">
      <c r="R212">
        <f>IF(A212="","",COUNTIF('30_NGAN_HANG'!$B:$B,A212))</f>
        <v/>
      </c>
      <c r="S212">
        <f>IF(A212="","",COUNTIFS('30_NGAN_HANG'!$B:$B,A212,'30_NGAN_HANG'!$Y:$Y,"Approved"))</f>
        <v/>
      </c>
    </row>
    <row r="213">
      <c r="R213">
        <f>IF(A213="","",COUNTIF('30_NGAN_HANG'!$B:$B,A213))</f>
        <v/>
      </c>
      <c r="S213">
        <f>IF(A213="","",COUNTIFS('30_NGAN_HANG'!$B:$B,A213,'30_NGAN_HANG'!$Y:$Y,"Approved"))</f>
        <v/>
      </c>
    </row>
    <row r="214">
      <c r="R214">
        <f>IF(A214="","",COUNTIF('30_NGAN_HANG'!$B:$B,A214))</f>
        <v/>
      </c>
      <c r="S214">
        <f>IF(A214="","",COUNTIFS('30_NGAN_HANG'!$B:$B,A214,'30_NGAN_HANG'!$Y:$Y,"Approved"))</f>
        <v/>
      </c>
    </row>
    <row r="215">
      <c r="R215">
        <f>IF(A215="","",COUNTIF('30_NGAN_HANG'!$B:$B,A215))</f>
        <v/>
      </c>
      <c r="S215">
        <f>IF(A215="","",COUNTIFS('30_NGAN_HANG'!$B:$B,A215,'30_NGAN_HANG'!$Y:$Y,"Approved"))</f>
        <v/>
      </c>
    </row>
    <row r="216">
      <c r="R216">
        <f>IF(A216="","",COUNTIF('30_NGAN_HANG'!$B:$B,A216))</f>
        <v/>
      </c>
      <c r="S216">
        <f>IF(A216="","",COUNTIFS('30_NGAN_HANG'!$B:$B,A216,'30_NGAN_HANG'!$Y:$Y,"Approved"))</f>
        <v/>
      </c>
    </row>
    <row r="217">
      <c r="R217">
        <f>IF(A217="","",COUNTIF('30_NGAN_HANG'!$B:$B,A217))</f>
        <v/>
      </c>
      <c r="S217">
        <f>IF(A217="","",COUNTIFS('30_NGAN_HANG'!$B:$B,A217,'30_NGAN_HANG'!$Y:$Y,"Approved"))</f>
        <v/>
      </c>
    </row>
    <row r="218">
      <c r="R218">
        <f>IF(A218="","",COUNTIF('30_NGAN_HANG'!$B:$B,A218))</f>
        <v/>
      </c>
      <c r="S218">
        <f>IF(A218="","",COUNTIFS('30_NGAN_HANG'!$B:$B,A218,'30_NGAN_HANG'!$Y:$Y,"Approved"))</f>
        <v/>
      </c>
    </row>
    <row r="219">
      <c r="R219">
        <f>IF(A219="","",COUNTIF('30_NGAN_HANG'!$B:$B,A219))</f>
        <v/>
      </c>
      <c r="S219">
        <f>IF(A219="","",COUNTIFS('30_NGAN_HANG'!$B:$B,A219,'30_NGAN_HANG'!$Y:$Y,"Approved"))</f>
        <v/>
      </c>
    </row>
    <row r="220">
      <c r="R220">
        <f>IF(A220="","",COUNTIF('30_NGAN_HANG'!$B:$B,A220))</f>
        <v/>
      </c>
      <c r="S220">
        <f>IF(A220="","",COUNTIFS('30_NGAN_HANG'!$B:$B,A220,'30_NGAN_HANG'!$Y:$Y,"Approved"))</f>
        <v/>
      </c>
    </row>
    <row r="221">
      <c r="R221">
        <f>IF(A221="","",COUNTIF('30_NGAN_HANG'!$B:$B,A221))</f>
        <v/>
      </c>
      <c r="S221">
        <f>IF(A221="","",COUNTIFS('30_NGAN_HANG'!$B:$B,A221,'30_NGAN_HANG'!$Y:$Y,"Approved"))</f>
        <v/>
      </c>
    </row>
    <row r="222">
      <c r="R222">
        <f>IF(A222="","",COUNTIF('30_NGAN_HANG'!$B:$B,A222))</f>
        <v/>
      </c>
      <c r="S222">
        <f>IF(A222="","",COUNTIFS('30_NGAN_HANG'!$B:$B,A222,'30_NGAN_HANG'!$Y:$Y,"Approved"))</f>
        <v/>
      </c>
    </row>
    <row r="223">
      <c r="R223">
        <f>IF(A223="","",COUNTIF('30_NGAN_HANG'!$B:$B,A223))</f>
        <v/>
      </c>
      <c r="S223">
        <f>IF(A223="","",COUNTIFS('30_NGAN_HANG'!$B:$B,A223,'30_NGAN_HANG'!$Y:$Y,"Approved"))</f>
        <v/>
      </c>
    </row>
    <row r="224">
      <c r="R224">
        <f>IF(A224="","",COUNTIF('30_NGAN_HANG'!$B:$B,A224))</f>
        <v/>
      </c>
      <c r="S224">
        <f>IF(A224="","",COUNTIFS('30_NGAN_HANG'!$B:$B,A224,'30_NGAN_HANG'!$Y:$Y,"Approved"))</f>
        <v/>
      </c>
    </row>
    <row r="225">
      <c r="R225">
        <f>IF(A225="","",COUNTIF('30_NGAN_HANG'!$B:$B,A225))</f>
        <v/>
      </c>
      <c r="S225">
        <f>IF(A225="","",COUNTIFS('30_NGAN_HANG'!$B:$B,A225,'30_NGAN_HANG'!$Y:$Y,"Approved"))</f>
        <v/>
      </c>
    </row>
    <row r="226">
      <c r="R226">
        <f>IF(A226="","",COUNTIF('30_NGAN_HANG'!$B:$B,A226))</f>
        <v/>
      </c>
      <c r="S226">
        <f>IF(A226="","",COUNTIFS('30_NGAN_HANG'!$B:$B,A226,'30_NGAN_HANG'!$Y:$Y,"Approved"))</f>
        <v/>
      </c>
    </row>
    <row r="227">
      <c r="R227">
        <f>IF(A227="","",COUNTIF('30_NGAN_HANG'!$B:$B,A227))</f>
        <v/>
      </c>
      <c r="S227">
        <f>IF(A227="","",COUNTIFS('30_NGAN_HANG'!$B:$B,A227,'30_NGAN_HANG'!$Y:$Y,"Approved"))</f>
        <v/>
      </c>
    </row>
    <row r="228">
      <c r="R228">
        <f>IF(A228="","",COUNTIF('30_NGAN_HANG'!$B:$B,A228))</f>
        <v/>
      </c>
      <c r="S228">
        <f>IF(A228="","",COUNTIFS('30_NGAN_HANG'!$B:$B,A228,'30_NGAN_HANG'!$Y:$Y,"Approved"))</f>
        <v/>
      </c>
    </row>
    <row r="229">
      <c r="R229">
        <f>IF(A229="","",COUNTIF('30_NGAN_HANG'!$B:$B,A229))</f>
        <v/>
      </c>
      <c r="S229">
        <f>IF(A229="","",COUNTIFS('30_NGAN_HANG'!$B:$B,A229,'30_NGAN_HANG'!$Y:$Y,"Approved"))</f>
        <v/>
      </c>
    </row>
    <row r="230">
      <c r="R230">
        <f>IF(A230="","",COUNTIF('30_NGAN_HANG'!$B:$B,A230))</f>
        <v/>
      </c>
      <c r="S230">
        <f>IF(A230="","",COUNTIFS('30_NGAN_HANG'!$B:$B,A230,'30_NGAN_HANG'!$Y:$Y,"Approved"))</f>
        <v/>
      </c>
    </row>
    <row r="231">
      <c r="R231">
        <f>IF(A231="","",COUNTIF('30_NGAN_HANG'!$B:$B,A231))</f>
        <v/>
      </c>
      <c r="S231">
        <f>IF(A231="","",COUNTIFS('30_NGAN_HANG'!$B:$B,A231,'30_NGAN_HANG'!$Y:$Y,"Approved"))</f>
        <v/>
      </c>
    </row>
    <row r="232">
      <c r="R232">
        <f>IF(A232="","",COUNTIF('30_NGAN_HANG'!$B:$B,A232))</f>
        <v/>
      </c>
      <c r="S232">
        <f>IF(A232="","",COUNTIFS('30_NGAN_HANG'!$B:$B,A232,'30_NGAN_HANG'!$Y:$Y,"Approved"))</f>
        <v/>
      </c>
    </row>
    <row r="233">
      <c r="R233">
        <f>IF(A233="","",COUNTIF('30_NGAN_HANG'!$B:$B,A233))</f>
        <v/>
      </c>
      <c r="S233">
        <f>IF(A233="","",COUNTIFS('30_NGAN_HANG'!$B:$B,A233,'30_NGAN_HANG'!$Y:$Y,"Approved"))</f>
        <v/>
      </c>
    </row>
    <row r="234">
      <c r="R234">
        <f>IF(A234="","",COUNTIF('30_NGAN_HANG'!$B:$B,A234))</f>
        <v/>
      </c>
      <c r="S234">
        <f>IF(A234="","",COUNTIFS('30_NGAN_HANG'!$B:$B,A234,'30_NGAN_HANG'!$Y:$Y,"Approved"))</f>
        <v/>
      </c>
    </row>
    <row r="235">
      <c r="R235">
        <f>IF(A235="","",COUNTIF('30_NGAN_HANG'!$B:$B,A235))</f>
        <v/>
      </c>
      <c r="S235">
        <f>IF(A235="","",COUNTIFS('30_NGAN_HANG'!$B:$B,A235,'30_NGAN_HANG'!$Y:$Y,"Approved"))</f>
        <v/>
      </c>
    </row>
    <row r="236">
      <c r="R236">
        <f>IF(A236="","",COUNTIF('30_NGAN_HANG'!$B:$B,A236))</f>
        <v/>
      </c>
      <c r="S236">
        <f>IF(A236="","",COUNTIFS('30_NGAN_HANG'!$B:$B,A236,'30_NGAN_HANG'!$Y:$Y,"Approved"))</f>
        <v/>
      </c>
    </row>
    <row r="237">
      <c r="R237">
        <f>IF(A237="","",COUNTIF('30_NGAN_HANG'!$B:$B,A237))</f>
        <v/>
      </c>
      <c r="S237">
        <f>IF(A237="","",COUNTIFS('30_NGAN_HANG'!$B:$B,A237,'30_NGAN_HANG'!$Y:$Y,"Approved"))</f>
        <v/>
      </c>
    </row>
    <row r="238">
      <c r="R238">
        <f>IF(A238="","",COUNTIF('30_NGAN_HANG'!$B:$B,A238))</f>
        <v/>
      </c>
      <c r="S238">
        <f>IF(A238="","",COUNTIFS('30_NGAN_HANG'!$B:$B,A238,'30_NGAN_HANG'!$Y:$Y,"Approved"))</f>
        <v/>
      </c>
    </row>
    <row r="239">
      <c r="R239">
        <f>IF(A239="","",COUNTIF('30_NGAN_HANG'!$B:$B,A239))</f>
        <v/>
      </c>
      <c r="S239">
        <f>IF(A239="","",COUNTIFS('30_NGAN_HANG'!$B:$B,A239,'30_NGAN_HANG'!$Y:$Y,"Approved"))</f>
        <v/>
      </c>
    </row>
    <row r="240">
      <c r="R240">
        <f>IF(A240="","",COUNTIF('30_NGAN_HANG'!$B:$B,A240))</f>
        <v/>
      </c>
      <c r="S240">
        <f>IF(A240="","",COUNTIFS('30_NGAN_HANG'!$B:$B,A240,'30_NGAN_HANG'!$Y:$Y,"Approved"))</f>
        <v/>
      </c>
    </row>
    <row r="241">
      <c r="R241">
        <f>IF(A241="","",COUNTIF('30_NGAN_HANG'!$B:$B,A241))</f>
        <v/>
      </c>
      <c r="S241">
        <f>IF(A241="","",COUNTIFS('30_NGAN_HANG'!$B:$B,A241,'30_NGAN_HANG'!$Y:$Y,"Approved"))</f>
        <v/>
      </c>
    </row>
    <row r="242">
      <c r="R242">
        <f>IF(A242="","",COUNTIF('30_NGAN_HANG'!$B:$B,A242))</f>
        <v/>
      </c>
      <c r="S242">
        <f>IF(A242="","",COUNTIFS('30_NGAN_HANG'!$B:$B,A242,'30_NGAN_HANG'!$Y:$Y,"Approved"))</f>
        <v/>
      </c>
    </row>
    <row r="243">
      <c r="R243">
        <f>IF(A243="","",COUNTIF('30_NGAN_HANG'!$B:$B,A243))</f>
        <v/>
      </c>
      <c r="S243">
        <f>IF(A243="","",COUNTIFS('30_NGAN_HANG'!$B:$B,A243,'30_NGAN_HANG'!$Y:$Y,"Approved"))</f>
        <v/>
      </c>
    </row>
    <row r="244">
      <c r="R244">
        <f>IF(A244="","",COUNTIF('30_NGAN_HANG'!$B:$B,A244))</f>
        <v/>
      </c>
      <c r="S244">
        <f>IF(A244="","",COUNTIFS('30_NGAN_HANG'!$B:$B,A244,'30_NGAN_HANG'!$Y:$Y,"Approved"))</f>
        <v/>
      </c>
    </row>
    <row r="245">
      <c r="R245">
        <f>IF(A245="","",COUNTIF('30_NGAN_HANG'!$B:$B,A245))</f>
        <v/>
      </c>
      <c r="S245">
        <f>IF(A245="","",COUNTIFS('30_NGAN_HANG'!$B:$B,A245,'30_NGAN_HANG'!$Y:$Y,"Approved"))</f>
        <v/>
      </c>
    </row>
    <row r="246">
      <c r="R246">
        <f>IF(A246="","",COUNTIF('30_NGAN_HANG'!$B:$B,A246))</f>
        <v/>
      </c>
      <c r="S246">
        <f>IF(A246="","",COUNTIFS('30_NGAN_HANG'!$B:$B,A246,'30_NGAN_HANG'!$Y:$Y,"Approved"))</f>
        <v/>
      </c>
    </row>
    <row r="247">
      <c r="R247">
        <f>IF(A247="","",COUNTIF('30_NGAN_HANG'!$B:$B,A247))</f>
        <v/>
      </c>
      <c r="S247">
        <f>IF(A247="","",COUNTIFS('30_NGAN_HANG'!$B:$B,A247,'30_NGAN_HANG'!$Y:$Y,"Approved"))</f>
        <v/>
      </c>
    </row>
    <row r="248">
      <c r="R248">
        <f>IF(A248="","",COUNTIF('30_NGAN_HANG'!$B:$B,A248))</f>
        <v/>
      </c>
      <c r="S248">
        <f>IF(A248="","",COUNTIFS('30_NGAN_HANG'!$B:$B,A248,'30_NGAN_HANG'!$Y:$Y,"Approved"))</f>
        <v/>
      </c>
    </row>
    <row r="249">
      <c r="R249">
        <f>IF(A249="","",COUNTIF('30_NGAN_HANG'!$B:$B,A249))</f>
        <v/>
      </c>
      <c r="S249">
        <f>IF(A249="","",COUNTIFS('30_NGAN_HANG'!$B:$B,A249,'30_NGAN_HANG'!$Y:$Y,"Approved"))</f>
        <v/>
      </c>
    </row>
    <row r="250">
      <c r="R250">
        <f>IF(A250="","",COUNTIF('30_NGAN_HANG'!$B:$B,A250))</f>
        <v/>
      </c>
      <c r="S250">
        <f>IF(A250="","",COUNTIFS('30_NGAN_HANG'!$B:$B,A250,'30_NGAN_HANG'!$Y:$Y,"Approved"))</f>
        <v/>
      </c>
    </row>
    <row r="251">
      <c r="R251">
        <f>IF(A251="","",COUNTIF('30_NGAN_HANG'!$B:$B,A251))</f>
        <v/>
      </c>
      <c r="S251">
        <f>IF(A251="","",COUNTIFS('30_NGAN_HANG'!$B:$B,A251,'30_NGAN_HANG'!$Y:$Y,"Approved"))</f>
        <v/>
      </c>
    </row>
    <row r="252">
      <c r="R252">
        <f>IF(A252="","",COUNTIF('30_NGAN_HANG'!$B:$B,A252))</f>
        <v/>
      </c>
      <c r="S252">
        <f>IF(A252="","",COUNTIFS('30_NGAN_HANG'!$B:$B,A252,'30_NGAN_HANG'!$Y:$Y,"Approved"))</f>
        <v/>
      </c>
    </row>
    <row r="253">
      <c r="R253">
        <f>IF(A253="","",COUNTIF('30_NGAN_HANG'!$B:$B,A253))</f>
        <v/>
      </c>
      <c r="S253">
        <f>IF(A253="","",COUNTIFS('30_NGAN_HANG'!$B:$B,A253,'30_NGAN_HANG'!$Y:$Y,"Approved"))</f>
        <v/>
      </c>
    </row>
    <row r="254">
      <c r="R254">
        <f>IF(A254="","",COUNTIF('30_NGAN_HANG'!$B:$B,A254))</f>
        <v/>
      </c>
      <c r="S254">
        <f>IF(A254="","",COUNTIFS('30_NGAN_HANG'!$B:$B,A254,'30_NGAN_HANG'!$Y:$Y,"Approved"))</f>
        <v/>
      </c>
    </row>
    <row r="255">
      <c r="R255">
        <f>IF(A255="","",COUNTIF('30_NGAN_HANG'!$B:$B,A255))</f>
        <v/>
      </c>
      <c r="S255">
        <f>IF(A255="","",COUNTIFS('30_NGAN_HANG'!$B:$B,A255,'30_NGAN_HANG'!$Y:$Y,"Approved"))</f>
        <v/>
      </c>
    </row>
    <row r="256">
      <c r="R256">
        <f>IF(A256="","",COUNTIF('30_NGAN_HANG'!$B:$B,A256))</f>
        <v/>
      </c>
      <c r="S256">
        <f>IF(A256="","",COUNTIFS('30_NGAN_HANG'!$B:$B,A256,'30_NGAN_HANG'!$Y:$Y,"Approved"))</f>
        <v/>
      </c>
    </row>
    <row r="257">
      <c r="R257">
        <f>IF(A257="","",COUNTIF('30_NGAN_HANG'!$B:$B,A257))</f>
        <v/>
      </c>
      <c r="S257">
        <f>IF(A257="","",COUNTIFS('30_NGAN_HANG'!$B:$B,A257,'30_NGAN_HANG'!$Y:$Y,"Approved"))</f>
        <v/>
      </c>
    </row>
    <row r="258">
      <c r="R258">
        <f>IF(A258="","",COUNTIF('30_NGAN_HANG'!$B:$B,A258))</f>
        <v/>
      </c>
      <c r="S258">
        <f>IF(A258="","",COUNTIFS('30_NGAN_HANG'!$B:$B,A258,'30_NGAN_HANG'!$Y:$Y,"Approved"))</f>
        <v/>
      </c>
    </row>
    <row r="259">
      <c r="R259">
        <f>IF(A259="","",COUNTIF('30_NGAN_HANG'!$B:$B,A259))</f>
        <v/>
      </c>
      <c r="S259">
        <f>IF(A259="","",COUNTIFS('30_NGAN_HANG'!$B:$B,A259,'30_NGAN_HANG'!$Y:$Y,"Approved"))</f>
        <v/>
      </c>
    </row>
    <row r="260">
      <c r="R260">
        <f>IF(A260="","",COUNTIF('30_NGAN_HANG'!$B:$B,A260))</f>
        <v/>
      </c>
      <c r="S260">
        <f>IF(A260="","",COUNTIFS('30_NGAN_HANG'!$B:$B,A260,'30_NGAN_HANG'!$Y:$Y,"Approved"))</f>
        <v/>
      </c>
    </row>
    <row r="261">
      <c r="R261">
        <f>IF(A261="","",COUNTIF('30_NGAN_HANG'!$B:$B,A261))</f>
        <v/>
      </c>
      <c r="S261">
        <f>IF(A261="","",COUNTIFS('30_NGAN_HANG'!$B:$B,A261,'30_NGAN_HANG'!$Y:$Y,"Approved"))</f>
        <v/>
      </c>
    </row>
    <row r="262">
      <c r="R262">
        <f>IF(A262="","",COUNTIF('30_NGAN_HANG'!$B:$B,A262))</f>
        <v/>
      </c>
      <c r="S262">
        <f>IF(A262="","",COUNTIFS('30_NGAN_HANG'!$B:$B,A262,'30_NGAN_HANG'!$Y:$Y,"Approved"))</f>
        <v/>
      </c>
    </row>
    <row r="263">
      <c r="R263">
        <f>IF(A263="","",COUNTIF('30_NGAN_HANG'!$B:$B,A263))</f>
        <v/>
      </c>
      <c r="S263">
        <f>IF(A263="","",COUNTIFS('30_NGAN_HANG'!$B:$B,A263,'30_NGAN_HANG'!$Y:$Y,"Approved"))</f>
        <v/>
      </c>
    </row>
    <row r="264">
      <c r="R264">
        <f>IF(A264="","",COUNTIF('30_NGAN_HANG'!$B:$B,A264))</f>
        <v/>
      </c>
      <c r="S264">
        <f>IF(A264="","",COUNTIFS('30_NGAN_HANG'!$B:$B,A264,'30_NGAN_HANG'!$Y:$Y,"Approved"))</f>
        <v/>
      </c>
    </row>
    <row r="265">
      <c r="R265">
        <f>IF(A265="","",COUNTIF('30_NGAN_HANG'!$B:$B,A265))</f>
        <v/>
      </c>
      <c r="S265">
        <f>IF(A265="","",COUNTIFS('30_NGAN_HANG'!$B:$B,A265,'30_NGAN_HANG'!$Y:$Y,"Approved"))</f>
        <v/>
      </c>
    </row>
    <row r="266">
      <c r="R266">
        <f>IF(A266="","",COUNTIF('30_NGAN_HANG'!$B:$B,A266))</f>
        <v/>
      </c>
      <c r="S266">
        <f>IF(A266="","",COUNTIFS('30_NGAN_HANG'!$B:$B,A266,'30_NGAN_HANG'!$Y:$Y,"Approved"))</f>
        <v/>
      </c>
    </row>
    <row r="267">
      <c r="R267">
        <f>IF(A267="","",COUNTIF('30_NGAN_HANG'!$B:$B,A267))</f>
        <v/>
      </c>
      <c r="S267">
        <f>IF(A267="","",COUNTIFS('30_NGAN_HANG'!$B:$B,A267,'30_NGAN_HANG'!$Y:$Y,"Approved"))</f>
        <v/>
      </c>
    </row>
    <row r="268">
      <c r="R268">
        <f>IF(A268="","",COUNTIF('30_NGAN_HANG'!$B:$B,A268))</f>
        <v/>
      </c>
      <c r="S268">
        <f>IF(A268="","",COUNTIFS('30_NGAN_HANG'!$B:$B,A268,'30_NGAN_HANG'!$Y:$Y,"Approved"))</f>
        <v/>
      </c>
    </row>
    <row r="269">
      <c r="R269">
        <f>IF(A269="","",COUNTIF('30_NGAN_HANG'!$B:$B,A269))</f>
        <v/>
      </c>
      <c r="S269">
        <f>IF(A269="","",COUNTIFS('30_NGAN_HANG'!$B:$B,A269,'30_NGAN_HANG'!$Y:$Y,"Approved"))</f>
        <v/>
      </c>
    </row>
    <row r="270">
      <c r="R270">
        <f>IF(A270="","",COUNTIF('30_NGAN_HANG'!$B:$B,A270))</f>
        <v/>
      </c>
      <c r="S270">
        <f>IF(A270="","",COUNTIFS('30_NGAN_HANG'!$B:$B,A270,'30_NGAN_HANG'!$Y:$Y,"Approved"))</f>
        <v/>
      </c>
    </row>
    <row r="271">
      <c r="R271">
        <f>IF(A271="","",COUNTIF('30_NGAN_HANG'!$B:$B,A271))</f>
        <v/>
      </c>
      <c r="S271">
        <f>IF(A271="","",COUNTIFS('30_NGAN_HANG'!$B:$B,A271,'30_NGAN_HANG'!$Y:$Y,"Approved"))</f>
        <v/>
      </c>
    </row>
    <row r="272">
      <c r="R272">
        <f>IF(A272="","",COUNTIF('30_NGAN_HANG'!$B:$B,A272))</f>
        <v/>
      </c>
      <c r="S272">
        <f>IF(A272="","",COUNTIFS('30_NGAN_HANG'!$B:$B,A272,'30_NGAN_HANG'!$Y:$Y,"Approved"))</f>
        <v/>
      </c>
    </row>
    <row r="273">
      <c r="R273">
        <f>IF(A273="","",COUNTIF('30_NGAN_HANG'!$B:$B,A273))</f>
        <v/>
      </c>
      <c r="S273">
        <f>IF(A273="","",COUNTIFS('30_NGAN_HANG'!$B:$B,A273,'30_NGAN_HANG'!$Y:$Y,"Approved"))</f>
        <v/>
      </c>
    </row>
    <row r="274">
      <c r="R274">
        <f>IF(A274="","",COUNTIF('30_NGAN_HANG'!$B:$B,A274))</f>
        <v/>
      </c>
      <c r="S274">
        <f>IF(A274="","",COUNTIFS('30_NGAN_HANG'!$B:$B,A274,'30_NGAN_HANG'!$Y:$Y,"Approved"))</f>
        <v/>
      </c>
    </row>
    <row r="275">
      <c r="R275">
        <f>IF(A275="","",COUNTIF('30_NGAN_HANG'!$B:$B,A275))</f>
        <v/>
      </c>
      <c r="S275">
        <f>IF(A275="","",COUNTIFS('30_NGAN_HANG'!$B:$B,A275,'30_NGAN_HANG'!$Y:$Y,"Approved"))</f>
        <v/>
      </c>
    </row>
    <row r="276">
      <c r="R276">
        <f>IF(A276="","",COUNTIF('30_NGAN_HANG'!$B:$B,A276))</f>
        <v/>
      </c>
      <c r="S276">
        <f>IF(A276="","",COUNTIFS('30_NGAN_HANG'!$B:$B,A276,'30_NGAN_HANG'!$Y:$Y,"Approved"))</f>
        <v/>
      </c>
    </row>
    <row r="277">
      <c r="R277">
        <f>IF(A277="","",COUNTIF('30_NGAN_HANG'!$B:$B,A277))</f>
        <v/>
      </c>
      <c r="S277">
        <f>IF(A277="","",COUNTIFS('30_NGAN_HANG'!$B:$B,A277,'30_NGAN_HANG'!$Y:$Y,"Approved"))</f>
        <v/>
      </c>
    </row>
    <row r="278">
      <c r="R278">
        <f>IF(A278="","",COUNTIF('30_NGAN_HANG'!$B:$B,A278))</f>
        <v/>
      </c>
      <c r="S278">
        <f>IF(A278="","",COUNTIFS('30_NGAN_HANG'!$B:$B,A278,'30_NGAN_HANG'!$Y:$Y,"Approved"))</f>
        <v/>
      </c>
    </row>
    <row r="279">
      <c r="R279">
        <f>IF(A279="","",COUNTIF('30_NGAN_HANG'!$B:$B,A279))</f>
        <v/>
      </c>
      <c r="S279">
        <f>IF(A279="","",COUNTIFS('30_NGAN_HANG'!$B:$B,A279,'30_NGAN_HANG'!$Y:$Y,"Approved"))</f>
        <v/>
      </c>
    </row>
    <row r="280">
      <c r="R280">
        <f>IF(A280="","",COUNTIF('30_NGAN_HANG'!$B:$B,A280))</f>
        <v/>
      </c>
      <c r="S280">
        <f>IF(A280="","",COUNTIFS('30_NGAN_HANG'!$B:$B,A280,'30_NGAN_HANG'!$Y:$Y,"Approved"))</f>
        <v/>
      </c>
    </row>
    <row r="281">
      <c r="R281">
        <f>IF(A281="","",COUNTIF('30_NGAN_HANG'!$B:$B,A281))</f>
        <v/>
      </c>
      <c r="S281">
        <f>IF(A281="","",COUNTIFS('30_NGAN_HANG'!$B:$B,A281,'30_NGAN_HANG'!$Y:$Y,"Approved"))</f>
        <v/>
      </c>
    </row>
    <row r="282">
      <c r="R282">
        <f>IF(A282="","",COUNTIF('30_NGAN_HANG'!$B:$B,A282))</f>
        <v/>
      </c>
      <c r="S282">
        <f>IF(A282="","",COUNTIFS('30_NGAN_HANG'!$B:$B,A282,'30_NGAN_HANG'!$Y:$Y,"Approved"))</f>
        <v/>
      </c>
    </row>
    <row r="283">
      <c r="R283">
        <f>IF(A283="","",COUNTIF('30_NGAN_HANG'!$B:$B,A283))</f>
        <v/>
      </c>
      <c r="S283">
        <f>IF(A283="","",COUNTIFS('30_NGAN_HANG'!$B:$B,A283,'30_NGAN_HANG'!$Y:$Y,"Approved"))</f>
        <v/>
      </c>
    </row>
    <row r="284">
      <c r="R284">
        <f>IF(A284="","",COUNTIF('30_NGAN_HANG'!$B:$B,A284))</f>
        <v/>
      </c>
      <c r="S284">
        <f>IF(A284="","",COUNTIFS('30_NGAN_HANG'!$B:$B,A284,'30_NGAN_HANG'!$Y:$Y,"Approved"))</f>
        <v/>
      </c>
    </row>
    <row r="285">
      <c r="R285">
        <f>IF(A285="","",COUNTIF('30_NGAN_HANG'!$B:$B,A285))</f>
        <v/>
      </c>
      <c r="S285">
        <f>IF(A285="","",COUNTIFS('30_NGAN_HANG'!$B:$B,A285,'30_NGAN_HANG'!$Y:$Y,"Approved"))</f>
        <v/>
      </c>
    </row>
    <row r="286">
      <c r="R286">
        <f>IF(A286="","",COUNTIF('30_NGAN_HANG'!$B:$B,A286))</f>
        <v/>
      </c>
      <c r="S286">
        <f>IF(A286="","",COUNTIFS('30_NGAN_HANG'!$B:$B,A286,'30_NGAN_HANG'!$Y:$Y,"Approved"))</f>
        <v/>
      </c>
    </row>
    <row r="287">
      <c r="R287">
        <f>IF(A287="","",COUNTIF('30_NGAN_HANG'!$B:$B,A287))</f>
        <v/>
      </c>
      <c r="S287">
        <f>IF(A287="","",COUNTIFS('30_NGAN_HANG'!$B:$B,A287,'30_NGAN_HANG'!$Y:$Y,"Approved"))</f>
        <v/>
      </c>
    </row>
    <row r="288">
      <c r="R288">
        <f>IF(A288="","",COUNTIF('30_NGAN_HANG'!$B:$B,A288))</f>
        <v/>
      </c>
      <c r="S288">
        <f>IF(A288="","",COUNTIFS('30_NGAN_HANG'!$B:$B,A288,'30_NGAN_HANG'!$Y:$Y,"Approved"))</f>
        <v/>
      </c>
    </row>
    <row r="289">
      <c r="R289">
        <f>IF(A289="","",COUNTIF('30_NGAN_HANG'!$B:$B,A289))</f>
        <v/>
      </c>
      <c r="S289">
        <f>IF(A289="","",COUNTIFS('30_NGAN_HANG'!$B:$B,A289,'30_NGAN_HANG'!$Y:$Y,"Approved"))</f>
        <v/>
      </c>
    </row>
    <row r="290">
      <c r="R290">
        <f>IF(A290="","",COUNTIF('30_NGAN_HANG'!$B:$B,A290))</f>
        <v/>
      </c>
      <c r="S290">
        <f>IF(A290="","",COUNTIFS('30_NGAN_HANG'!$B:$B,A290,'30_NGAN_HANG'!$Y:$Y,"Approved"))</f>
        <v/>
      </c>
    </row>
    <row r="291">
      <c r="R291">
        <f>IF(A291="","",COUNTIF('30_NGAN_HANG'!$B:$B,A291))</f>
        <v/>
      </c>
      <c r="S291">
        <f>IF(A291="","",COUNTIFS('30_NGAN_HANG'!$B:$B,A291,'30_NGAN_HANG'!$Y:$Y,"Approved"))</f>
        <v/>
      </c>
    </row>
    <row r="292">
      <c r="R292">
        <f>IF(A292="","",COUNTIF('30_NGAN_HANG'!$B:$B,A292))</f>
        <v/>
      </c>
      <c r="S292">
        <f>IF(A292="","",COUNTIFS('30_NGAN_HANG'!$B:$B,A292,'30_NGAN_HANG'!$Y:$Y,"Approved"))</f>
        <v/>
      </c>
    </row>
    <row r="293">
      <c r="R293">
        <f>IF(A293="","",COUNTIF('30_NGAN_HANG'!$B:$B,A293))</f>
        <v/>
      </c>
      <c r="S293">
        <f>IF(A293="","",COUNTIFS('30_NGAN_HANG'!$B:$B,A293,'30_NGAN_HANG'!$Y:$Y,"Approved"))</f>
        <v/>
      </c>
    </row>
    <row r="294">
      <c r="R294">
        <f>IF(A294="","",COUNTIF('30_NGAN_HANG'!$B:$B,A294))</f>
        <v/>
      </c>
      <c r="S294">
        <f>IF(A294="","",COUNTIFS('30_NGAN_HANG'!$B:$B,A294,'30_NGAN_HANG'!$Y:$Y,"Approved"))</f>
        <v/>
      </c>
    </row>
    <row r="295">
      <c r="R295">
        <f>IF(A295="","",COUNTIF('30_NGAN_HANG'!$B:$B,A295))</f>
        <v/>
      </c>
      <c r="S295">
        <f>IF(A295="","",COUNTIFS('30_NGAN_HANG'!$B:$B,A295,'30_NGAN_HANG'!$Y:$Y,"Approved"))</f>
        <v/>
      </c>
    </row>
    <row r="296">
      <c r="R296">
        <f>IF(A296="","",COUNTIF('30_NGAN_HANG'!$B:$B,A296))</f>
        <v/>
      </c>
      <c r="S296">
        <f>IF(A296="","",COUNTIFS('30_NGAN_HANG'!$B:$B,A296,'30_NGAN_HANG'!$Y:$Y,"Approved"))</f>
        <v/>
      </c>
    </row>
    <row r="297">
      <c r="R297">
        <f>IF(A297="","",COUNTIF('30_NGAN_HANG'!$B:$B,A297))</f>
        <v/>
      </c>
      <c r="S297">
        <f>IF(A297="","",COUNTIFS('30_NGAN_HANG'!$B:$B,A297,'30_NGAN_HANG'!$Y:$Y,"Approved"))</f>
        <v/>
      </c>
    </row>
    <row r="298">
      <c r="R298">
        <f>IF(A298="","",COUNTIF('30_NGAN_HANG'!$B:$B,A298))</f>
        <v/>
      </c>
      <c r="S298">
        <f>IF(A298="","",COUNTIFS('30_NGAN_HANG'!$B:$B,A298,'30_NGAN_HANG'!$Y:$Y,"Approved"))</f>
        <v/>
      </c>
    </row>
    <row r="299">
      <c r="R299">
        <f>IF(A299="","",COUNTIF('30_NGAN_HANG'!$B:$B,A299))</f>
        <v/>
      </c>
      <c r="S299">
        <f>IF(A299="","",COUNTIFS('30_NGAN_HANG'!$B:$B,A299,'30_NGAN_HANG'!$Y:$Y,"Approved"))</f>
        <v/>
      </c>
    </row>
    <row r="300">
      <c r="R300">
        <f>IF(A300="","",COUNTIF('30_NGAN_HANG'!$B:$B,A300))</f>
        <v/>
      </c>
      <c r="S300">
        <f>IF(A300="","",COUNTIFS('30_NGAN_HANG'!$B:$B,A300,'30_NGAN_HANG'!$Y:$Y,"Approved"))</f>
        <v/>
      </c>
    </row>
  </sheetData>
  <dataValidations count="4">
    <dataValidation sqref="C3:C300" showDropDown="0" showInputMessage="0" showErrorMessage="0" allowBlank="1" type="list">
      <formula1>='99_DANH_MUC'!$A$2:$A$4</formula1>
    </dataValidation>
    <dataValidation sqref="O3:O300" showDropDown="0" showInputMessage="0" showErrorMessage="0" allowBlank="1" type="list">
      <formula1>='99_DANH_MUC'!$G$2:$G$4</formula1>
    </dataValidation>
    <dataValidation sqref="Q3:Q300" showDropDown="0" showInputMessage="0" showErrorMessage="0" allowBlank="1" type="list">
      <formula1>='99_DANH_MUC'!$E$2:$E$5</formula1>
    </dataValidation>
    <dataValidation sqref="J3:J300" showDropDown="0" showInputMessage="0" showErrorMessage="0" allowBlank="1" type="list">
      <formula1>='99_DANH_MUC'!$H$2:$H$3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C55A11"/>
    <outlinePr summaryBelow="1" summaryRight="1"/>
    <pageSetUpPr/>
  </sheetPr>
  <dimension ref="A1:Q30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12" customWidth="1" min="4" max="4"/>
    <col width="34" customWidth="1" min="5" max="5"/>
    <col width="20" customWidth="1" min="6" max="6"/>
    <col width="32" customWidth="1" min="7" max="7"/>
    <col width="40" customWidth="1" min="8" max="8"/>
    <col width="14" customWidth="1" min="9" max="9"/>
    <col width="30" customWidth="1" min="10" max="10"/>
    <col width="30" customWidth="1" min="11" max="11"/>
    <col width="32" customWidth="1" min="12" max="12"/>
    <col width="28" customWidth="1" min="13" max="13"/>
    <col width="24" customWidth="1" min="14" max="14"/>
    <col width="24" customWidth="1" min="15" max="15"/>
    <col width="32" customWidth="1" min="16" max="16"/>
    <col width="34" customWidth="1" min="17" max="17"/>
  </cols>
  <sheetData>
    <row r="1">
      <c r="A1" s="7" t="inlineStr">
        <is>
          <t>聴解 › アナウンス  |  1 dòng = 1 yêu cầu sinh câu. Cam = bắt buộc, vàng = gợi ý cho AI.</t>
        </is>
      </c>
    </row>
    <row r="2" ht="42" customHeight="1">
      <c r="A2" s="8" t="inlineStr">
        <is>
          <t>Mã yêu cầu</t>
        </is>
      </c>
      <c r="B2" s="8" t="inlineStr">
        <is>
          <t>Mã đề (kế hoạch)</t>
        </is>
      </c>
      <c r="C2" s="8" t="inlineStr">
        <is>
          <t>Quyển</t>
        </is>
      </c>
      <c r="D2" s="8" t="inlineStr">
        <is>
          <t>Bài</t>
        </is>
      </c>
      <c r="E2" s="8" t="inlineStr">
        <is>
          <t>Số câu cần sinh</t>
        </is>
      </c>
      <c r="F2" s="9" t="inlineStr">
        <is>
          <t>Địa điểm</t>
        </is>
      </c>
      <c r="G2" s="9" t="inlineStr">
        <is>
          <t>Loại thông báo</t>
        </is>
      </c>
      <c r="H2" s="9" t="inlineStr">
        <is>
          <t>Thông tin cần nghe</t>
        </is>
      </c>
      <c r="I2" s="13" t="inlineStr">
        <is>
          <t>Giọng</t>
        </is>
      </c>
      <c r="J2" s="13" t="inlineStr">
        <is>
          <t>Thông tin bẫy</t>
        </is>
      </c>
      <c r="K2" s="13" t="inlineStr">
        <is>
          <t>Độ dài (giây)</t>
        </is>
      </c>
      <c r="L2" s="8" t="inlineStr">
        <is>
          <t>Ghi chú cho AI</t>
        </is>
      </c>
      <c r="M2" s="8" t="inlineStr">
        <is>
          <t>Công cụ sinh</t>
        </is>
      </c>
      <c r="N2" s="8" t="inlineStr">
        <is>
          <t>Người nhập</t>
        </is>
      </c>
      <c r="O2" s="8" t="inlineStr">
        <is>
          <t>Trạng thái</t>
        </is>
      </c>
      <c r="P2" s="10" t="inlineStr">
        <is>
          <t>Số câu đã sinh</t>
        </is>
      </c>
      <c r="Q2" s="10" t="inlineStr">
        <is>
          <t>Số câu Approved</t>
        </is>
      </c>
    </row>
    <row r="3">
      <c r="A3" t="inlineStr">
        <is>
          <t>IN_08-0001</t>
        </is>
      </c>
      <c r="C3" t="inlineStr">
        <is>
          <t>入門</t>
        </is>
      </c>
      <c r="D3" t="n">
        <v>1</v>
      </c>
      <c r="E3" t="n">
        <v>3</v>
      </c>
      <c r="F3" t="inlineStr">
        <is>
          <t>Ga tàu</t>
        </is>
      </c>
      <c r="G3" t="inlineStr">
        <is>
          <t>Tàu trễ</t>
        </is>
      </c>
      <c r="H3" t="inlineStr">
        <is>
          <t>Tàu đến lúc mấy giờ</t>
        </is>
      </c>
      <c r="I3" t="inlineStr">
        <is>
          <t>F</t>
        </is>
      </c>
      <c r="J3" t="inlineStr">
        <is>
          <t>Giờ cũ được nhắc trước giờ mới</t>
        </is>
      </c>
      <c r="K3" t="n">
        <v>25</v>
      </c>
      <c r="L3" t="inlineStr">
        <is>
          <t>VÍ DỤ — xoá dòng này khi dùng thật</t>
        </is>
      </c>
      <c r="M3" t="inlineStr">
        <is>
          <t>ChatGPT</t>
        </is>
      </c>
      <c r="O3" t="inlineStr">
        <is>
          <t>Nháp</t>
        </is>
      </c>
      <c r="P3">
        <f>IF(A3="","",COUNTIF('30_NGAN_HANG'!$B:$B,A3))</f>
        <v/>
      </c>
      <c r="Q3">
        <f>IF(A3="","",COUNTIFS('30_NGAN_HANG'!$B:$B,A3,'30_NGAN_HANG'!$Y:$Y,"Approved"))</f>
        <v/>
      </c>
    </row>
    <row r="4">
      <c r="P4">
        <f>IF(A4="","",COUNTIF('30_NGAN_HANG'!$B:$B,A4))</f>
        <v/>
      </c>
      <c r="Q4">
        <f>IF(A4="","",COUNTIFS('30_NGAN_HANG'!$B:$B,A4,'30_NGAN_HANG'!$Y:$Y,"Approved"))</f>
        <v/>
      </c>
    </row>
    <row r="5">
      <c r="P5">
        <f>IF(A5="","",COUNTIF('30_NGAN_HANG'!$B:$B,A5))</f>
        <v/>
      </c>
      <c r="Q5">
        <f>IF(A5="","",COUNTIFS('30_NGAN_HANG'!$B:$B,A5,'30_NGAN_HANG'!$Y:$Y,"Approved"))</f>
        <v/>
      </c>
    </row>
    <row r="6">
      <c r="P6">
        <f>IF(A6="","",COUNTIF('30_NGAN_HANG'!$B:$B,A6))</f>
        <v/>
      </c>
      <c r="Q6">
        <f>IF(A6="","",COUNTIFS('30_NGAN_HANG'!$B:$B,A6,'30_NGAN_HANG'!$Y:$Y,"Approved"))</f>
        <v/>
      </c>
    </row>
    <row r="7">
      <c r="P7">
        <f>IF(A7="","",COUNTIF('30_NGAN_HANG'!$B:$B,A7))</f>
        <v/>
      </c>
      <c r="Q7">
        <f>IF(A7="","",COUNTIFS('30_NGAN_HANG'!$B:$B,A7,'30_NGAN_HANG'!$Y:$Y,"Approved"))</f>
        <v/>
      </c>
    </row>
    <row r="8">
      <c r="P8">
        <f>IF(A8="","",COUNTIF('30_NGAN_HANG'!$B:$B,A8))</f>
        <v/>
      </c>
      <c r="Q8">
        <f>IF(A8="","",COUNTIFS('30_NGAN_HANG'!$B:$B,A8,'30_NGAN_HANG'!$Y:$Y,"Approved"))</f>
        <v/>
      </c>
    </row>
    <row r="9">
      <c r="P9">
        <f>IF(A9="","",COUNTIF('30_NGAN_HANG'!$B:$B,A9))</f>
        <v/>
      </c>
      <c r="Q9">
        <f>IF(A9="","",COUNTIFS('30_NGAN_HANG'!$B:$B,A9,'30_NGAN_HANG'!$Y:$Y,"Approved"))</f>
        <v/>
      </c>
    </row>
    <row r="10">
      <c r="P10">
        <f>IF(A10="","",COUNTIF('30_NGAN_HANG'!$B:$B,A10))</f>
        <v/>
      </c>
      <c r="Q10">
        <f>IF(A10="","",COUNTIFS('30_NGAN_HANG'!$B:$B,A10,'30_NGAN_HANG'!$Y:$Y,"Approved"))</f>
        <v/>
      </c>
    </row>
    <row r="11">
      <c r="P11">
        <f>IF(A11="","",COUNTIF('30_NGAN_HANG'!$B:$B,A11))</f>
        <v/>
      </c>
      <c r="Q11">
        <f>IF(A11="","",COUNTIFS('30_NGAN_HANG'!$B:$B,A11,'30_NGAN_HANG'!$Y:$Y,"Approved"))</f>
        <v/>
      </c>
    </row>
    <row r="12">
      <c r="P12">
        <f>IF(A12="","",COUNTIF('30_NGAN_HANG'!$B:$B,A12))</f>
        <v/>
      </c>
      <c r="Q12">
        <f>IF(A12="","",COUNTIFS('30_NGAN_HANG'!$B:$B,A12,'30_NGAN_HANG'!$Y:$Y,"Approved"))</f>
        <v/>
      </c>
    </row>
    <row r="13">
      <c r="P13">
        <f>IF(A13="","",COUNTIF('30_NGAN_HANG'!$B:$B,A13))</f>
        <v/>
      </c>
      <c r="Q13">
        <f>IF(A13="","",COUNTIFS('30_NGAN_HANG'!$B:$B,A13,'30_NGAN_HANG'!$Y:$Y,"Approved"))</f>
        <v/>
      </c>
    </row>
    <row r="14">
      <c r="P14">
        <f>IF(A14="","",COUNTIF('30_NGAN_HANG'!$B:$B,A14))</f>
        <v/>
      </c>
      <c r="Q14">
        <f>IF(A14="","",COUNTIFS('30_NGAN_HANG'!$B:$B,A14,'30_NGAN_HANG'!$Y:$Y,"Approved"))</f>
        <v/>
      </c>
    </row>
    <row r="15">
      <c r="P15">
        <f>IF(A15="","",COUNTIF('30_NGAN_HANG'!$B:$B,A15))</f>
        <v/>
      </c>
      <c r="Q15">
        <f>IF(A15="","",COUNTIFS('30_NGAN_HANG'!$B:$B,A15,'30_NGAN_HANG'!$Y:$Y,"Approved"))</f>
        <v/>
      </c>
    </row>
    <row r="16">
      <c r="P16">
        <f>IF(A16="","",COUNTIF('30_NGAN_HANG'!$B:$B,A16))</f>
        <v/>
      </c>
      <c r="Q16">
        <f>IF(A16="","",COUNTIFS('30_NGAN_HANG'!$B:$B,A16,'30_NGAN_HANG'!$Y:$Y,"Approved"))</f>
        <v/>
      </c>
    </row>
    <row r="17">
      <c r="P17">
        <f>IF(A17="","",COUNTIF('30_NGAN_HANG'!$B:$B,A17))</f>
        <v/>
      </c>
      <c r="Q17">
        <f>IF(A17="","",COUNTIFS('30_NGAN_HANG'!$B:$B,A17,'30_NGAN_HANG'!$Y:$Y,"Approved"))</f>
        <v/>
      </c>
    </row>
    <row r="18">
      <c r="P18">
        <f>IF(A18="","",COUNTIF('30_NGAN_HANG'!$B:$B,A18))</f>
        <v/>
      </c>
      <c r="Q18">
        <f>IF(A18="","",COUNTIFS('30_NGAN_HANG'!$B:$B,A18,'30_NGAN_HANG'!$Y:$Y,"Approved"))</f>
        <v/>
      </c>
    </row>
    <row r="19">
      <c r="P19">
        <f>IF(A19="","",COUNTIF('30_NGAN_HANG'!$B:$B,A19))</f>
        <v/>
      </c>
      <c r="Q19">
        <f>IF(A19="","",COUNTIFS('30_NGAN_HANG'!$B:$B,A19,'30_NGAN_HANG'!$Y:$Y,"Approved"))</f>
        <v/>
      </c>
    </row>
    <row r="20">
      <c r="P20">
        <f>IF(A20="","",COUNTIF('30_NGAN_HANG'!$B:$B,A20))</f>
        <v/>
      </c>
      <c r="Q20">
        <f>IF(A20="","",COUNTIFS('30_NGAN_HANG'!$B:$B,A20,'30_NGAN_HANG'!$Y:$Y,"Approved"))</f>
        <v/>
      </c>
    </row>
    <row r="21">
      <c r="P21">
        <f>IF(A21="","",COUNTIF('30_NGAN_HANG'!$B:$B,A21))</f>
        <v/>
      </c>
      <c r="Q21">
        <f>IF(A21="","",COUNTIFS('30_NGAN_HANG'!$B:$B,A21,'30_NGAN_HANG'!$Y:$Y,"Approved"))</f>
        <v/>
      </c>
    </row>
    <row r="22">
      <c r="P22">
        <f>IF(A22="","",COUNTIF('30_NGAN_HANG'!$B:$B,A22))</f>
        <v/>
      </c>
      <c r="Q22">
        <f>IF(A22="","",COUNTIFS('30_NGAN_HANG'!$B:$B,A22,'30_NGAN_HANG'!$Y:$Y,"Approved"))</f>
        <v/>
      </c>
    </row>
    <row r="23">
      <c r="P23">
        <f>IF(A23="","",COUNTIF('30_NGAN_HANG'!$B:$B,A23))</f>
        <v/>
      </c>
      <c r="Q23">
        <f>IF(A23="","",COUNTIFS('30_NGAN_HANG'!$B:$B,A23,'30_NGAN_HANG'!$Y:$Y,"Approved"))</f>
        <v/>
      </c>
    </row>
    <row r="24">
      <c r="P24">
        <f>IF(A24="","",COUNTIF('30_NGAN_HANG'!$B:$B,A24))</f>
        <v/>
      </c>
      <c r="Q24">
        <f>IF(A24="","",COUNTIFS('30_NGAN_HANG'!$B:$B,A24,'30_NGAN_HANG'!$Y:$Y,"Approved"))</f>
        <v/>
      </c>
    </row>
    <row r="25">
      <c r="P25">
        <f>IF(A25="","",COUNTIF('30_NGAN_HANG'!$B:$B,A25))</f>
        <v/>
      </c>
      <c r="Q25">
        <f>IF(A25="","",COUNTIFS('30_NGAN_HANG'!$B:$B,A25,'30_NGAN_HANG'!$Y:$Y,"Approved"))</f>
        <v/>
      </c>
    </row>
    <row r="26">
      <c r="P26">
        <f>IF(A26="","",COUNTIF('30_NGAN_HANG'!$B:$B,A26))</f>
        <v/>
      </c>
      <c r="Q26">
        <f>IF(A26="","",COUNTIFS('30_NGAN_HANG'!$B:$B,A26,'30_NGAN_HANG'!$Y:$Y,"Approved"))</f>
        <v/>
      </c>
    </row>
    <row r="27">
      <c r="P27">
        <f>IF(A27="","",COUNTIF('30_NGAN_HANG'!$B:$B,A27))</f>
        <v/>
      </c>
      <c r="Q27">
        <f>IF(A27="","",COUNTIFS('30_NGAN_HANG'!$B:$B,A27,'30_NGAN_HANG'!$Y:$Y,"Approved"))</f>
        <v/>
      </c>
    </row>
    <row r="28">
      <c r="P28">
        <f>IF(A28="","",COUNTIF('30_NGAN_HANG'!$B:$B,A28))</f>
        <v/>
      </c>
      <c r="Q28">
        <f>IF(A28="","",COUNTIFS('30_NGAN_HANG'!$B:$B,A28,'30_NGAN_HANG'!$Y:$Y,"Approved"))</f>
        <v/>
      </c>
    </row>
    <row r="29">
      <c r="P29">
        <f>IF(A29="","",COUNTIF('30_NGAN_HANG'!$B:$B,A29))</f>
        <v/>
      </c>
      <c r="Q29">
        <f>IF(A29="","",COUNTIFS('30_NGAN_HANG'!$B:$B,A29,'30_NGAN_HANG'!$Y:$Y,"Approved"))</f>
        <v/>
      </c>
    </row>
    <row r="30">
      <c r="P30">
        <f>IF(A30="","",COUNTIF('30_NGAN_HANG'!$B:$B,A30))</f>
        <v/>
      </c>
      <c r="Q30">
        <f>IF(A30="","",COUNTIFS('30_NGAN_HANG'!$B:$B,A30,'30_NGAN_HANG'!$Y:$Y,"Approved"))</f>
        <v/>
      </c>
    </row>
    <row r="31">
      <c r="P31">
        <f>IF(A31="","",COUNTIF('30_NGAN_HANG'!$B:$B,A31))</f>
        <v/>
      </c>
      <c r="Q31">
        <f>IF(A31="","",COUNTIFS('30_NGAN_HANG'!$B:$B,A31,'30_NGAN_HANG'!$Y:$Y,"Approved"))</f>
        <v/>
      </c>
    </row>
    <row r="32">
      <c r="P32">
        <f>IF(A32="","",COUNTIF('30_NGAN_HANG'!$B:$B,A32))</f>
        <v/>
      </c>
      <c r="Q32">
        <f>IF(A32="","",COUNTIFS('30_NGAN_HANG'!$B:$B,A32,'30_NGAN_HANG'!$Y:$Y,"Approved"))</f>
        <v/>
      </c>
    </row>
    <row r="33">
      <c r="P33">
        <f>IF(A33="","",COUNTIF('30_NGAN_HANG'!$B:$B,A33))</f>
        <v/>
      </c>
      <c r="Q33">
        <f>IF(A33="","",COUNTIFS('30_NGAN_HANG'!$B:$B,A33,'30_NGAN_HANG'!$Y:$Y,"Approved"))</f>
        <v/>
      </c>
    </row>
    <row r="34">
      <c r="P34">
        <f>IF(A34="","",COUNTIF('30_NGAN_HANG'!$B:$B,A34))</f>
        <v/>
      </c>
      <c r="Q34">
        <f>IF(A34="","",COUNTIFS('30_NGAN_HANG'!$B:$B,A34,'30_NGAN_HANG'!$Y:$Y,"Approved"))</f>
        <v/>
      </c>
    </row>
    <row r="35">
      <c r="P35">
        <f>IF(A35="","",COUNTIF('30_NGAN_HANG'!$B:$B,A35))</f>
        <v/>
      </c>
      <c r="Q35">
        <f>IF(A35="","",COUNTIFS('30_NGAN_HANG'!$B:$B,A35,'30_NGAN_HANG'!$Y:$Y,"Approved"))</f>
        <v/>
      </c>
    </row>
    <row r="36">
      <c r="P36">
        <f>IF(A36="","",COUNTIF('30_NGAN_HANG'!$B:$B,A36))</f>
        <v/>
      </c>
      <c r="Q36">
        <f>IF(A36="","",COUNTIFS('30_NGAN_HANG'!$B:$B,A36,'30_NGAN_HANG'!$Y:$Y,"Approved"))</f>
        <v/>
      </c>
    </row>
    <row r="37">
      <c r="P37">
        <f>IF(A37="","",COUNTIF('30_NGAN_HANG'!$B:$B,A37))</f>
        <v/>
      </c>
      <c r="Q37">
        <f>IF(A37="","",COUNTIFS('30_NGAN_HANG'!$B:$B,A37,'30_NGAN_HANG'!$Y:$Y,"Approved"))</f>
        <v/>
      </c>
    </row>
    <row r="38">
      <c r="P38">
        <f>IF(A38="","",COUNTIF('30_NGAN_HANG'!$B:$B,A38))</f>
        <v/>
      </c>
      <c r="Q38">
        <f>IF(A38="","",COUNTIFS('30_NGAN_HANG'!$B:$B,A38,'30_NGAN_HANG'!$Y:$Y,"Approved"))</f>
        <v/>
      </c>
    </row>
    <row r="39">
      <c r="P39">
        <f>IF(A39="","",COUNTIF('30_NGAN_HANG'!$B:$B,A39))</f>
        <v/>
      </c>
      <c r="Q39">
        <f>IF(A39="","",COUNTIFS('30_NGAN_HANG'!$B:$B,A39,'30_NGAN_HANG'!$Y:$Y,"Approved"))</f>
        <v/>
      </c>
    </row>
    <row r="40">
      <c r="P40">
        <f>IF(A40="","",COUNTIF('30_NGAN_HANG'!$B:$B,A40))</f>
        <v/>
      </c>
      <c r="Q40">
        <f>IF(A40="","",COUNTIFS('30_NGAN_HANG'!$B:$B,A40,'30_NGAN_HANG'!$Y:$Y,"Approved"))</f>
        <v/>
      </c>
    </row>
    <row r="41">
      <c r="P41">
        <f>IF(A41="","",COUNTIF('30_NGAN_HANG'!$B:$B,A41))</f>
        <v/>
      </c>
      <c r="Q41">
        <f>IF(A41="","",COUNTIFS('30_NGAN_HANG'!$B:$B,A41,'30_NGAN_HANG'!$Y:$Y,"Approved"))</f>
        <v/>
      </c>
    </row>
    <row r="42">
      <c r="P42">
        <f>IF(A42="","",COUNTIF('30_NGAN_HANG'!$B:$B,A42))</f>
        <v/>
      </c>
      <c r="Q42">
        <f>IF(A42="","",COUNTIFS('30_NGAN_HANG'!$B:$B,A42,'30_NGAN_HANG'!$Y:$Y,"Approved"))</f>
        <v/>
      </c>
    </row>
    <row r="43">
      <c r="P43">
        <f>IF(A43="","",COUNTIF('30_NGAN_HANG'!$B:$B,A43))</f>
        <v/>
      </c>
      <c r="Q43">
        <f>IF(A43="","",COUNTIFS('30_NGAN_HANG'!$B:$B,A43,'30_NGAN_HANG'!$Y:$Y,"Approved"))</f>
        <v/>
      </c>
    </row>
    <row r="44">
      <c r="P44">
        <f>IF(A44="","",COUNTIF('30_NGAN_HANG'!$B:$B,A44))</f>
        <v/>
      </c>
      <c r="Q44">
        <f>IF(A44="","",COUNTIFS('30_NGAN_HANG'!$B:$B,A44,'30_NGAN_HANG'!$Y:$Y,"Approved"))</f>
        <v/>
      </c>
    </row>
    <row r="45">
      <c r="P45">
        <f>IF(A45="","",COUNTIF('30_NGAN_HANG'!$B:$B,A45))</f>
        <v/>
      </c>
      <c r="Q45">
        <f>IF(A45="","",COUNTIFS('30_NGAN_HANG'!$B:$B,A45,'30_NGAN_HANG'!$Y:$Y,"Approved"))</f>
        <v/>
      </c>
    </row>
    <row r="46">
      <c r="P46">
        <f>IF(A46="","",COUNTIF('30_NGAN_HANG'!$B:$B,A46))</f>
        <v/>
      </c>
      <c r="Q46">
        <f>IF(A46="","",COUNTIFS('30_NGAN_HANG'!$B:$B,A46,'30_NGAN_HANG'!$Y:$Y,"Approved"))</f>
        <v/>
      </c>
    </row>
    <row r="47">
      <c r="P47">
        <f>IF(A47="","",COUNTIF('30_NGAN_HANG'!$B:$B,A47))</f>
        <v/>
      </c>
      <c r="Q47">
        <f>IF(A47="","",COUNTIFS('30_NGAN_HANG'!$B:$B,A47,'30_NGAN_HANG'!$Y:$Y,"Approved"))</f>
        <v/>
      </c>
    </row>
    <row r="48">
      <c r="P48">
        <f>IF(A48="","",COUNTIF('30_NGAN_HANG'!$B:$B,A48))</f>
        <v/>
      </c>
      <c r="Q48">
        <f>IF(A48="","",COUNTIFS('30_NGAN_HANG'!$B:$B,A48,'30_NGAN_HANG'!$Y:$Y,"Approved"))</f>
        <v/>
      </c>
    </row>
    <row r="49">
      <c r="P49">
        <f>IF(A49="","",COUNTIF('30_NGAN_HANG'!$B:$B,A49))</f>
        <v/>
      </c>
      <c r="Q49">
        <f>IF(A49="","",COUNTIFS('30_NGAN_HANG'!$B:$B,A49,'30_NGAN_HANG'!$Y:$Y,"Approved"))</f>
        <v/>
      </c>
    </row>
    <row r="50">
      <c r="P50">
        <f>IF(A50="","",COUNTIF('30_NGAN_HANG'!$B:$B,A50))</f>
        <v/>
      </c>
      <c r="Q50">
        <f>IF(A50="","",COUNTIFS('30_NGAN_HANG'!$B:$B,A50,'30_NGAN_HANG'!$Y:$Y,"Approved"))</f>
        <v/>
      </c>
    </row>
    <row r="51">
      <c r="P51">
        <f>IF(A51="","",COUNTIF('30_NGAN_HANG'!$B:$B,A51))</f>
        <v/>
      </c>
      <c r="Q51">
        <f>IF(A51="","",COUNTIFS('30_NGAN_HANG'!$B:$B,A51,'30_NGAN_HANG'!$Y:$Y,"Approved"))</f>
        <v/>
      </c>
    </row>
    <row r="52">
      <c r="P52">
        <f>IF(A52="","",COUNTIF('30_NGAN_HANG'!$B:$B,A52))</f>
        <v/>
      </c>
      <c r="Q52">
        <f>IF(A52="","",COUNTIFS('30_NGAN_HANG'!$B:$B,A52,'30_NGAN_HANG'!$Y:$Y,"Approved"))</f>
        <v/>
      </c>
    </row>
    <row r="53">
      <c r="P53">
        <f>IF(A53="","",COUNTIF('30_NGAN_HANG'!$B:$B,A53))</f>
        <v/>
      </c>
      <c r="Q53">
        <f>IF(A53="","",COUNTIFS('30_NGAN_HANG'!$B:$B,A53,'30_NGAN_HANG'!$Y:$Y,"Approved"))</f>
        <v/>
      </c>
    </row>
    <row r="54">
      <c r="P54">
        <f>IF(A54="","",COUNTIF('30_NGAN_HANG'!$B:$B,A54))</f>
        <v/>
      </c>
      <c r="Q54">
        <f>IF(A54="","",COUNTIFS('30_NGAN_HANG'!$B:$B,A54,'30_NGAN_HANG'!$Y:$Y,"Approved"))</f>
        <v/>
      </c>
    </row>
    <row r="55">
      <c r="P55">
        <f>IF(A55="","",COUNTIF('30_NGAN_HANG'!$B:$B,A55))</f>
        <v/>
      </c>
      <c r="Q55">
        <f>IF(A55="","",COUNTIFS('30_NGAN_HANG'!$B:$B,A55,'30_NGAN_HANG'!$Y:$Y,"Approved"))</f>
        <v/>
      </c>
    </row>
    <row r="56">
      <c r="P56">
        <f>IF(A56="","",COUNTIF('30_NGAN_HANG'!$B:$B,A56))</f>
        <v/>
      </c>
      <c r="Q56">
        <f>IF(A56="","",COUNTIFS('30_NGAN_HANG'!$B:$B,A56,'30_NGAN_HANG'!$Y:$Y,"Approved"))</f>
        <v/>
      </c>
    </row>
    <row r="57">
      <c r="P57">
        <f>IF(A57="","",COUNTIF('30_NGAN_HANG'!$B:$B,A57))</f>
        <v/>
      </c>
      <c r="Q57">
        <f>IF(A57="","",COUNTIFS('30_NGAN_HANG'!$B:$B,A57,'30_NGAN_HANG'!$Y:$Y,"Approved"))</f>
        <v/>
      </c>
    </row>
    <row r="58">
      <c r="P58">
        <f>IF(A58="","",COUNTIF('30_NGAN_HANG'!$B:$B,A58))</f>
        <v/>
      </c>
      <c r="Q58">
        <f>IF(A58="","",COUNTIFS('30_NGAN_HANG'!$B:$B,A58,'30_NGAN_HANG'!$Y:$Y,"Approved"))</f>
        <v/>
      </c>
    </row>
    <row r="59">
      <c r="P59">
        <f>IF(A59="","",COUNTIF('30_NGAN_HANG'!$B:$B,A59))</f>
        <v/>
      </c>
      <c r="Q59">
        <f>IF(A59="","",COUNTIFS('30_NGAN_HANG'!$B:$B,A59,'30_NGAN_HANG'!$Y:$Y,"Approved"))</f>
        <v/>
      </c>
    </row>
    <row r="60">
      <c r="P60">
        <f>IF(A60="","",COUNTIF('30_NGAN_HANG'!$B:$B,A60))</f>
        <v/>
      </c>
      <c r="Q60">
        <f>IF(A60="","",COUNTIFS('30_NGAN_HANG'!$B:$B,A60,'30_NGAN_HANG'!$Y:$Y,"Approved"))</f>
        <v/>
      </c>
    </row>
    <row r="61">
      <c r="P61">
        <f>IF(A61="","",COUNTIF('30_NGAN_HANG'!$B:$B,A61))</f>
        <v/>
      </c>
      <c r="Q61">
        <f>IF(A61="","",COUNTIFS('30_NGAN_HANG'!$B:$B,A61,'30_NGAN_HANG'!$Y:$Y,"Approved"))</f>
        <v/>
      </c>
    </row>
    <row r="62">
      <c r="P62">
        <f>IF(A62="","",COUNTIF('30_NGAN_HANG'!$B:$B,A62))</f>
        <v/>
      </c>
      <c r="Q62">
        <f>IF(A62="","",COUNTIFS('30_NGAN_HANG'!$B:$B,A62,'30_NGAN_HANG'!$Y:$Y,"Approved"))</f>
        <v/>
      </c>
    </row>
    <row r="63">
      <c r="P63">
        <f>IF(A63="","",COUNTIF('30_NGAN_HANG'!$B:$B,A63))</f>
        <v/>
      </c>
      <c r="Q63">
        <f>IF(A63="","",COUNTIFS('30_NGAN_HANG'!$B:$B,A63,'30_NGAN_HANG'!$Y:$Y,"Approved"))</f>
        <v/>
      </c>
    </row>
    <row r="64">
      <c r="P64">
        <f>IF(A64="","",COUNTIF('30_NGAN_HANG'!$B:$B,A64))</f>
        <v/>
      </c>
      <c r="Q64">
        <f>IF(A64="","",COUNTIFS('30_NGAN_HANG'!$B:$B,A64,'30_NGAN_HANG'!$Y:$Y,"Approved"))</f>
        <v/>
      </c>
    </row>
    <row r="65">
      <c r="P65">
        <f>IF(A65="","",COUNTIF('30_NGAN_HANG'!$B:$B,A65))</f>
        <v/>
      </c>
      <c r="Q65">
        <f>IF(A65="","",COUNTIFS('30_NGAN_HANG'!$B:$B,A65,'30_NGAN_HANG'!$Y:$Y,"Approved"))</f>
        <v/>
      </c>
    </row>
    <row r="66">
      <c r="P66">
        <f>IF(A66="","",COUNTIF('30_NGAN_HANG'!$B:$B,A66))</f>
        <v/>
      </c>
      <c r="Q66">
        <f>IF(A66="","",COUNTIFS('30_NGAN_HANG'!$B:$B,A66,'30_NGAN_HANG'!$Y:$Y,"Approved"))</f>
        <v/>
      </c>
    </row>
    <row r="67">
      <c r="P67">
        <f>IF(A67="","",COUNTIF('30_NGAN_HANG'!$B:$B,A67))</f>
        <v/>
      </c>
      <c r="Q67">
        <f>IF(A67="","",COUNTIFS('30_NGAN_HANG'!$B:$B,A67,'30_NGAN_HANG'!$Y:$Y,"Approved"))</f>
        <v/>
      </c>
    </row>
    <row r="68">
      <c r="P68">
        <f>IF(A68="","",COUNTIF('30_NGAN_HANG'!$B:$B,A68))</f>
        <v/>
      </c>
      <c r="Q68">
        <f>IF(A68="","",COUNTIFS('30_NGAN_HANG'!$B:$B,A68,'30_NGAN_HANG'!$Y:$Y,"Approved"))</f>
        <v/>
      </c>
    </row>
    <row r="69">
      <c r="P69">
        <f>IF(A69="","",COUNTIF('30_NGAN_HANG'!$B:$B,A69))</f>
        <v/>
      </c>
      <c r="Q69">
        <f>IF(A69="","",COUNTIFS('30_NGAN_HANG'!$B:$B,A69,'30_NGAN_HANG'!$Y:$Y,"Approved"))</f>
        <v/>
      </c>
    </row>
    <row r="70">
      <c r="P70">
        <f>IF(A70="","",COUNTIF('30_NGAN_HANG'!$B:$B,A70))</f>
        <v/>
      </c>
      <c r="Q70">
        <f>IF(A70="","",COUNTIFS('30_NGAN_HANG'!$B:$B,A70,'30_NGAN_HANG'!$Y:$Y,"Approved"))</f>
        <v/>
      </c>
    </row>
    <row r="71">
      <c r="P71">
        <f>IF(A71="","",COUNTIF('30_NGAN_HANG'!$B:$B,A71))</f>
        <v/>
      </c>
      <c r="Q71">
        <f>IF(A71="","",COUNTIFS('30_NGAN_HANG'!$B:$B,A71,'30_NGAN_HANG'!$Y:$Y,"Approved"))</f>
        <v/>
      </c>
    </row>
    <row r="72">
      <c r="P72">
        <f>IF(A72="","",COUNTIF('30_NGAN_HANG'!$B:$B,A72))</f>
        <v/>
      </c>
      <c r="Q72">
        <f>IF(A72="","",COUNTIFS('30_NGAN_HANG'!$B:$B,A72,'30_NGAN_HANG'!$Y:$Y,"Approved"))</f>
        <v/>
      </c>
    </row>
    <row r="73">
      <c r="P73">
        <f>IF(A73="","",COUNTIF('30_NGAN_HANG'!$B:$B,A73))</f>
        <v/>
      </c>
      <c r="Q73">
        <f>IF(A73="","",COUNTIFS('30_NGAN_HANG'!$B:$B,A73,'30_NGAN_HANG'!$Y:$Y,"Approved"))</f>
        <v/>
      </c>
    </row>
    <row r="74">
      <c r="P74">
        <f>IF(A74="","",COUNTIF('30_NGAN_HANG'!$B:$B,A74))</f>
        <v/>
      </c>
      <c r="Q74">
        <f>IF(A74="","",COUNTIFS('30_NGAN_HANG'!$B:$B,A74,'30_NGAN_HANG'!$Y:$Y,"Approved"))</f>
        <v/>
      </c>
    </row>
    <row r="75">
      <c r="P75">
        <f>IF(A75="","",COUNTIF('30_NGAN_HANG'!$B:$B,A75))</f>
        <v/>
      </c>
      <c r="Q75">
        <f>IF(A75="","",COUNTIFS('30_NGAN_HANG'!$B:$B,A75,'30_NGAN_HANG'!$Y:$Y,"Approved"))</f>
        <v/>
      </c>
    </row>
    <row r="76">
      <c r="P76">
        <f>IF(A76="","",COUNTIF('30_NGAN_HANG'!$B:$B,A76))</f>
        <v/>
      </c>
      <c r="Q76">
        <f>IF(A76="","",COUNTIFS('30_NGAN_HANG'!$B:$B,A76,'30_NGAN_HANG'!$Y:$Y,"Approved"))</f>
        <v/>
      </c>
    </row>
    <row r="77">
      <c r="P77">
        <f>IF(A77="","",COUNTIF('30_NGAN_HANG'!$B:$B,A77))</f>
        <v/>
      </c>
      <c r="Q77">
        <f>IF(A77="","",COUNTIFS('30_NGAN_HANG'!$B:$B,A77,'30_NGAN_HANG'!$Y:$Y,"Approved"))</f>
        <v/>
      </c>
    </row>
    <row r="78">
      <c r="P78">
        <f>IF(A78="","",COUNTIF('30_NGAN_HANG'!$B:$B,A78))</f>
        <v/>
      </c>
      <c r="Q78">
        <f>IF(A78="","",COUNTIFS('30_NGAN_HANG'!$B:$B,A78,'30_NGAN_HANG'!$Y:$Y,"Approved"))</f>
        <v/>
      </c>
    </row>
    <row r="79">
      <c r="P79">
        <f>IF(A79="","",COUNTIF('30_NGAN_HANG'!$B:$B,A79))</f>
        <v/>
      </c>
      <c r="Q79">
        <f>IF(A79="","",COUNTIFS('30_NGAN_HANG'!$B:$B,A79,'30_NGAN_HANG'!$Y:$Y,"Approved"))</f>
        <v/>
      </c>
    </row>
    <row r="80">
      <c r="P80">
        <f>IF(A80="","",COUNTIF('30_NGAN_HANG'!$B:$B,A80))</f>
        <v/>
      </c>
      <c r="Q80">
        <f>IF(A80="","",COUNTIFS('30_NGAN_HANG'!$B:$B,A80,'30_NGAN_HANG'!$Y:$Y,"Approved"))</f>
        <v/>
      </c>
    </row>
    <row r="81">
      <c r="P81">
        <f>IF(A81="","",COUNTIF('30_NGAN_HANG'!$B:$B,A81))</f>
        <v/>
      </c>
      <c r="Q81">
        <f>IF(A81="","",COUNTIFS('30_NGAN_HANG'!$B:$B,A81,'30_NGAN_HANG'!$Y:$Y,"Approved"))</f>
        <v/>
      </c>
    </row>
    <row r="82">
      <c r="P82">
        <f>IF(A82="","",COUNTIF('30_NGAN_HANG'!$B:$B,A82))</f>
        <v/>
      </c>
      <c r="Q82">
        <f>IF(A82="","",COUNTIFS('30_NGAN_HANG'!$B:$B,A82,'30_NGAN_HANG'!$Y:$Y,"Approved"))</f>
        <v/>
      </c>
    </row>
    <row r="83">
      <c r="P83">
        <f>IF(A83="","",COUNTIF('30_NGAN_HANG'!$B:$B,A83))</f>
        <v/>
      </c>
      <c r="Q83">
        <f>IF(A83="","",COUNTIFS('30_NGAN_HANG'!$B:$B,A83,'30_NGAN_HANG'!$Y:$Y,"Approved"))</f>
        <v/>
      </c>
    </row>
    <row r="84">
      <c r="P84">
        <f>IF(A84="","",COUNTIF('30_NGAN_HANG'!$B:$B,A84))</f>
        <v/>
      </c>
      <c r="Q84">
        <f>IF(A84="","",COUNTIFS('30_NGAN_HANG'!$B:$B,A84,'30_NGAN_HANG'!$Y:$Y,"Approved"))</f>
        <v/>
      </c>
    </row>
    <row r="85">
      <c r="P85">
        <f>IF(A85="","",COUNTIF('30_NGAN_HANG'!$B:$B,A85))</f>
        <v/>
      </c>
      <c r="Q85">
        <f>IF(A85="","",COUNTIFS('30_NGAN_HANG'!$B:$B,A85,'30_NGAN_HANG'!$Y:$Y,"Approved"))</f>
        <v/>
      </c>
    </row>
    <row r="86">
      <c r="P86">
        <f>IF(A86="","",COUNTIF('30_NGAN_HANG'!$B:$B,A86))</f>
        <v/>
      </c>
      <c r="Q86">
        <f>IF(A86="","",COUNTIFS('30_NGAN_HANG'!$B:$B,A86,'30_NGAN_HANG'!$Y:$Y,"Approved"))</f>
        <v/>
      </c>
    </row>
    <row r="87">
      <c r="P87">
        <f>IF(A87="","",COUNTIF('30_NGAN_HANG'!$B:$B,A87))</f>
        <v/>
      </c>
      <c r="Q87">
        <f>IF(A87="","",COUNTIFS('30_NGAN_HANG'!$B:$B,A87,'30_NGAN_HANG'!$Y:$Y,"Approved"))</f>
        <v/>
      </c>
    </row>
    <row r="88">
      <c r="P88">
        <f>IF(A88="","",COUNTIF('30_NGAN_HANG'!$B:$B,A88))</f>
        <v/>
      </c>
      <c r="Q88">
        <f>IF(A88="","",COUNTIFS('30_NGAN_HANG'!$B:$B,A88,'30_NGAN_HANG'!$Y:$Y,"Approved"))</f>
        <v/>
      </c>
    </row>
    <row r="89">
      <c r="P89">
        <f>IF(A89="","",COUNTIF('30_NGAN_HANG'!$B:$B,A89))</f>
        <v/>
      </c>
      <c r="Q89">
        <f>IF(A89="","",COUNTIFS('30_NGAN_HANG'!$B:$B,A89,'30_NGAN_HANG'!$Y:$Y,"Approved"))</f>
        <v/>
      </c>
    </row>
    <row r="90">
      <c r="P90">
        <f>IF(A90="","",COUNTIF('30_NGAN_HANG'!$B:$B,A90))</f>
        <v/>
      </c>
      <c r="Q90">
        <f>IF(A90="","",COUNTIFS('30_NGAN_HANG'!$B:$B,A90,'30_NGAN_HANG'!$Y:$Y,"Approved"))</f>
        <v/>
      </c>
    </row>
    <row r="91">
      <c r="P91">
        <f>IF(A91="","",COUNTIF('30_NGAN_HANG'!$B:$B,A91))</f>
        <v/>
      </c>
      <c r="Q91">
        <f>IF(A91="","",COUNTIFS('30_NGAN_HANG'!$B:$B,A91,'30_NGAN_HANG'!$Y:$Y,"Approved"))</f>
        <v/>
      </c>
    </row>
    <row r="92">
      <c r="P92">
        <f>IF(A92="","",COUNTIF('30_NGAN_HANG'!$B:$B,A92))</f>
        <v/>
      </c>
      <c r="Q92">
        <f>IF(A92="","",COUNTIFS('30_NGAN_HANG'!$B:$B,A92,'30_NGAN_HANG'!$Y:$Y,"Approved"))</f>
        <v/>
      </c>
    </row>
    <row r="93">
      <c r="P93">
        <f>IF(A93="","",COUNTIF('30_NGAN_HANG'!$B:$B,A93))</f>
        <v/>
      </c>
      <c r="Q93">
        <f>IF(A93="","",COUNTIFS('30_NGAN_HANG'!$B:$B,A93,'30_NGAN_HANG'!$Y:$Y,"Approved"))</f>
        <v/>
      </c>
    </row>
    <row r="94">
      <c r="P94">
        <f>IF(A94="","",COUNTIF('30_NGAN_HANG'!$B:$B,A94))</f>
        <v/>
      </c>
      <c r="Q94">
        <f>IF(A94="","",COUNTIFS('30_NGAN_HANG'!$B:$B,A94,'30_NGAN_HANG'!$Y:$Y,"Approved"))</f>
        <v/>
      </c>
    </row>
    <row r="95">
      <c r="P95">
        <f>IF(A95="","",COUNTIF('30_NGAN_HANG'!$B:$B,A95))</f>
        <v/>
      </c>
      <c r="Q95">
        <f>IF(A95="","",COUNTIFS('30_NGAN_HANG'!$B:$B,A95,'30_NGAN_HANG'!$Y:$Y,"Approved"))</f>
        <v/>
      </c>
    </row>
    <row r="96">
      <c r="P96">
        <f>IF(A96="","",COUNTIF('30_NGAN_HANG'!$B:$B,A96))</f>
        <v/>
      </c>
      <c r="Q96">
        <f>IF(A96="","",COUNTIFS('30_NGAN_HANG'!$B:$B,A96,'30_NGAN_HANG'!$Y:$Y,"Approved"))</f>
        <v/>
      </c>
    </row>
    <row r="97">
      <c r="P97">
        <f>IF(A97="","",COUNTIF('30_NGAN_HANG'!$B:$B,A97))</f>
        <v/>
      </c>
      <c r="Q97">
        <f>IF(A97="","",COUNTIFS('30_NGAN_HANG'!$B:$B,A97,'30_NGAN_HANG'!$Y:$Y,"Approved"))</f>
        <v/>
      </c>
    </row>
    <row r="98">
      <c r="P98">
        <f>IF(A98="","",COUNTIF('30_NGAN_HANG'!$B:$B,A98))</f>
        <v/>
      </c>
      <c r="Q98">
        <f>IF(A98="","",COUNTIFS('30_NGAN_HANG'!$B:$B,A98,'30_NGAN_HANG'!$Y:$Y,"Approved"))</f>
        <v/>
      </c>
    </row>
    <row r="99">
      <c r="P99">
        <f>IF(A99="","",COUNTIF('30_NGAN_HANG'!$B:$B,A99))</f>
        <v/>
      </c>
      <c r="Q99">
        <f>IF(A99="","",COUNTIFS('30_NGAN_HANG'!$B:$B,A99,'30_NGAN_HANG'!$Y:$Y,"Approved"))</f>
        <v/>
      </c>
    </row>
    <row r="100">
      <c r="P100">
        <f>IF(A100="","",COUNTIF('30_NGAN_HANG'!$B:$B,A100))</f>
        <v/>
      </c>
      <c r="Q100">
        <f>IF(A100="","",COUNTIFS('30_NGAN_HANG'!$B:$B,A100,'30_NGAN_HANG'!$Y:$Y,"Approved"))</f>
        <v/>
      </c>
    </row>
    <row r="101">
      <c r="P101">
        <f>IF(A101="","",COUNTIF('30_NGAN_HANG'!$B:$B,A101))</f>
        <v/>
      </c>
      <c r="Q101">
        <f>IF(A101="","",COUNTIFS('30_NGAN_HANG'!$B:$B,A101,'30_NGAN_HANG'!$Y:$Y,"Approved"))</f>
        <v/>
      </c>
    </row>
    <row r="102">
      <c r="P102">
        <f>IF(A102="","",COUNTIF('30_NGAN_HANG'!$B:$B,A102))</f>
        <v/>
      </c>
      <c r="Q102">
        <f>IF(A102="","",COUNTIFS('30_NGAN_HANG'!$B:$B,A102,'30_NGAN_HANG'!$Y:$Y,"Approved"))</f>
        <v/>
      </c>
    </row>
    <row r="103">
      <c r="P103">
        <f>IF(A103="","",COUNTIF('30_NGAN_HANG'!$B:$B,A103))</f>
        <v/>
      </c>
      <c r="Q103">
        <f>IF(A103="","",COUNTIFS('30_NGAN_HANG'!$B:$B,A103,'30_NGAN_HANG'!$Y:$Y,"Approved"))</f>
        <v/>
      </c>
    </row>
    <row r="104">
      <c r="P104">
        <f>IF(A104="","",COUNTIF('30_NGAN_HANG'!$B:$B,A104))</f>
        <v/>
      </c>
      <c r="Q104">
        <f>IF(A104="","",COUNTIFS('30_NGAN_HANG'!$B:$B,A104,'30_NGAN_HANG'!$Y:$Y,"Approved"))</f>
        <v/>
      </c>
    </row>
    <row r="105">
      <c r="P105">
        <f>IF(A105="","",COUNTIF('30_NGAN_HANG'!$B:$B,A105))</f>
        <v/>
      </c>
      <c r="Q105">
        <f>IF(A105="","",COUNTIFS('30_NGAN_HANG'!$B:$B,A105,'30_NGAN_HANG'!$Y:$Y,"Approved"))</f>
        <v/>
      </c>
    </row>
    <row r="106">
      <c r="P106">
        <f>IF(A106="","",COUNTIF('30_NGAN_HANG'!$B:$B,A106))</f>
        <v/>
      </c>
      <c r="Q106">
        <f>IF(A106="","",COUNTIFS('30_NGAN_HANG'!$B:$B,A106,'30_NGAN_HANG'!$Y:$Y,"Approved"))</f>
        <v/>
      </c>
    </row>
    <row r="107">
      <c r="P107">
        <f>IF(A107="","",COUNTIF('30_NGAN_HANG'!$B:$B,A107))</f>
        <v/>
      </c>
      <c r="Q107">
        <f>IF(A107="","",COUNTIFS('30_NGAN_HANG'!$B:$B,A107,'30_NGAN_HANG'!$Y:$Y,"Approved"))</f>
        <v/>
      </c>
    </row>
    <row r="108">
      <c r="P108">
        <f>IF(A108="","",COUNTIF('30_NGAN_HANG'!$B:$B,A108))</f>
        <v/>
      </c>
      <c r="Q108">
        <f>IF(A108="","",COUNTIFS('30_NGAN_HANG'!$B:$B,A108,'30_NGAN_HANG'!$Y:$Y,"Approved"))</f>
        <v/>
      </c>
    </row>
    <row r="109">
      <c r="P109">
        <f>IF(A109="","",COUNTIF('30_NGAN_HANG'!$B:$B,A109))</f>
        <v/>
      </c>
      <c r="Q109">
        <f>IF(A109="","",COUNTIFS('30_NGAN_HANG'!$B:$B,A109,'30_NGAN_HANG'!$Y:$Y,"Approved"))</f>
        <v/>
      </c>
    </row>
    <row r="110">
      <c r="P110">
        <f>IF(A110="","",COUNTIF('30_NGAN_HANG'!$B:$B,A110))</f>
        <v/>
      </c>
      <c r="Q110">
        <f>IF(A110="","",COUNTIFS('30_NGAN_HANG'!$B:$B,A110,'30_NGAN_HANG'!$Y:$Y,"Approved"))</f>
        <v/>
      </c>
    </row>
    <row r="111">
      <c r="P111">
        <f>IF(A111="","",COUNTIF('30_NGAN_HANG'!$B:$B,A111))</f>
        <v/>
      </c>
      <c r="Q111">
        <f>IF(A111="","",COUNTIFS('30_NGAN_HANG'!$B:$B,A111,'30_NGAN_HANG'!$Y:$Y,"Approved"))</f>
        <v/>
      </c>
    </row>
    <row r="112">
      <c r="P112">
        <f>IF(A112="","",COUNTIF('30_NGAN_HANG'!$B:$B,A112))</f>
        <v/>
      </c>
      <c r="Q112">
        <f>IF(A112="","",COUNTIFS('30_NGAN_HANG'!$B:$B,A112,'30_NGAN_HANG'!$Y:$Y,"Approved"))</f>
        <v/>
      </c>
    </row>
    <row r="113">
      <c r="P113">
        <f>IF(A113="","",COUNTIF('30_NGAN_HANG'!$B:$B,A113))</f>
        <v/>
      </c>
      <c r="Q113">
        <f>IF(A113="","",COUNTIFS('30_NGAN_HANG'!$B:$B,A113,'30_NGAN_HANG'!$Y:$Y,"Approved"))</f>
        <v/>
      </c>
    </row>
    <row r="114">
      <c r="P114">
        <f>IF(A114="","",COUNTIF('30_NGAN_HANG'!$B:$B,A114))</f>
        <v/>
      </c>
      <c r="Q114">
        <f>IF(A114="","",COUNTIFS('30_NGAN_HANG'!$B:$B,A114,'30_NGAN_HANG'!$Y:$Y,"Approved"))</f>
        <v/>
      </c>
    </row>
    <row r="115">
      <c r="P115">
        <f>IF(A115="","",COUNTIF('30_NGAN_HANG'!$B:$B,A115))</f>
        <v/>
      </c>
      <c r="Q115">
        <f>IF(A115="","",COUNTIFS('30_NGAN_HANG'!$B:$B,A115,'30_NGAN_HANG'!$Y:$Y,"Approved"))</f>
        <v/>
      </c>
    </row>
    <row r="116">
      <c r="P116">
        <f>IF(A116="","",COUNTIF('30_NGAN_HANG'!$B:$B,A116))</f>
        <v/>
      </c>
      <c r="Q116">
        <f>IF(A116="","",COUNTIFS('30_NGAN_HANG'!$B:$B,A116,'30_NGAN_HANG'!$Y:$Y,"Approved"))</f>
        <v/>
      </c>
    </row>
    <row r="117">
      <c r="P117">
        <f>IF(A117="","",COUNTIF('30_NGAN_HANG'!$B:$B,A117))</f>
        <v/>
      </c>
      <c r="Q117">
        <f>IF(A117="","",COUNTIFS('30_NGAN_HANG'!$B:$B,A117,'30_NGAN_HANG'!$Y:$Y,"Approved"))</f>
        <v/>
      </c>
    </row>
    <row r="118">
      <c r="P118">
        <f>IF(A118="","",COUNTIF('30_NGAN_HANG'!$B:$B,A118))</f>
        <v/>
      </c>
      <c r="Q118">
        <f>IF(A118="","",COUNTIFS('30_NGAN_HANG'!$B:$B,A118,'30_NGAN_HANG'!$Y:$Y,"Approved"))</f>
        <v/>
      </c>
    </row>
    <row r="119">
      <c r="P119">
        <f>IF(A119="","",COUNTIF('30_NGAN_HANG'!$B:$B,A119))</f>
        <v/>
      </c>
      <c r="Q119">
        <f>IF(A119="","",COUNTIFS('30_NGAN_HANG'!$B:$B,A119,'30_NGAN_HANG'!$Y:$Y,"Approved"))</f>
        <v/>
      </c>
    </row>
    <row r="120">
      <c r="P120">
        <f>IF(A120="","",COUNTIF('30_NGAN_HANG'!$B:$B,A120))</f>
        <v/>
      </c>
      <c r="Q120">
        <f>IF(A120="","",COUNTIFS('30_NGAN_HANG'!$B:$B,A120,'30_NGAN_HANG'!$Y:$Y,"Approved"))</f>
        <v/>
      </c>
    </row>
    <row r="121">
      <c r="P121">
        <f>IF(A121="","",COUNTIF('30_NGAN_HANG'!$B:$B,A121))</f>
        <v/>
      </c>
      <c r="Q121">
        <f>IF(A121="","",COUNTIFS('30_NGAN_HANG'!$B:$B,A121,'30_NGAN_HANG'!$Y:$Y,"Approved"))</f>
        <v/>
      </c>
    </row>
    <row r="122">
      <c r="P122">
        <f>IF(A122="","",COUNTIF('30_NGAN_HANG'!$B:$B,A122))</f>
        <v/>
      </c>
      <c r="Q122">
        <f>IF(A122="","",COUNTIFS('30_NGAN_HANG'!$B:$B,A122,'30_NGAN_HANG'!$Y:$Y,"Approved"))</f>
        <v/>
      </c>
    </row>
    <row r="123">
      <c r="P123">
        <f>IF(A123="","",COUNTIF('30_NGAN_HANG'!$B:$B,A123))</f>
        <v/>
      </c>
      <c r="Q123">
        <f>IF(A123="","",COUNTIFS('30_NGAN_HANG'!$B:$B,A123,'30_NGAN_HANG'!$Y:$Y,"Approved"))</f>
        <v/>
      </c>
    </row>
    <row r="124">
      <c r="P124">
        <f>IF(A124="","",COUNTIF('30_NGAN_HANG'!$B:$B,A124))</f>
        <v/>
      </c>
      <c r="Q124">
        <f>IF(A124="","",COUNTIFS('30_NGAN_HANG'!$B:$B,A124,'30_NGAN_HANG'!$Y:$Y,"Approved"))</f>
        <v/>
      </c>
    </row>
    <row r="125">
      <c r="P125">
        <f>IF(A125="","",COUNTIF('30_NGAN_HANG'!$B:$B,A125))</f>
        <v/>
      </c>
      <c r="Q125">
        <f>IF(A125="","",COUNTIFS('30_NGAN_HANG'!$B:$B,A125,'30_NGAN_HANG'!$Y:$Y,"Approved"))</f>
        <v/>
      </c>
    </row>
    <row r="126">
      <c r="P126">
        <f>IF(A126="","",COUNTIF('30_NGAN_HANG'!$B:$B,A126))</f>
        <v/>
      </c>
      <c r="Q126">
        <f>IF(A126="","",COUNTIFS('30_NGAN_HANG'!$B:$B,A126,'30_NGAN_HANG'!$Y:$Y,"Approved"))</f>
        <v/>
      </c>
    </row>
    <row r="127">
      <c r="P127">
        <f>IF(A127="","",COUNTIF('30_NGAN_HANG'!$B:$B,A127))</f>
        <v/>
      </c>
      <c r="Q127">
        <f>IF(A127="","",COUNTIFS('30_NGAN_HANG'!$B:$B,A127,'30_NGAN_HANG'!$Y:$Y,"Approved"))</f>
        <v/>
      </c>
    </row>
    <row r="128">
      <c r="P128">
        <f>IF(A128="","",COUNTIF('30_NGAN_HANG'!$B:$B,A128))</f>
        <v/>
      </c>
      <c r="Q128">
        <f>IF(A128="","",COUNTIFS('30_NGAN_HANG'!$B:$B,A128,'30_NGAN_HANG'!$Y:$Y,"Approved"))</f>
        <v/>
      </c>
    </row>
    <row r="129">
      <c r="P129">
        <f>IF(A129="","",COUNTIF('30_NGAN_HANG'!$B:$B,A129))</f>
        <v/>
      </c>
      <c r="Q129">
        <f>IF(A129="","",COUNTIFS('30_NGAN_HANG'!$B:$B,A129,'30_NGAN_HANG'!$Y:$Y,"Approved"))</f>
        <v/>
      </c>
    </row>
    <row r="130">
      <c r="P130">
        <f>IF(A130="","",COUNTIF('30_NGAN_HANG'!$B:$B,A130))</f>
        <v/>
      </c>
      <c r="Q130">
        <f>IF(A130="","",COUNTIFS('30_NGAN_HANG'!$B:$B,A130,'30_NGAN_HANG'!$Y:$Y,"Approved"))</f>
        <v/>
      </c>
    </row>
    <row r="131">
      <c r="P131">
        <f>IF(A131="","",COUNTIF('30_NGAN_HANG'!$B:$B,A131))</f>
        <v/>
      </c>
      <c r="Q131">
        <f>IF(A131="","",COUNTIFS('30_NGAN_HANG'!$B:$B,A131,'30_NGAN_HANG'!$Y:$Y,"Approved"))</f>
        <v/>
      </c>
    </row>
    <row r="132">
      <c r="P132">
        <f>IF(A132="","",COUNTIF('30_NGAN_HANG'!$B:$B,A132))</f>
        <v/>
      </c>
      <c r="Q132">
        <f>IF(A132="","",COUNTIFS('30_NGAN_HANG'!$B:$B,A132,'30_NGAN_HANG'!$Y:$Y,"Approved"))</f>
        <v/>
      </c>
    </row>
    <row r="133">
      <c r="P133">
        <f>IF(A133="","",COUNTIF('30_NGAN_HANG'!$B:$B,A133))</f>
        <v/>
      </c>
      <c r="Q133">
        <f>IF(A133="","",COUNTIFS('30_NGAN_HANG'!$B:$B,A133,'30_NGAN_HANG'!$Y:$Y,"Approved"))</f>
        <v/>
      </c>
    </row>
    <row r="134">
      <c r="P134">
        <f>IF(A134="","",COUNTIF('30_NGAN_HANG'!$B:$B,A134))</f>
        <v/>
      </c>
      <c r="Q134">
        <f>IF(A134="","",COUNTIFS('30_NGAN_HANG'!$B:$B,A134,'30_NGAN_HANG'!$Y:$Y,"Approved"))</f>
        <v/>
      </c>
    </row>
    <row r="135">
      <c r="P135">
        <f>IF(A135="","",COUNTIF('30_NGAN_HANG'!$B:$B,A135))</f>
        <v/>
      </c>
      <c r="Q135">
        <f>IF(A135="","",COUNTIFS('30_NGAN_HANG'!$B:$B,A135,'30_NGAN_HANG'!$Y:$Y,"Approved"))</f>
        <v/>
      </c>
    </row>
    <row r="136">
      <c r="P136">
        <f>IF(A136="","",COUNTIF('30_NGAN_HANG'!$B:$B,A136))</f>
        <v/>
      </c>
      <c r="Q136">
        <f>IF(A136="","",COUNTIFS('30_NGAN_HANG'!$B:$B,A136,'30_NGAN_HANG'!$Y:$Y,"Approved"))</f>
        <v/>
      </c>
    </row>
    <row r="137">
      <c r="P137">
        <f>IF(A137="","",COUNTIF('30_NGAN_HANG'!$B:$B,A137))</f>
        <v/>
      </c>
      <c r="Q137">
        <f>IF(A137="","",COUNTIFS('30_NGAN_HANG'!$B:$B,A137,'30_NGAN_HANG'!$Y:$Y,"Approved"))</f>
        <v/>
      </c>
    </row>
    <row r="138">
      <c r="P138">
        <f>IF(A138="","",COUNTIF('30_NGAN_HANG'!$B:$B,A138))</f>
        <v/>
      </c>
      <c r="Q138">
        <f>IF(A138="","",COUNTIFS('30_NGAN_HANG'!$B:$B,A138,'30_NGAN_HANG'!$Y:$Y,"Approved"))</f>
        <v/>
      </c>
    </row>
    <row r="139">
      <c r="P139">
        <f>IF(A139="","",COUNTIF('30_NGAN_HANG'!$B:$B,A139))</f>
        <v/>
      </c>
      <c r="Q139">
        <f>IF(A139="","",COUNTIFS('30_NGAN_HANG'!$B:$B,A139,'30_NGAN_HANG'!$Y:$Y,"Approved"))</f>
        <v/>
      </c>
    </row>
    <row r="140">
      <c r="P140">
        <f>IF(A140="","",COUNTIF('30_NGAN_HANG'!$B:$B,A140))</f>
        <v/>
      </c>
      <c r="Q140">
        <f>IF(A140="","",COUNTIFS('30_NGAN_HANG'!$B:$B,A140,'30_NGAN_HANG'!$Y:$Y,"Approved"))</f>
        <v/>
      </c>
    </row>
    <row r="141">
      <c r="P141">
        <f>IF(A141="","",COUNTIF('30_NGAN_HANG'!$B:$B,A141))</f>
        <v/>
      </c>
      <c r="Q141">
        <f>IF(A141="","",COUNTIFS('30_NGAN_HANG'!$B:$B,A141,'30_NGAN_HANG'!$Y:$Y,"Approved"))</f>
        <v/>
      </c>
    </row>
    <row r="142">
      <c r="P142">
        <f>IF(A142="","",COUNTIF('30_NGAN_HANG'!$B:$B,A142))</f>
        <v/>
      </c>
      <c r="Q142">
        <f>IF(A142="","",COUNTIFS('30_NGAN_HANG'!$B:$B,A142,'30_NGAN_HANG'!$Y:$Y,"Approved"))</f>
        <v/>
      </c>
    </row>
    <row r="143">
      <c r="P143">
        <f>IF(A143="","",COUNTIF('30_NGAN_HANG'!$B:$B,A143))</f>
        <v/>
      </c>
      <c r="Q143">
        <f>IF(A143="","",COUNTIFS('30_NGAN_HANG'!$B:$B,A143,'30_NGAN_HANG'!$Y:$Y,"Approved"))</f>
        <v/>
      </c>
    </row>
    <row r="144">
      <c r="P144">
        <f>IF(A144="","",COUNTIF('30_NGAN_HANG'!$B:$B,A144))</f>
        <v/>
      </c>
      <c r="Q144">
        <f>IF(A144="","",COUNTIFS('30_NGAN_HANG'!$B:$B,A144,'30_NGAN_HANG'!$Y:$Y,"Approved"))</f>
        <v/>
      </c>
    </row>
    <row r="145">
      <c r="P145">
        <f>IF(A145="","",COUNTIF('30_NGAN_HANG'!$B:$B,A145))</f>
        <v/>
      </c>
      <c r="Q145">
        <f>IF(A145="","",COUNTIFS('30_NGAN_HANG'!$B:$B,A145,'30_NGAN_HANG'!$Y:$Y,"Approved"))</f>
        <v/>
      </c>
    </row>
    <row r="146">
      <c r="P146">
        <f>IF(A146="","",COUNTIF('30_NGAN_HANG'!$B:$B,A146))</f>
        <v/>
      </c>
      <c r="Q146">
        <f>IF(A146="","",COUNTIFS('30_NGAN_HANG'!$B:$B,A146,'30_NGAN_HANG'!$Y:$Y,"Approved"))</f>
        <v/>
      </c>
    </row>
    <row r="147">
      <c r="P147">
        <f>IF(A147="","",COUNTIF('30_NGAN_HANG'!$B:$B,A147))</f>
        <v/>
      </c>
      <c r="Q147">
        <f>IF(A147="","",COUNTIFS('30_NGAN_HANG'!$B:$B,A147,'30_NGAN_HANG'!$Y:$Y,"Approved"))</f>
        <v/>
      </c>
    </row>
    <row r="148">
      <c r="P148">
        <f>IF(A148="","",COUNTIF('30_NGAN_HANG'!$B:$B,A148))</f>
        <v/>
      </c>
      <c r="Q148">
        <f>IF(A148="","",COUNTIFS('30_NGAN_HANG'!$B:$B,A148,'30_NGAN_HANG'!$Y:$Y,"Approved"))</f>
        <v/>
      </c>
    </row>
    <row r="149">
      <c r="P149">
        <f>IF(A149="","",COUNTIF('30_NGAN_HANG'!$B:$B,A149))</f>
        <v/>
      </c>
      <c r="Q149">
        <f>IF(A149="","",COUNTIFS('30_NGAN_HANG'!$B:$B,A149,'30_NGAN_HANG'!$Y:$Y,"Approved"))</f>
        <v/>
      </c>
    </row>
    <row r="150">
      <c r="P150">
        <f>IF(A150="","",COUNTIF('30_NGAN_HANG'!$B:$B,A150))</f>
        <v/>
      </c>
      <c r="Q150">
        <f>IF(A150="","",COUNTIFS('30_NGAN_HANG'!$B:$B,A150,'30_NGAN_HANG'!$Y:$Y,"Approved"))</f>
        <v/>
      </c>
    </row>
    <row r="151">
      <c r="P151">
        <f>IF(A151="","",COUNTIF('30_NGAN_HANG'!$B:$B,A151))</f>
        <v/>
      </c>
      <c r="Q151">
        <f>IF(A151="","",COUNTIFS('30_NGAN_HANG'!$B:$B,A151,'30_NGAN_HANG'!$Y:$Y,"Approved"))</f>
        <v/>
      </c>
    </row>
    <row r="152">
      <c r="P152">
        <f>IF(A152="","",COUNTIF('30_NGAN_HANG'!$B:$B,A152))</f>
        <v/>
      </c>
      <c r="Q152">
        <f>IF(A152="","",COUNTIFS('30_NGAN_HANG'!$B:$B,A152,'30_NGAN_HANG'!$Y:$Y,"Approved"))</f>
        <v/>
      </c>
    </row>
    <row r="153">
      <c r="P153">
        <f>IF(A153="","",COUNTIF('30_NGAN_HANG'!$B:$B,A153))</f>
        <v/>
      </c>
      <c r="Q153">
        <f>IF(A153="","",COUNTIFS('30_NGAN_HANG'!$B:$B,A153,'30_NGAN_HANG'!$Y:$Y,"Approved"))</f>
        <v/>
      </c>
    </row>
    <row r="154">
      <c r="P154">
        <f>IF(A154="","",COUNTIF('30_NGAN_HANG'!$B:$B,A154))</f>
        <v/>
      </c>
      <c r="Q154">
        <f>IF(A154="","",COUNTIFS('30_NGAN_HANG'!$B:$B,A154,'30_NGAN_HANG'!$Y:$Y,"Approved"))</f>
        <v/>
      </c>
    </row>
    <row r="155">
      <c r="P155">
        <f>IF(A155="","",COUNTIF('30_NGAN_HANG'!$B:$B,A155))</f>
        <v/>
      </c>
      <c r="Q155">
        <f>IF(A155="","",COUNTIFS('30_NGAN_HANG'!$B:$B,A155,'30_NGAN_HANG'!$Y:$Y,"Approved"))</f>
        <v/>
      </c>
    </row>
    <row r="156">
      <c r="P156">
        <f>IF(A156="","",COUNTIF('30_NGAN_HANG'!$B:$B,A156))</f>
        <v/>
      </c>
      <c r="Q156">
        <f>IF(A156="","",COUNTIFS('30_NGAN_HANG'!$B:$B,A156,'30_NGAN_HANG'!$Y:$Y,"Approved"))</f>
        <v/>
      </c>
    </row>
    <row r="157">
      <c r="P157">
        <f>IF(A157="","",COUNTIF('30_NGAN_HANG'!$B:$B,A157))</f>
        <v/>
      </c>
      <c r="Q157">
        <f>IF(A157="","",COUNTIFS('30_NGAN_HANG'!$B:$B,A157,'30_NGAN_HANG'!$Y:$Y,"Approved"))</f>
        <v/>
      </c>
    </row>
    <row r="158">
      <c r="P158">
        <f>IF(A158="","",COUNTIF('30_NGAN_HANG'!$B:$B,A158))</f>
        <v/>
      </c>
      <c r="Q158">
        <f>IF(A158="","",COUNTIFS('30_NGAN_HANG'!$B:$B,A158,'30_NGAN_HANG'!$Y:$Y,"Approved"))</f>
        <v/>
      </c>
    </row>
    <row r="159">
      <c r="P159">
        <f>IF(A159="","",COUNTIF('30_NGAN_HANG'!$B:$B,A159))</f>
        <v/>
      </c>
      <c r="Q159">
        <f>IF(A159="","",COUNTIFS('30_NGAN_HANG'!$B:$B,A159,'30_NGAN_HANG'!$Y:$Y,"Approved"))</f>
        <v/>
      </c>
    </row>
    <row r="160">
      <c r="P160">
        <f>IF(A160="","",COUNTIF('30_NGAN_HANG'!$B:$B,A160))</f>
        <v/>
      </c>
      <c r="Q160">
        <f>IF(A160="","",COUNTIFS('30_NGAN_HANG'!$B:$B,A160,'30_NGAN_HANG'!$Y:$Y,"Approved"))</f>
        <v/>
      </c>
    </row>
    <row r="161">
      <c r="P161">
        <f>IF(A161="","",COUNTIF('30_NGAN_HANG'!$B:$B,A161))</f>
        <v/>
      </c>
      <c r="Q161">
        <f>IF(A161="","",COUNTIFS('30_NGAN_HANG'!$B:$B,A161,'30_NGAN_HANG'!$Y:$Y,"Approved"))</f>
        <v/>
      </c>
    </row>
    <row r="162">
      <c r="P162">
        <f>IF(A162="","",COUNTIF('30_NGAN_HANG'!$B:$B,A162))</f>
        <v/>
      </c>
      <c r="Q162">
        <f>IF(A162="","",COUNTIFS('30_NGAN_HANG'!$B:$B,A162,'30_NGAN_HANG'!$Y:$Y,"Approved"))</f>
        <v/>
      </c>
    </row>
    <row r="163">
      <c r="P163">
        <f>IF(A163="","",COUNTIF('30_NGAN_HANG'!$B:$B,A163))</f>
        <v/>
      </c>
      <c r="Q163">
        <f>IF(A163="","",COUNTIFS('30_NGAN_HANG'!$B:$B,A163,'30_NGAN_HANG'!$Y:$Y,"Approved"))</f>
        <v/>
      </c>
    </row>
    <row r="164">
      <c r="P164">
        <f>IF(A164="","",COUNTIF('30_NGAN_HANG'!$B:$B,A164))</f>
        <v/>
      </c>
      <c r="Q164">
        <f>IF(A164="","",COUNTIFS('30_NGAN_HANG'!$B:$B,A164,'30_NGAN_HANG'!$Y:$Y,"Approved"))</f>
        <v/>
      </c>
    </row>
    <row r="165">
      <c r="P165">
        <f>IF(A165="","",COUNTIF('30_NGAN_HANG'!$B:$B,A165))</f>
        <v/>
      </c>
      <c r="Q165">
        <f>IF(A165="","",COUNTIFS('30_NGAN_HANG'!$B:$B,A165,'30_NGAN_HANG'!$Y:$Y,"Approved"))</f>
        <v/>
      </c>
    </row>
    <row r="166">
      <c r="P166">
        <f>IF(A166="","",COUNTIF('30_NGAN_HANG'!$B:$B,A166))</f>
        <v/>
      </c>
      <c r="Q166">
        <f>IF(A166="","",COUNTIFS('30_NGAN_HANG'!$B:$B,A166,'30_NGAN_HANG'!$Y:$Y,"Approved"))</f>
        <v/>
      </c>
    </row>
    <row r="167">
      <c r="P167">
        <f>IF(A167="","",COUNTIF('30_NGAN_HANG'!$B:$B,A167))</f>
        <v/>
      </c>
      <c r="Q167">
        <f>IF(A167="","",COUNTIFS('30_NGAN_HANG'!$B:$B,A167,'30_NGAN_HANG'!$Y:$Y,"Approved"))</f>
        <v/>
      </c>
    </row>
    <row r="168">
      <c r="P168">
        <f>IF(A168="","",COUNTIF('30_NGAN_HANG'!$B:$B,A168))</f>
        <v/>
      </c>
      <c r="Q168">
        <f>IF(A168="","",COUNTIFS('30_NGAN_HANG'!$B:$B,A168,'30_NGAN_HANG'!$Y:$Y,"Approved"))</f>
        <v/>
      </c>
    </row>
    <row r="169">
      <c r="P169">
        <f>IF(A169="","",COUNTIF('30_NGAN_HANG'!$B:$B,A169))</f>
        <v/>
      </c>
      <c r="Q169">
        <f>IF(A169="","",COUNTIFS('30_NGAN_HANG'!$B:$B,A169,'30_NGAN_HANG'!$Y:$Y,"Approved"))</f>
        <v/>
      </c>
    </row>
    <row r="170">
      <c r="P170">
        <f>IF(A170="","",COUNTIF('30_NGAN_HANG'!$B:$B,A170))</f>
        <v/>
      </c>
      <c r="Q170">
        <f>IF(A170="","",COUNTIFS('30_NGAN_HANG'!$B:$B,A170,'30_NGAN_HANG'!$Y:$Y,"Approved"))</f>
        <v/>
      </c>
    </row>
    <row r="171">
      <c r="P171">
        <f>IF(A171="","",COUNTIF('30_NGAN_HANG'!$B:$B,A171))</f>
        <v/>
      </c>
      <c r="Q171">
        <f>IF(A171="","",COUNTIFS('30_NGAN_HANG'!$B:$B,A171,'30_NGAN_HANG'!$Y:$Y,"Approved"))</f>
        <v/>
      </c>
    </row>
    <row r="172">
      <c r="P172">
        <f>IF(A172="","",COUNTIF('30_NGAN_HANG'!$B:$B,A172))</f>
        <v/>
      </c>
      <c r="Q172">
        <f>IF(A172="","",COUNTIFS('30_NGAN_HANG'!$B:$B,A172,'30_NGAN_HANG'!$Y:$Y,"Approved"))</f>
        <v/>
      </c>
    </row>
    <row r="173">
      <c r="P173">
        <f>IF(A173="","",COUNTIF('30_NGAN_HANG'!$B:$B,A173))</f>
        <v/>
      </c>
      <c r="Q173">
        <f>IF(A173="","",COUNTIFS('30_NGAN_HANG'!$B:$B,A173,'30_NGAN_HANG'!$Y:$Y,"Approved"))</f>
        <v/>
      </c>
    </row>
    <row r="174">
      <c r="P174">
        <f>IF(A174="","",COUNTIF('30_NGAN_HANG'!$B:$B,A174))</f>
        <v/>
      </c>
      <c r="Q174">
        <f>IF(A174="","",COUNTIFS('30_NGAN_HANG'!$B:$B,A174,'30_NGAN_HANG'!$Y:$Y,"Approved"))</f>
        <v/>
      </c>
    </row>
    <row r="175">
      <c r="P175">
        <f>IF(A175="","",COUNTIF('30_NGAN_HANG'!$B:$B,A175))</f>
        <v/>
      </c>
      <c r="Q175">
        <f>IF(A175="","",COUNTIFS('30_NGAN_HANG'!$B:$B,A175,'30_NGAN_HANG'!$Y:$Y,"Approved"))</f>
        <v/>
      </c>
    </row>
    <row r="176">
      <c r="P176">
        <f>IF(A176="","",COUNTIF('30_NGAN_HANG'!$B:$B,A176))</f>
        <v/>
      </c>
      <c r="Q176">
        <f>IF(A176="","",COUNTIFS('30_NGAN_HANG'!$B:$B,A176,'30_NGAN_HANG'!$Y:$Y,"Approved"))</f>
        <v/>
      </c>
    </row>
    <row r="177">
      <c r="P177">
        <f>IF(A177="","",COUNTIF('30_NGAN_HANG'!$B:$B,A177))</f>
        <v/>
      </c>
      <c r="Q177">
        <f>IF(A177="","",COUNTIFS('30_NGAN_HANG'!$B:$B,A177,'30_NGAN_HANG'!$Y:$Y,"Approved"))</f>
        <v/>
      </c>
    </row>
    <row r="178">
      <c r="P178">
        <f>IF(A178="","",COUNTIF('30_NGAN_HANG'!$B:$B,A178))</f>
        <v/>
      </c>
      <c r="Q178">
        <f>IF(A178="","",COUNTIFS('30_NGAN_HANG'!$B:$B,A178,'30_NGAN_HANG'!$Y:$Y,"Approved"))</f>
        <v/>
      </c>
    </row>
    <row r="179">
      <c r="P179">
        <f>IF(A179="","",COUNTIF('30_NGAN_HANG'!$B:$B,A179))</f>
        <v/>
      </c>
      <c r="Q179">
        <f>IF(A179="","",COUNTIFS('30_NGAN_HANG'!$B:$B,A179,'30_NGAN_HANG'!$Y:$Y,"Approved"))</f>
        <v/>
      </c>
    </row>
    <row r="180">
      <c r="P180">
        <f>IF(A180="","",COUNTIF('30_NGAN_HANG'!$B:$B,A180))</f>
        <v/>
      </c>
      <c r="Q180">
        <f>IF(A180="","",COUNTIFS('30_NGAN_HANG'!$B:$B,A180,'30_NGAN_HANG'!$Y:$Y,"Approved"))</f>
        <v/>
      </c>
    </row>
    <row r="181">
      <c r="P181">
        <f>IF(A181="","",COUNTIF('30_NGAN_HANG'!$B:$B,A181))</f>
        <v/>
      </c>
      <c r="Q181">
        <f>IF(A181="","",COUNTIFS('30_NGAN_HANG'!$B:$B,A181,'30_NGAN_HANG'!$Y:$Y,"Approved"))</f>
        <v/>
      </c>
    </row>
    <row r="182">
      <c r="P182">
        <f>IF(A182="","",COUNTIF('30_NGAN_HANG'!$B:$B,A182))</f>
        <v/>
      </c>
      <c r="Q182">
        <f>IF(A182="","",COUNTIFS('30_NGAN_HANG'!$B:$B,A182,'30_NGAN_HANG'!$Y:$Y,"Approved"))</f>
        <v/>
      </c>
    </row>
    <row r="183">
      <c r="P183">
        <f>IF(A183="","",COUNTIF('30_NGAN_HANG'!$B:$B,A183))</f>
        <v/>
      </c>
      <c r="Q183">
        <f>IF(A183="","",COUNTIFS('30_NGAN_HANG'!$B:$B,A183,'30_NGAN_HANG'!$Y:$Y,"Approved"))</f>
        <v/>
      </c>
    </row>
    <row r="184">
      <c r="P184">
        <f>IF(A184="","",COUNTIF('30_NGAN_HANG'!$B:$B,A184))</f>
        <v/>
      </c>
      <c r="Q184">
        <f>IF(A184="","",COUNTIFS('30_NGAN_HANG'!$B:$B,A184,'30_NGAN_HANG'!$Y:$Y,"Approved"))</f>
        <v/>
      </c>
    </row>
    <row r="185">
      <c r="P185">
        <f>IF(A185="","",COUNTIF('30_NGAN_HANG'!$B:$B,A185))</f>
        <v/>
      </c>
      <c r="Q185">
        <f>IF(A185="","",COUNTIFS('30_NGAN_HANG'!$B:$B,A185,'30_NGAN_HANG'!$Y:$Y,"Approved"))</f>
        <v/>
      </c>
    </row>
    <row r="186">
      <c r="P186">
        <f>IF(A186="","",COUNTIF('30_NGAN_HANG'!$B:$B,A186))</f>
        <v/>
      </c>
      <c r="Q186">
        <f>IF(A186="","",COUNTIFS('30_NGAN_HANG'!$B:$B,A186,'30_NGAN_HANG'!$Y:$Y,"Approved"))</f>
        <v/>
      </c>
    </row>
    <row r="187">
      <c r="P187">
        <f>IF(A187="","",COUNTIF('30_NGAN_HANG'!$B:$B,A187))</f>
        <v/>
      </c>
      <c r="Q187">
        <f>IF(A187="","",COUNTIFS('30_NGAN_HANG'!$B:$B,A187,'30_NGAN_HANG'!$Y:$Y,"Approved"))</f>
        <v/>
      </c>
    </row>
    <row r="188">
      <c r="P188">
        <f>IF(A188="","",COUNTIF('30_NGAN_HANG'!$B:$B,A188))</f>
        <v/>
      </c>
      <c r="Q188">
        <f>IF(A188="","",COUNTIFS('30_NGAN_HANG'!$B:$B,A188,'30_NGAN_HANG'!$Y:$Y,"Approved"))</f>
        <v/>
      </c>
    </row>
    <row r="189">
      <c r="P189">
        <f>IF(A189="","",COUNTIF('30_NGAN_HANG'!$B:$B,A189))</f>
        <v/>
      </c>
      <c r="Q189">
        <f>IF(A189="","",COUNTIFS('30_NGAN_HANG'!$B:$B,A189,'30_NGAN_HANG'!$Y:$Y,"Approved"))</f>
        <v/>
      </c>
    </row>
    <row r="190">
      <c r="P190">
        <f>IF(A190="","",COUNTIF('30_NGAN_HANG'!$B:$B,A190))</f>
        <v/>
      </c>
      <c r="Q190">
        <f>IF(A190="","",COUNTIFS('30_NGAN_HANG'!$B:$B,A190,'30_NGAN_HANG'!$Y:$Y,"Approved"))</f>
        <v/>
      </c>
    </row>
    <row r="191">
      <c r="P191">
        <f>IF(A191="","",COUNTIF('30_NGAN_HANG'!$B:$B,A191))</f>
        <v/>
      </c>
      <c r="Q191">
        <f>IF(A191="","",COUNTIFS('30_NGAN_HANG'!$B:$B,A191,'30_NGAN_HANG'!$Y:$Y,"Approved"))</f>
        <v/>
      </c>
    </row>
    <row r="192">
      <c r="P192">
        <f>IF(A192="","",COUNTIF('30_NGAN_HANG'!$B:$B,A192))</f>
        <v/>
      </c>
      <c r="Q192">
        <f>IF(A192="","",COUNTIFS('30_NGAN_HANG'!$B:$B,A192,'30_NGAN_HANG'!$Y:$Y,"Approved"))</f>
        <v/>
      </c>
    </row>
    <row r="193">
      <c r="P193">
        <f>IF(A193="","",COUNTIF('30_NGAN_HANG'!$B:$B,A193))</f>
        <v/>
      </c>
      <c r="Q193">
        <f>IF(A193="","",COUNTIFS('30_NGAN_HANG'!$B:$B,A193,'30_NGAN_HANG'!$Y:$Y,"Approved"))</f>
        <v/>
      </c>
    </row>
    <row r="194">
      <c r="P194">
        <f>IF(A194="","",COUNTIF('30_NGAN_HANG'!$B:$B,A194))</f>
        <v/>
      </c>
      <c r="Q194">
        <f>IF(A194="","",COUNTIFS('30_NGAN_HANG'!$B:$B,A194,'30_NGAN_HANG'!$Y:$Y,"Approved"))</f>
        <v/>
      </c>
    </row>
    <row r="195">
      <c r="P195">
        <f>IF(A195="","",COUNTIF('30_NGAN_HANG'!$B:$B,A195))</f>
        <v/>
      </c>
      <c r="Q195">
        <f>IF(A195="","",COUNTIFS('30_NGAN_HANG'!$B:$B,A195,'30_NGAN_HANG'!$Y:$Y,"Approved"))</f>
        <v/>
      </c>
    </row>
    <row r="196">
      <c r="P196">
        <f>IF(A196="","",COUNTIF('30_NGAN_HANG'!$B:$B,A196))</f>
        <v/>
      </c>
      <c r="Q196">
        <f>IF(A196="","",COUNTIFS('30_NGAN_HANG'!$B:$B,A196,'30_NGAN_HANG'!$Y:$Y,"Approved"))</f>
        <v/>
      </c>
    </row>
    <row r="197">
      <c r="P197">
        <f>IF(A197="","",COUNTIF('30_NGAN_HANG'!$B:$B,A197))</f>
        <v/>
      </c>
      <c r="Q197">
        <f>IF(A197="","",COUNTIFS('30_NGAN_HANG'!$B:$B,A197,'30_NGAN_HANG'!$Y:$Y,"Approved"))</f>
        <v/>
      </c>
    </row>
    <row r="198">
      <c r="P198">
        <f>IF(A198="","",COUNTIF('30_NGAN_HANG'!$B:$B,A198))</f>
        <v/>
      </c>
      <c r="Q198">
        <f>IF(A198="","",COUNTIFS('30_NGAN_HANG'!$B:$B,A198,'30_NGAN_HANG'!$Y:$Y,"Approved"))</f>
        <v/>
      </c>
    </row>
    <row r="199">
      <c r="P199">
        <f>IF(A199="","",COUNTIF('30_NGAN_HANG'!$B:$B,A199))</f>
        <v/>
      </c>
      <c r="Q199">
        <f>IF(A199="","",COUNTIFS('30_NGAN_HANG'!$B:$B,A199,'30_NGAN_HANG'!$Y:$Y,"Approved"))</f>
        <v/>
      </c>
    </row>
    <row r="200">
      <c r="P200">
        <f>IF(A200="","",COUNTIF('30_NGAN_HANG'!$B:$B,A200))</f>
        <v/>
      </c>
      <c r="Q200">
        <f>IF(A200="","",COUNTIFS('30_NGAN_HANG'!$B:$B,A200,'30_NGAN_HANG'!$Y:$Y,"Approved"))</f>
        <v/>
      </c>
    </row>
    <row r="201">
      <c r="P201">
        <f>IF(A201="","",COUNTIF('30_NGAN_HANG'!$B:$B,A201))</f>
        <v/>
      </c>
      <c r="Q201">
        <f>IF(A201="","",COUNTIFS('30_NGAN_HANG'!$B:$B,A201,'30_NGAN_HANG'!$Y:$Y,"Approved"))</f>
        <v/>
      </c>
    </row>
    <row r="202">
      <c r="P202">
        <f>IF(A202="","",COUNTIF('30_NGAN_HANG'!$B:$B,A202))</f>
        <v/>
      </c>
      <c r="Q202">
        <f>IF(A202="","",COUNTIFS('30_NGAN_HANG'!$B:$B,A202,'30_NGAN_HANG'!$Y:$Y,"Approved"))</f>
        <v/>
      </c>
    </row>
    <row r="203">
      <c r="P203">
        <f>IF(A203="","",COUNTIF('30_NGAN_HANG'!$B:$B,A203))</f>
        <v/>
      </c>
      <c r="Q203">
        <f>IF(A203="","",COUNTIFS('30_NGAN_HANG'!$B:$B,A203,'30_NGAN_HANG'!$Y:$Y,"Approved"))</f>
        <v/>
      </c>
    </row>
    <row r="204">
      <c r="P204">
        <f>IF(A204="","",COUNTIF('30_NGAN_HANG'!$B:$B,A204))</f>
        <v/>
      </c>
      <c r="Q204">
        <f>IF(A204="","",COUNTIFS('30_NGAN_HANG'!$B:$B,A204,'30_NGAN_HANG'!$Y:$Y,"Approved"))</f>
        <v/>
      </c>
    </row>
    <row r="205">
      <c r="P205">
        <f>IF(A205="","",COUNTIF('30_NGAN_HANG'!$B:$B,A205))</f>
        <v/>
      </c>
      <c r="Q205">
        <f>IF(A205="","",COUNTIFS('30_NGAN_HANG'!$B:$B,A205,'30_NGAN_HANG'!$Y:$Y,"Approved"))</f>
        <v/>
      </c>
    </row>
    <row r="206">
      <c r="P206">
        <f>IF(A206="","",COUNTIF('30_NGAN_HANG'!$B:$B,A206))</f>
        <v/>
      </c>
      <c r="Q206">
        <f>IF(A206="","",COUNTIFS('30_NGAN_HANG'!$B:$B,A206,'30_NGAN_HANG'!$Y:$Y,"Approved"))</f>
        <v/>
      </c>
    </row>
    <row r="207">
      <c r="P207">
        <f>IF(A207="","",COUNTIF('30_NGAN_HANG'!$B:$B,A207))</f>
        <v/>
      </c>
      <c r="Q207">
        <f>IF(A207="","",COUNTIFS('30_NGAN_HANG'!$B:$B,A207,'30_NGAN_HANG'!$Y:$Y,"Approved"))</f>
        <v/>
      </c>
    </row>
    <row r="208">
      <c r="P208">
        <f>IF(A208="","",COUNTIF('30_NGAN_HANG'!$B:$B,A208))</f>
        <v/>
      </c>
      <c r="Q208">
        <f>IF(A208="","",COUNTIFS('30_NGAN_HANG'!$B:$B,A208,'30_NGAN_HANG'!$Y:$Y,"Approved"))</f>
        <v/>
      </c>
    </row>
    <row r="209">
      <c r="P209">
        <f>IF(A209="","",COUNTIF('30_NGAN_HANG'!$B:$B,A209))</f>
        <v/>
      </c>
      <c r="Q209">
        <f>IF(A209="","",COUNTIFS('30_NGAN_HANG'!$B:$B,A209,'30_NGAN_HANG'!$Y:$Y,"Approved"))</f>
        <v/>
      </c>
    </row>
    <row r="210">
      <c r="P210">
        <f>IF(A210="","",COUNTIF('30_NGAN_HANG'!$B:$B,A210))</f>
        <v/>
      </c>
      <c r="Q210">
        <f>IF(A210="","",COUNTIFS('30_NGAN_HANG'!$B:$B,A210,'30_NGAN_HANG'!$Y:$Y,"Approved"))</f>
        <v/>
      </c>
    </row>
    <row r="211">
      <c r="P211">
        <f>IF(A211="","",COUNTIF('30_NGAN_HANG'!$B:$B,A211))</f>
        <v/>
      </c>
      <c r="Q211">
        <f>IF(A211="","",COUNTIFS('30_NGAN_HANG'!$B:$B,A211,'30_NGAN_HANG'!$Y:$Y,"Approved"))</f>
        <v/>
      </c>
    </row>
    <row r="212">
      <c r="P212">
        <f>IF(A212="","",COUNTIF('30_NGAN_HANG'!$B:$B,A212))</f>
        <v/>
      </c>
      <c r="Q212">
        <f>IF(A212="","",COUNTIFS('30_NGAN_HANG'!$B:$B,A212,'30_NGAN_HANG'!$Y:$Y,"Approved"))</f>
        <v/>
      </c>
    </row>
    <row r="213">
      <c r="P213">
        <f>IF(A213="","",COUNTIF('30_NGAN_HANG'!$B:$B,A213))</f>
        <v/>
      </c>
      <c r="Q213">
        <f>IF(A213="","",COUNTIFS('30_NGAN_HANG'!$B:$B,A213,'30_NGAN_HANG'!$Y:$Y,"Approved"))</f>
        <v/>
      </c>
    </row>
    <row r="214">
      <c r="P214">
        <f>IF(A214="","",COUNTIF('30_NGAN_HANG'!$B:$B,A214))</f>
        <v/>
      </c>
      <c r="Q214">
        <f>IF(A214="","",COUNTIFS('30_NGAN_HANG'!$B:$B,A214,'30_NGAN_HANG'!$Y:$Y,"Approved"))</f>
        <v/>
      </c>
    </row>
    <row r="215">
      <c r="P215">
        <f>IF(A215="","",COUNTIF('30_NGAN_HANG'!$B:$B,A215))</f>
        <v/>
      </c>
      <c r="Q215">
        <f>IF(A215="","",COUNTIFS('30_NGAN_HANG'!$B:$B,A215,'30_NGAN_HANG'!$Y:$Y,"Approved"))</f>
        <v/>
      </c>
    </row>
    <row r="216">
      <c r="P216">
        <f>IF(A216="","",COUNTIF('30_NGAN_HANG'!$B:$B,A216))</f>
        <v/>
      </c>
      <c r="Q216">
        <f>IF(A216="","",COUNTIFS('30_NGAN_HANG'!$B:$B,A216,'30_NGAN_HANG'!$Y:$Y,"Approved"))</f>
        <v/>
      </c>
    </row>
    <row r="217">
      <c r="P217">
        <f>IF(A217="","",COUNTIF('30_NGAN_HANG'!$B:$B,A217))</f>
        <v/>
      </c>
      <c r="Q217">
        <f>IF(A217="","",COUNTIFS('30_NGAN_HANG'!$B:$B,A217,'30_NGAN_HANG'!$Y:$Y,"Approved"))</f>
        <v/>
      </c>
    </row>
    <row r="218">
      <c r="P218">
        <f>IF(A218="","",COUNTIF('30_NGAN_HANG'!$B:$B,A218))</f>
        <v/>
      </c>
      <c r="Q218">
        <f>IF(A218="","",COUNTIFS('30_NGAN_HANG'!$B:$B,A218,'30_NGAN_HANG'!$Y:$Y,"Approved"))</f>
        <v/>
      </c>
    </row>
    <row r="219">
      <c r="P219">
        <f>IF(A219="","",COUNTIF('30_NGAN_HANG'!$B:$B,A219))</f>
        <v/>
      </c>
      <c r="Q219">
        <f>IF(A219="","",COUNTIFS('30_NGAN_HANG'!$B:$B,A219,'30_NGAN_HANG'!$Y:$Y,"Approved"))</f>
        <v/>
      </c>
    </row>
    <row r="220">
      <c r="P220">
        <f>IF(A220="","",COUNTIF('30_NGAN_HANG'!$B:$B,A220))</f>
        <v/>
      </c>
      <c r="Q220">
        <f>IF(A220="","",COUNTIFS('30_NGAN_HANG'!$B:$B,A220,'30_NGAN_HANG'!$Y:$Y,"Approved"))</f>
        <v/>
      </c>
    </row>
    <row r="221">
      <c r="P221">
        <f>IF(A221="","",COUNTIF('30_NGAN_HANG'!$B:$B,A221))</f>
        <v/>
      </c>
      <c r="Q221">
        <f>IF(A221="","",COUNTIFS('30_NGAN_HANG'!$B:$B,A221,'30_NGAN_HANG'!$Y:$Y,"Approved"))</f>
        <v/>
      </c>
    </row>
    <row r="222">
      <c r="P222">
        <f>IF(A222="","",COUNTIF('30_NGAN_HANG'!$B:$B,A222))</f>
        <v/>
      </c>
      <c r="Q222">
        <f>IF(A222="","",COUNTIFS('30_NGAN_HANG'!$B:$B,A222,'30_NGAN_HANG'!$Y:$Y,"Approved"))</f>
        <v/>
      </c>
    </row>
    <row r="223">
      <c r="P223">
        <f>IF(A223="","",COUNTIF('30_NGAN_HANG'!$B:$B,A223))</f>
        <v/>
      </c>
      <c r="Q223">
        <f>IF(A223="","",COUNTIFS('30_NGAN_HANG'!$B:$B,A223,'30_NGAN_HANG'!$Y:$Y,"Approved"))</f>
        <v/>
      </c>
    </row>
    <row r="224">
      <c r="P224">
        <f>IF(A224="","",COUNTIF('30_NGAN_HANG'!$B:$B,A224))</f>
        <v/>
      </c>
      <c r="Q224">
        <f>IF(A224="","",COUNTIFS('30_NGAN_HANG'!$B:$B,A224,'30_NGAN_HANG'!$Y:$Y,"Approved"))</f>
        <v/>
      </c>
    </row>
    <row r="225">
      <c r="P225">
        <f>IF(A225="","",COUNTIF('30_NGAN_HANG'!$B:$B,A225))</f>
        <v/>
      </c>
      <c r="Q225">
        <f>IF(A225="","",COUNTIFS('30_NGAN_HANG'!$B:$B,A225,'30_NGAN_HANG'!$Y:$Y,"Approved"))</f>
        <v/>
      </c>
    </row>
    <row r="226">
      <c r="P226">
        <f>IF(A226="","",COUNTIF('30_NGAN_HANG'!$B:$B,A226))</f>
        <v/>
      </c>
      <c r="Q226">
        <f>IF(A226="","",COUNTIFS('30_NGAN_HANG'!$B:$B,A226,'30_NGAN_HANG'!$Y:$Y,"Approved"))</f>
        <v/>
      </c>
    </row>
    <row r="227">
      <c r="P227">
        <f>IF(A227="","",COUNTIF('30_NGAN_HANG'!$B:$B,A227))</f>
        <v/>
      </c>
      <c r="Q227">
        <f>IF(A227="","",COUNTIFS('30_NGAN_HANG'!$B:$B,A227,'30_NGAN_HANG'!$Y:$Y,"Approved"))</f>
        <v/>
      </c>
    </row>
    <row r="228">
      <c r="P228">
        <f>IF(A228="","",COUNTIF('30_NGAN_HANG'!$B:$B,A228))</f>
        <v/>
      </c>
      <c r="Q228">
        <f>IF(A228="","",COUNTIFS('30_NGAN_HANG'!$B:$B,A228,'30_NGAN_HANG'!$Y:$Y,"Approved"))</f>
        <v/>
      </c>
    </row>
    <row r="229">
      <c r="P229">
        <f>IF(A229="","",COUNTIF('30_NGAN_HANG'!$B:$B,A229))</f>
        <v/>
      </c>
      <c r="Q229">
        <f>IF(A229="","",COUNTIFS('30_NGAN_HANG'!$B:$B,A229,'30_NGAN_HANG'!$Y:$Y,"Approved"))</f>
        <v/>
      </c>
    </row>
    <row r="230">
      <c r="P230">
        <f>IF(A230="","",COUNTIF('30_NGAN_HANG'!$B:$B,A230))</f>
        <v/>
      </c>
      <c r="Q230">
        <f>IF(A230="","",COUNTIFS('30_NGAN_HANG'!$B:$B,A230,'30_NGAN_HANG'!$Y:$Y,"Approved"))</f>
        <v/>
      </c>
    </row>
    <row r="231">
      <c r="P231">
        <f>IF(A231="","",COUNTIF('30_NGAN_HANG'!$B:$B,A231))</f>
        <v/>
      </c>
      <c r="Q231">
        <f>IF(A231="","",COUNTIFS('30_NGAN_HANG'!$B:$B,A231,'30_NGAN_HANG'!$Y:$Y,"Approved"))</f>
        <v/>
      </c>
    </row>
    <row r="232">
      <c r="P232">
        <f>IF(A232="","",COUNTIF('30_NGAN_HANG'!$B:$B,A232))</f>
        <v/>
      </c>
      <c r="Q232">
        <f>IF(A232="","",COUNTIFS('30_NGAN_HANG'!$B:$B,A232,'30_NGAN_HANG'!$Y:$Y,"Approved"))</f>
        <v/>
      </c>
    </row>
    <row r="233">
      <c r="P233">
        <f>IF(A233="","",COUNTIF('30_NGAN_HANG'!$B:$B,A233))</f>
        <v/>
      </c>
      <c r="Q233">
        <f>IF(A233="","",COUNTIFS('30_NGAN_HANG'!$B:$B,A233,'30_NGAN_HANG'!$Y:$Y,"Approved"))</f>
        <v/>
      </c>
    </row>
    <row r="234">
      <c r="P234">
        <f>IF(A234="","",COUNTIF('30_NGAN_HANG'!$B:$B,A234))</f>
        <v/>
      </c>
      <c r="Q234">
        <f>IF(A234="","",COUNTIFS('30_NGAN_HANG'!$B:$B,A234,'30_NGAN_HANG'!$Y:$Y,"Approved"))</f>
        <v/>
      </c>
    </row>
    <row r="235">
      <c r="P235">
        <f>IF(A235="","",COUNTIF('30_NGAN_HANG'!$B:$B,A235))</f>
        <v/>
      </c>
      <c r="Q235">
        <f>IF(A235="","",COUNTIFS('30_NGAN_HANG'!$B:$B,A235,'30_NGAN_HANG'!$Y:$Y,"Approved"))</f>
        <v/>
      </c>
    </row>
    <row r="236">
      <c r="P236">
        <f>IF(A236="","",COUNTIF('30_NGAN_HANG'!$B:$B,A236))</f>
        <v/>
      </c>
      <c r="Q236">
        <f>IF(A236="","",COUNTIFS('30_NGAN_HANG'!$B:$B,A236,'30_NGAN_HANG'!$Y:$Y,"Approved"))</f>
        <v/>
      </c>
    </row>
    <row r="237">
      <c r="P237">
        <f>IF(A237="","",COUNTIF('30_NGAN_HANG'!$B:$B,A237))</f>
        <v/>
      </c>
      <c r="Q237">
        <f>IF(A237="","",COUNTIFS('30_NGAN_HANG'!$B:$B,A237,'30_NGAN_HANG'!$Y:$Y,"Approved"))</f>
        <v/>
      </c>
    </row>
    <row r="238">
      <c r="P238">
        <f>IF(A238="","",COUNTIF('30_NGAN_HANG'!$B:$B,A238))</f>
        <v/>
      </c>
      <c r="Q238">
        <f>IF(A238="","",COUNTIFS('30_NGAN_HANG'!$B:$B,A238,'30_NGAN_HANG'!$Y:$Y,"Approved"))</f>
        <v/>
      </c>
    </row>
    <row r="239">
      <c r="P239">
        <f>IF(A239="","",COUNTIF('30_NGAN_HANG'!$B:$B,A239))</f>
        <v/>
      </c>
      <c r="Q239">
        <f>IF(A239="","",COUNTIFS('30_NGAN_HANG'!$B:$B,A239,'30_NGAN_HANG'!$Y:$Y,"Approved"))</f>
        <v/>
      </c>
    </row>
    <row r="240">
      <c r="P240">
        <f>IF(A240="","",COUNTIF('30_NGAN_HANG'!$B:$B,A240))</f>
        <v/>
      </c>
      <c r="Q240">
        <f>IF(A240="","",COUNTIFS('30_NGAN_HANG'!$B:$B,A240,'30_NGAN_HANG'!$Y:$Y,"Approved"))</f>
        <v/>
      </c>
    </row>
    <row r="241">
      <c r="P241">
        <f>IF(A241="","",COUNTIF('30_NGAN_HANG'!$B:$B,A241))</f>
        <v/>
      </c>
      <c r="Q241">
        <f>IF(A241="","",COUNTIFS('30_NGAN_HANG'!$B:$B,A241,'30_NGAN_HANG'!$Y:$Y,"Approved"))</f>
        <v/>
      </c>
    </row>
    <row r="242">
      <c r="P242">
        <f>IF(A242="","",COUNTIF('30_NGAN_HANG'!$B:$B,A242))</f>
        <v/>
      </c>
      <c r="Q242">
        <f>IF(A242="","",COUNTIFS('30_NGAN_HANG'!$B:$B,A242,'30_NGAN_HANG'!$Y:$Y,"Approved"))</f>
        <v/>
      </c>
    </row>
    <row r="243">
      <c r="P243">
        <f>IF(A243="","",COUNTIF('30_NGAN_HANG'!$B:$B,A243))</f>
        <v/>
      </c>
      <c r="Q243">
        <f>IF(A243="","",COUNTIFS('30_NGAN_HANG'!$B:$B,A243,'30_NGAN_HANG'!$Y:$Y,"Approved"))</f>
        <v/>
      </c>
    </row>
    <row r="244">
      <c r="P244">
        <f>IF(A244="","",COUNTIF('30_NGAN_HANG'!$B:$B,A244))</f>
        <v/>
      </c>
      <c r="Q244">
        <f>IF(A244="","",COUNTIFS('30_NGAN_HANG'!$B:$B,A244,'30_NGAN_HANG'!$Y:$Y,"Approved"))</f>
        <v/>
      </c>
    </row>
    <row r="245">
      <c r="P245">
        <f>IF(A245="","",COUNTIF('30_NGAN_HANG'!$B:$B,A245))</f>
        <v/>
      </c>
      <c r="Q245">
        <f>IF(A245="","",COUNTIFS('30_NGAN_HANG'!$B:$B,A245,'30_NGAN_HANG'!$Y:$Y,"Approved"))</f>
        <v/>
      </c>
    </row>
    <row r="246">
      <c r="P246">
        <f>IF(A246="","",COUNTIF('30_NGAN_HANG'!$B:$B,A246))</f>
        <v/>
      </c>
      <c r="Q246">
        <f>IF(A246="","",COUNTIFS('30_NGAN_HANG'!$B:$B,A246,'30_NGAN_HANG'!$Y:$Y,"Approved"))</f>
        <v/>
      </c>
    </row>
    <row r="247">
      <c r="P247">
        <f>IF(A247="","",COUNTIF('30_NGAN_HANG'!$B:$B,A247))</f>
        <v/>
      </c>
      <c r="Q247">
        <f>IF(A247="","",COUNTIFS('30_NGAN_HANG'!$B:$B,A247,'30_NGAN_HANG'!$Y:$Y,"Approved"))</f>
        <v/>
      </c>
    </row>
    <row r="248">
      <c r="P248">
        <f>IF(A248="","",COUNTIF('30_NGAN_HANG'!$B:$B,A248))</f>
        <v/>
      </c>
      <c r="Q248">
        <f>IF(A248="","",COUNTIFS('30_NGAN_HANG'!$B:$B,A248,'30_NGAN_HANG'!$Y:$Y,"Approved"))</f>
        <v/>
      </c>
    </row>
    <row r="249">
      <c r="P249">
        <f>IF(A249="","",COUNTIF('30_NGAN_HANG'!$B:$B,A249))</f>
        <v/>
      </c>
      <c r="Q249">
        <f>IF(A249="","",COUNTIFS('30_NGAN_HANG'!$B:$B,A249,'30_NGAN_HANG'!$Y:$Y,"Approved"))</f>
        <v/>
      </c>
    </row>
    <row r="250">
      <c r="P250">
        <f>IF(A250="","",COUNTIF('30_NGAN_HANG'!$B:$B,A250))</f>
        <v/>
      </c>
      <c r="Q250">
        <f>IF(A250="","",COUNTIFS('30_NGAN_HANG'!$B:$B,A250,'30_NGAN_HANG'!$Y:$Y,"Approved"))</f>
        <v/>
      </c>
    </row>
    <row r="251">
      <c r="P251">
        <f>IF(A251="","",COUNTIF('30_NGAN_HANG'!$B:$B,A251))</f>
        <v/>
      </c>
      <c r="Q251">
        <f>IF(A251="","",COUNTIFS('30_NGAN_HANG'!$B:$B,A251,'30_NGAN_HANG'!$Y:$Y,"Approved"))</f>
        <v/>
      </c>
    </row>
    <row r="252">
      <c r="P252">
        <f>IF(A252="","",COUNTIF('30_NGAN_HANG'!$B:$B,A252))</f>
        <v/>
      </c>
      <c r="Q252">
        <f>IF(A252="","",COUNTIFS('30_NGAN_HANG'!$B:$B,A252,'30_NGAN_HANG'!$Y:$Y,"Approved"))</f>
        <v/>
      </c>
    </row>
    <row r="253">
      <c r="P253">
        <f>IF(A253="","",COUNTIF('30_NGAN_HANG'!$B:$B,A253))</f>
        <v/>
      </c>
      <c r="Q253">
        <f>IF(A253="","",COUNTIFS('30_NGAN_HANG'!$B:$B,A253,'30_NGAN_HANG'!$Y:$Y,"Approved"))</f>
        <v/>
      </c>
    </row>
    <row r="254">
      <c r="P254">
        <f>IF(A254="","",COUNTIF('30_NGAN_HANG'!$B:$B,A254))</f>
        <v/>
      </c>
      <c r="Q254">
        <f>IF(A254="","",COUNTIFS('30_NGAN_HANG'!$B:$B,A254,'30_NGAN_HANG'!$Y:$Y,"Approved"))</f>
        <v/>
      </c>
    </row>
    <row r="255">
      <c r="P255">
        <f>IF(A255="","",COUNTIF('30_NGAN_HANG'!$B:$B,A255))</f>
        <v/>
      </c>
      <c r="Q255">
        <f>IF(A255="","",COUNTIFS('30_NGAN_HANG'!$B:$B,A255,'30_NGAN_HANG'!$Y:$Y,"Approved"))</f>
        <v/>
      </c>
    </row>
    <row r="256">
      <c r="P256">
        <f>IF(A256="","",COUNTIF('30_NGAN_HANG'!$B:$B,A256))</f>
        <v/>
      </c>
      <c r="Q256">
        <f>IF(A256="","",COUNTIFS('30_NGAN_HANG'!$B:$B,A256,'30_NGAN_HANG'!$Y:$Y,"Approved"))</f>
        <v/>
      </c>
    </row>
    <row r="257">
      <c r="P257">
        <f>IF(A257="","",COUNTIF('30_NGAN_HANG'!$B:$B,A257))</f>
        <v/>
      </c>
      <c r="Q257">
        <f>IF(A257="","",COUNTIFS('30_NGAN_HANG'!$B:$B,A257,'30_NGAN_HANG'!$Y:$Y,"Approved"))</f>
        <v/>
      </c>
    </row>
    <row r="258">
      <c r="P258">
        <f>IF(A258="","",COUNTIF('30_NGAN_HANG'!$B:$B,A258))</f>
        <v/>
      </c>
      <c r="Q258">
        <f>IF(A258="","",COUNTIFS('30_NGAN_HANG'!$B:$B,A258,'30_NGAN_HANG'!$Y:$Y,"Approved"))</f>
        <v/>
      </c>
    </row>
    <row r="259">
      <c r="P259">
        <f>IF(A259="","",COUNTIF('30_NGAN_HANG'!$B:$B,A259))</f>
        <v/>
      </c>
      <c r="Q259">
        <f>IF(A259="","",COUNTIFS('30_NGAN_HANG'!$B:$B,A259,'30_NGAN_HANG'!$Y:$Y,"Approved"))</f>
        <v/>
      </c>
    </row>
    <row r="260">
      <c r="P260">
        <f>IF(A260="","",COUNTIF('30_NGAN_HANG'!$B:$B,A260))</f>
        <v/>
      </c>
      <c r="Q260">
        <f>IF(A260="","",COUNTIFS('30_NGAN_HANG'!$B:$B,A260,'30_NGAN_HANG'!$Y:$Y,"Approved"))</f>
        <v/>
      </c>
    </row>
    <row r="261">
      <c r="P261">
        <f>IF(A261="","",COUNTIF('30_NGAN_HANG'!$B:$B,A261))</f>
        <v/>
      </c>
      <c r="Q261">
        <f>IF(A261="","",COUNTIFS('30_NGAN_HANG'!$B:$B,A261,'30_NGAN_HANG'!$Y:$Y,"Approved"))</f>
        <v/>
      </c>
    </row>
    <row r="262">
      <c r="P262">
        <f>IF(A262="","",COUNTIF('30_NGAN_HANG'!$B:$B,A262))</f>
        <v/>
      </c>
      <c r="Q262">
        <f>IF(A262="","",COUNTIFS('30_NGAN_HANG'!$B:$B,A262,'30_NGAN_HANG'!$Y:$Y,"Approved"))</f>
        <v/>
      </c>
    </row>
    <row r="263">
      <c r="P263">
        <f>IF(A263="","",COUNTIF('30_NGAN_HANG'!$B:$B,A263))</f>
        <v/>
      </c>
      <c r="Q263">
        <f>IF(A263="","",COUNTIFS('30_NGAN_HANG'!$B:$B,A263,'30_NGAN_HANG'!$Y:$Y,"Approved"))</f>
        <v/>
      </c>
    </row>
    <row r="264">
      <c r="P264">
        <f>IF(A264="","",COUNTIF('30_NGAN_HANG'!$B:$B,A264))</f>
        <v/>
      </c>
      <c r="Q264">
        <f>IF(A264="","",COUNTIFS('30_NGAN_HANG'!$B:$B,A264,'30_NGAN_HANG'!$Y:$Y,"Approved"))</f>
        <v/>
      </c>
    </row>
    <row r="265">
      <c r="P265">
        <f>IF(A265="","",COUNTIF('30_NGAN_HANG'!$B:$B,A265))</f>
        <v/>
      </c>
      <c r="Q265">
        <f>IF(A265="","",COUNTIFS('30_NGAN_HANG'!$B:$B,A265,'30_NGAN_HANG'!$Y:$Y,"Approved"))</f>
        <v/>
      </c>
    </row>
    <row r="266">
      <c r="P266">
        <f>IF(A266="","",COUNTIF('30_NGAN_HANG'!$B:$B,A266))</f>
        <v/>
      </c>
      <c r="Q266">
        <f>IF(A266="","",COUNTIFS('30_NGAN_HANG'!$B:$B,A266,'30_NGAN_HANG'!$Y:$Y,"Approved"))</f>
        <v/>
      </c>
    </row>
    <row r="267">
      <c r="P267">
        <f>IF(A267="","",COUNTIF('30_NGAN_HANG'!$B:$B,A267))</f>
        <v/>
      </c>
      <c r="Q267">
        <f>IF(A267="","",COUNTIFS('30_NGAN_HANG'!$B:$B,A267,'30_NGAN_HANG'!$Y:$Y,"Approved"))</f>
        <v/>
      </c>
    </row>
    <row r="268">
      <c r="P268">
        <f>IF(A268="","",COUNTIF('30_NGAN_HANG'!$B:$B,A268))</f>
        <v/>
      </c>
      <c r="Q268">
        <f>IF(A268="","",COUNTIFS('30_NGAN_HANG'!$B:$B,A268,'30_NGAN_HANG'!$Y:$Y,"Approved"))</f>
        <v/>
      </c>
    </row>
    <row r="269">
      <c r="P269">
        <f>IF(A269="","",COUNTIF('30_NGAN_HANG'!$B:$B,A269))</f>
        <v/>
      </c>
      <c r="Q269">
        <f>IF(A269="","",COUNTIFS('30_NGAN_HANG'!$B:$B,A269,'30_NGAN_HANG'!$Y:$Y,"Approved"))</f>
        <v/>
      </c>
    </row>
    <row r="270">
      <c r="P270">
        <f>IF(A270="","",COUNTIF('30_NGAN_HANG'!$B:$B,A270))</f>
        <v/>
      </c>
      <c r="Q270">
        <f>IF(A270="","",COUNTIFS('30_NGAN_HANG'!$B:$B,A270,'30_NGAN_HANG'!$Y:$Y,"Approved"))</f>
        <v/>
      </c>
    </row>
    <row r="271">
      <c r="P271">
        <f>IF(A271="","",COUNTIF('30_NGAN_HANG'!$B:$B,A271))</f>
        <v/>
      </c>
      <c r="Q271">
        <f>IF(A271="","",COUNTIFS('30_NGAN_HANG'!$B:$B,A271,'30_NGAN_HANG'!$Y:$Y,"Approved"))</f>
        <v/>
      </c>
    </row>
    <row r="272">
      <c r="P272">
        <f>IF(A272="","",COUNTIF('30_NGAN_HANG'!$B:$B,A272))</f>
        <v/>
      </c>
      <c r="Q272">
        <f>IF(A272="","",COUNTIFS('30_NGAN_HANG'!$B:$B,A272,'30_NGAN_HANG'!$Y:$Y,"Approved"))</f>
        <v/>
      </c>
    </row>
    <row r="273">
      <c r="P273">
        <f>IF(A273="","",COUNTIF('30_NGAN_HANG'!$B:$B,A273))</f>
        <v/>
      </c>
      <c r="Q273">
        <f>IF(A273="","",COUNTIFS('30_NGAN_HANG'!$B:$B,A273,'30_NGAN_HANG'!$Y:$Y,"Approved"))</f>
        <v/>
      </c>
    </row>
    <row r="274">
      <c r="P274">
        <f>IF(A274="","",COUNTIF('30_NGAN_HANG'!$B:$B,A274))</f>
        <v/>
      </c>
      <c r="Q274">
        <f>IF(A274="","",COUNTIFS('30_NGAN_HANG'!$B:$B,A274,'30_NGAN_HANG'!$Y:$Y,"Approved"))</f>
        <v/>
      </c>
    </row>
    <row r="275">
      <c r="P275">
        <f>IF(A275="","",COUNTIF('30_NGAN_HANG'!$B:$B,A275))</f>
        <v/>
      </c>
      <c r="Q275">
        <f>IF(A275="","",COUNTIFS('30_NGAN_HANG'!$B:$B,A275,'30_NGAN_HANG'!$Y:$Y,"Approved"))</f>
        <v/>
      </c>
    </row>
    <row r="276">
      <c r="P276">
        <f>IF(A276="","",COUNTIF('30_NGAN_HANG'!$B:$B,A276))</f>
        <v/>
      </c>
      <c r="Q276">
        <f>IF(A276="","",COUNTIFS('30_NGAN_HANG'!$B:$B,A276,'30_NGAN_HANG'!$Y:$Y,"Approved"))</f>
        <v/>
      </c>
    </row>
    <row r="277">
      <c r="P277">
        <f>IF(A277="","",COUNTIF('30_NGAN_HANG'!$B:$B,A277))</f>
        <v/>
      </c>
      <c r="Q277">
        <f>IF(A277="","",COUNTIFS('30_NGAN_HANG'!$B:$B,A277,'30_NGAN_HANG'!$Y:$Y,"Approved"))</f>
        <v/>
      </c>
    </row>
    <row r="278">
      <c r="P278">
        <f>IF(A278="","",COUNTIF('30_NGAN_HANG'!$B:$B,A278))</f>
        <v/>
      </c>
      <c r="Q278">
        <f>IF(A278="","",COUNTIFS('30_NGAN_HANG'!$B:$B,A278,'30_NGAN_HANG'!$Y:$Y,"Approved"))</f>
        <v/>
      </c>
    </row>
    <row r="279">
      <c r="P279">
        <f>IF(A279="","",COUNTIF('30_NGAN_HANG'!$B:$B,A279))</f>
        <v/>
      </c>
      <c r="Q279">
        <f>IF(A279="","",COUNTIFS('30_NGAN_HANG'!$B:$B,A279,'30_NGAN_HANG'!$Y:$Y,"Approved"))</f>
        <v/>
      </c>
    </row>
    <row r="280">
      <c r="P280">
        <f>IF(A280="","",COUNTIF('30_NGAN_HANG'!$B:$B,A280))</f>
        <v/>
      </c>
      <c r="Q280">
        <f>IF(A280="","",COUNTIFS('30_NGAN_HANG'!$B:$B,A280,'30_NGAN_HANG'!$Y:$Y,"Approved"))</f>
        <v/>
      </c>
    </row>
    <row r="281">
      <c r="P281">
        <f>IF(A281="","",COUNTIF('30_NGAN_HANG'!$B:$B,A281))</f>
        <v/>
      </c>
      <c r="Q281">
        <f>IF(A281="","",COUNTIFS('30_NGAN_HANG'!$B:$B,A281,'30_NGAN_HANG'!$Y:$Y,"Approved"))</f>
        <v/>
      </c>
    </row>
    <row r="282">
      <c r="P282">
        <f>IF(A282="","",COUNTIF('30_NGAN_HANG'!$B:$B,A282))</f>
        <v/>
      </c>
      <c r="Q282">
        <f>IF(A282="","",COUNTIFS('30_NGAN_HANG'!$B:$B,A282,'30_NGAN_HANG'!$Y:$Y,"Approved"))</f>
        <v/>
      </c>
    </row>
    <row r="283">
      <c r="P283">
        <f>IF(A283="","",COUNTIF('30_NGAN_HANG'!$B:$B,A283))</f>
        <v/>
      </c>
      <c r="Q283">
        <f>IF(A283="","",COUNTIFS('30_NGAN_HANG'!$B:$B,A283,'30_NGAN_HANG'!$Y:$Y,"Approved"))</f>
        <v/>
      </c>
    </row>
    <row r="284">
      <c r="P284">
        <f>IF(A284="","",COUNTIF('30_NGAN_HANG'!$B:$B,A284))</f>
        <v/>
      </c>
      <c r="Q284">
        <f>IF(A284="","",COUNTIFS('30_NGAN_HANG'!$B:$B,A284,'30_NGAN_HANG'!$Y:$Y,"Approved"))</f>
        <v/>
      </c>
    </row>
    <row r="285">
      <c r="P285">
        <f>IF(A285="","",COUNTIF('30_NGAN_HANG'!$B:$B,A285))</f>
        <v/>
      </c>
      <c r="Q285">
        <f>IF(A285="","",COUNTIFS('30_NGAN_HANG'!$B:$B,A285,'30_NGAN_HANG'!$Y:$Y,"Approved"))</f>
        <v/>
      </c>
    </row>
    <row r="286">
      <c r="P286">
        <f>IF(A286="","",COUNTIF('30_NGAN_HANG'!$B:$B,A286))</f>
        <v/>
      </c>
      <c r="Q286">
        <f>IF(A286="","",COUNTIFS('30_NGAN_HANG'!$B:$B,A286,'30_NGAN_HANG'!$Y:$Y,"Approved"))</f>
        <v/>
      </c>
    </row>
    <row r="287">
      <c r="P287">
        <f>IF(A287="","",COUNTIF('30_NGAN_HANG'!$B:$B,A287))</f>
        <v/>
      </c>
      <c r="Q287">
        <f>IF(A287="","",COUNTIFS('30_NGAN_HANG'!$B:$B,A287,'30_NGAN_HANG'!$Y:$Y,"Approved"))</f>
        <v/>
      </c>
    </row>
    <row r="288">
      <c r="P288">
        <f>IF(A288="","",COUNTIF('30_NGAN_HANG'!$B:$B,A288))</f>
        <v/>
      </c>
      <c r="Q288">
        <f>IF(A288="","",COUNTIFS('30_NGAN_HANG'!$B:$B,A288,'30_NGAN_HANG'!$Y:$Y,"Approved"))</f>
        <v/>
      </c>
    </row>
    <row r="289">
      <c r="P289">
        <f>IF(A289="","",COUNTIF('30_NGAN_HANG'!$B:$B,A289))</f>
        <v/>
      </c>
      <c r="Q289">
        <f>IF(A289="","",COUNTIFS('30_NGAN_HANG'!$B:$B,A289,'30_NGAN_HANG'!$Y:$Y,"Approved"))</f>
        <v/>
      </c>
    </row>
    <row r="290">
      <c r="P290">
        <f>IF(A290="","",COUNTIF('30_NGAN_HANG'!$B:$B,A290))</f>
        <v/>
      </c>
      <c r="Q290">
        <f>IF(A290="","",COUNTIFS('30_NGAN_HANG'!$B:$B,A290,'30_NGAN_HANG'!$Y:$Y,"Approved"))</f>
        <v/>
      </c>
    </row>
    <row r="291">
      <c r="P291">
        <f>IF(A291="","",COUNTIF('30_NGAN_HANG'!$B:$B,A291))</f>
        <v/>
      </c>
      <c r="Q291">
        <f>IF(A291="","",COUNTIFS('30_NGAN_HANG'!$B:$B,A291,'30_NGAN_HANG'!$Y:$Y,"Approved"))</f>
        <v/>
      </c>
    </row>
    <row r="292">
      <c r="P292">
        <f>IF(A292="","",COUNTIF('30_NGAN_HANG'!$B:$B,A292))</f>
        <v/>
      </c>
      <c r="Q292">
        <f>IF(A292="","",COUNTIFS('30_NGAN_HANG'!$B:$B,A292,'30_NGAN_HANG'!$Y:$Y,"Approved"))</f>
        <v/>
      </c>
    </row>
    <row r="293">
      <c r="P293">
        <f>IF(A293="","",COUNTIF('30_NGAN_HANG'!$B:$B,A293))</f>
        <v/>
      </c>
      <c r="Q293">
        <f>IF(A293="","",COUNTIFS('30_NGAN_HANG'!$B:$B,A293,'30_NGAN_HANG'!$Y:$Y,"Approved"))</f>
        <v/>
      </c>
    </row>
    <row r="294">
      <c r="P294">
        <f>IF(A294="","",COUNTIF('30_NGAN_HANG'!$B:$B,A294))</f>
        <v/>
      </c>
      <c r="Q294">
        <f>IF(A294="","",COUNTIFS('30_NGAN_HANG'!$B:$B,A294,'30_NGAN_HANG'!$Y:$Y,"Approved"))</f>
        <v/>
      </c>
    </row>
    <row r="295">
      <c r="P295">
        <f>IF(A295="","",COUNTIF('30_NGAN_HANG'!$B:$B,A295))</f>
        <v/>
      </c>
      <c r="Q295">
        <f>IF(A295="","",COUNTIFS('30_NGAN_HANG'!$B:$B,A295,'30_NGAN_HANG'!$Y:$Y,"Approved"))</f>
        <v/>
      </c>
    </row>
    <row r="296">
      <c r="P296">
        <f>IF(A296="","",COUNTIF('30_NGAN_HANG'!$B:$B,A296))</f>
        <v/>
      </c>
      <c r="Q296">
        <f>IF(A296="","",COUNTIFS('30_NGAN_HANG'!$B:$B,A296,'30_NGAN_HANG'!$Y:$Y,"Approved"))</f>
        <v/>
      </c>
    </row>
    <row r="297">
      <c r="P297">
        <f>IF(A297="","",COUNTIF('30_NGAN_HANG'!$B:$B,A297))</f>
        <v/>
      </c>
      <c r="Q297">
        <f>IF(A297="","",COUNTIFS('30_NGAN_HANG'!$B:$B,A297,'30_NGAN_HANG'!$Y:$Y,"Approved"))</f>
        <v/>
      </c>
    </row>
    <row r="298">
      <c r="P298">
        <f>IF(A298="","",COUNTIF('30_NGAN_HANG'!$B:$B,A298))</f>
        <v/>
      </c>
      <c r="Q298">
        <f>IF(A298="","",COUNTIFS('30_NGAN_HANG'!$B:$B,A298,'30_NGAN_HANG'!$Y:$Y,"Approved"))</f>
        <v/>
      </c>
    </row>
    <row r="299">
      <c r="P299">
        <f>IF(A299="","",COUNTIF('30_NGAN_HANG'!$B:$B,A299))</f>
        <v/>
      </c>
      <c r="Q299">
        <f>IF(A299="","",COUNTIFS('30_NGAN_HANG'!$B:$B,A299,'30_NGAN_HANG'!$Y:$Y,"Approved"))</f>
        <v/>
      </c>
    </row>
    <row r="300">
      <c r="P300">
        <f>IF(A300="","",COUNTIF('30_NGAN_HANG'!$B:$B,A300))</f>
        <v/>
      </c>
      <c r="Q300">
        <f>IF(A300="","",COUNTIFS('30_NGAN_HANG'!$B:$B,A300,'30_NGAN_HANG'!$Y:$Y,"Approved"))</f>
        <v/>
      </c>
    </row>
  </sheetData>
  <dataValidations count="3">
    <dataValidation sqref="C3:C300" showDropDown="0" showInputMessage="0" showErrorMessage="0" allowBlank="1" type="list">
      <formula1>='99_DANH_MUC'!$A$2:$A$4</formula1>
    </dataValidation>
    <dataValidation sqref="M3:M300" showDropDown="0" showInputMessage="0" showErrorMessage="0" allowBlank="1" type="list">
      <formula1>='99_DANH_MUC'!$G$2:$G$4</formula1>
    </dataValidation>
    <dataValidation sqref="O3:O300" showDropDown="0" showInputMessage="0" showErrorMessage="0" allowBlank="1" type="list">
      <formula1>='99_DANH_MUC'!$E$2:$E$5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C55A11"/>
    <outlinePr summaryBelow="1" summaryRight="1"/>
    <pageSetUpPr/>
  </sheetPr>
  <dimension ref="A1:Q30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12" customWidth="1" min="4" max="4"/>
    <col width="34" customWidth="1" min="5" max="5"/>
    <col width="40" customWidth="1" min="6" max="6"/>
    <col width="20" customWidth="1" min="7" max="7"/>
    <col width="18" customWidth="1" min="8" max="8"/>
    <col width="40" customWidth="1" min="9" max="9"/>
    <col width="30" customWidth="1" min="10" max="10"/>
    <col width="26" customWidth="1" min="11" max="11"/>
    <col width="32" customWidth="1" min="12" max="12"/>
    <col width="28" customWidth="1" min="13" max="13"/>
    <col width="24" customWidth="1" min="14" max="14"/>
    <col width="24" customWidth="1" min="15" max="15"/>
    <col width="32" customWidth="1" min="16" max="16"/>
    <col width="34" customWidth="1" min="17" max="17"/>
  </cols>
  <sheetData>
    <row r="1">
      <c r="A1" s="7" t="inlineStr">
        <is>
          <t>聴解 › 指示の聴解  |  1 dòng = 1 yêu cầu sinh câu. Cam = bắt buộc, vàng = gợi ý cho AI.</t>
        </is>
      </c>
    </row>
    <row r="2" ht="42" customHeight="1">
      <c r="A2" s="8" t="inlineStr">
        <is>
          <t>Mã yêu cầu</t>
        </is>
      </c>
      <c r="B2" s="8" t="inlineStr">
        <is>
          <t>Mã đề (kế hoạch)</t>
        </is>
      </c>
      <c r="C2" s="8" t="inlineStr">
        <is>
          <t>Quyển</t>
        </is>
      </c>
      <c r="D2" s="8" t="inlineStr">
        <is>
          <t>Bài</t>
        </is>
      </c>
      <c r="E2" s="8" t="inlineStr">
        <is>
          <t>Số câu cần sinh</t>
        </is>
      </c>
      <c r="F2" s="9" t="inlineStr">
        <is>
          <t>Người chỉ thị → người nhận</t>
        </is>
      </c>
      <c r="G2" s="9" t="inlineStr">
        <is>
          <t>Nhiệm vụ</t>
        </is>
      </c>
      <c r="H2" s="9" t="inlineStr">
        <is>
          <t>Câu hỏi</t>
        </is>
      </c>
      <c r="I2" s="13" t="inlineStr">
        <is>
          <t>Số bước trong chỉ thị</t>
        </is>
      </c>
      <c r="J2" s="13" t="inlineStr">
        <is>
          <t>Thông tin bẫy</t>
        </is>
      </c>
      <c r="K2" s="13" t="inlineStr">
        <is>
          <t>Kiểu đáp án</t>
        </is>
      </c>
      <c r="L2" s="8" t="inlineStr">
        <is>
          <t>Ghi chú cho AI</t>
        </is>
      </c>
      <c r="M2" s="8" t="inlineStr">
        <is>
          <t>Công cụ sinh</t>
        </is>
      </c>
      <c r="N2" s="8" t="inlineStr">
        <is>
          <t>Người nhập</t>
        </is>
      </c>
      <c r="O2" s="8" t="inlineStr">
        <is>
          <t>Trạng thái</t>
        </is>
      </c>
      <c r="P2" s="10" t="inlineStr">
        <is>
          <t>Số câu đã sinh</t>
        </is>
      </c>
      <c r="Q2" s="10" t="inlineStr">
        <is>
          <t>Số câu Approved</t>
        </is>
      </c>
    </row>
    <row r="3">
      <c r="A3" t="inlineStr">
        <is>
          <t>IN_09-0001</t>
        </is>
      </c>
      <c r="C3" t="inlineStr">
        <is>
          <t>入門</t>
        </is>
      </c>
      <c r="D3" t="n">
        <v>1</v>
      </c>
      <c r="E3" t="n">
        <v>3</v>
      </c>
      <c r="F3" t="inlineStr">
        <is>
          <t>sếp → nhân viên mới</t>
        </is>
      </c>
      <c r="G3" t="inlineStr">
        <is>
          <t>Chuẩn bị phòng họp</t>
        </is>
      </c>
      <c r="H3" t="inlineStr">
        <is>
          <t>Đầu tiên phải làm gì?</t>
        </is>
      </c>
      <c r="I3" t="n">
        <v>3</v>
      </c>
      <c r="J3" t="inlineStr">
        <is>
          <t>Bước photo tài liệu bị huỷ</t>
        </is>
      </c>
      <c r="K3" t="inlineStr">
        <is>
          <t>Hình 4 ô</t>
        </is>
      </c>
      <c r="L3" t="inlineStr">
        <is>
          <t>VÍ DỤ — xoá dòng này khi dùng thật</t>
        </is>
      </c>
      <c r="M3" t="inlineStr">
        <is>
          <t>ChatGPT</t>
        </is>
      </c>
      <c r="O3" t="inlineStr">
        <is>
          <t>Nháp</t>
        </is>
      </c>
      <c r="P3">
        <f>IF(A3="","",COUNTIF('30_NGAN_HANG'!$B:$B,A3))</f>
        <v/>
      </c>
      <c r="Q3">
        <f>IF(A3="","",COUNTIFS('30_NGAN_HANG'!$B:$B,A3,'30_NGAN_HANG'!$Y:$Y,"Approved"))</f>
        <v/>
      </c>
    </row>
    <row r="4">
      <c r="P4">
        <f>IF(A4="","",COUNTIF('30_NGAN_HANG'!$B:$B,A4))</f>
        <v/>
      </c>
      <c r="Q4">
        <f>IF(A4="","",COUNTIFS('30_NGAN_HANG'!$B:$B,A4,'30_NGAN_HANG'!$Y:$Y,"Approved"))</f>
        <v/>
      </c>
    </row>
    <row r="5">
      <c r="P5">
        <f>IF(A5="","",COUNTIF('30_NGAN_HANG'!$B:$B,A5))</f>
        <v/>
      </c>
      <c r="Q5">
        <f>IF(A5="","",COUNTIFS('30_NGAN_HANG'!$B:$B,A5,'30_NGAN_HANG'!$Y:$Y,"Approved"))</f>
        <v/>
      </c>
    </row>
    <row r="6">
      <c r="P6">
        <f>IF(A6="","",COUNTIF('30_NGAN_HANG'!$B:$B,A6))</f>
        <v/>
      </c>
      <c r="Q6">
        <f>IF(A6="","",COUNTIFS('30_NGAN_HANG'!$B:$B,A6,'30_NGAN_HANG'!$Y:$Y,"Approved"))</f>
        <v/>
      </c>
    </row>
    <row r="7">
      <c r="P7">
        <f>IF(A7="","",COUNTIF('30_NGAN_HANG'!$B:$B,A7))</f>
        <v/>
      </c>
      <c r="Q7">
        <f>IF(A7="","",COUNTIFS('30_NGAN_HANG'!$B:$B,A7,'30_NGAN_HANG'!$Y:$Y,"Approved"))</f>
        <v/>
      </c>
    </row>
    <row r="8">
      <c r="P8">
        <f>IF(A8="","",COUNTIF('30_NGAN_HANG'!$B:$B,A8))</f>
        <v/>
      </c>
      <c r="Q8">
        <f>IF(A8="","",COUNTIFS('30_NGAN_HANG'!$B:$B,A8,'30_NGAN_HANG'!$Y:$Y,"Approved"))</f>
        <v/>
      </c>
    </row>
    <row r="9">
      <c r="P9">
        <f>IF(A9="","",COUNTIF('30_NGAN_HANG'!$B:$B,A9))</f>
        <v/>
      </c>
      <c r="Q9">
        <f>IF(A9="","",COUNTIFS('30_NGAN_HANG'!$B:$B,A9,'30_NGAN_HANG'!$Y:$Y,"Approved"))</f>
        <v/>
      </c>
    </row>
    <row r="10">
      <c r="P10">
        <f>IF(A10="","",COUNTIF('30_NGAN_HANG'!$B:$B,A10))</f>
        <v/>
      </c>
      <c r="Q10">
        <f>IF(A10="","",COUNTIFS('30_NGAN_HANG'!$B:$B,A10,'30_NGAN_HANG'!$Y:$Y,"Approved"))</f>
        <v/>
      </c>
    </row>
    <row r="11">
      <c r="P11">
        <f>IF(A11="","",COUNTIF('30_NGAN_HANG'!$B:$B,A11))</f>
        <v/>
      </c>
      <c r="Q11">
        <f>IF(A11="","",COUNTIFS('30_NGAN_HANG'!$B:$B,A11,'30_NGAN_HANG'!$Y:$Y,"Approved"))</f>
        <v/>
      </c>
    </row>
    <row r="12">
      <c r="P12">
        <f>IF(A12="","",COUNTIF('30_NGAN_HANG'!$B:$B,A12))</f>
        <v/>
      </c>
      <c r="Q12">
        <f>IF(A12="","",COUNTIFS('30_NGAN_HANG'!$B:$B,A12,'30_NGAN_HANG'!$Y:$Y,"Approved"))</f>
        <v/>
      </c>
    </row>
    <row r="13">
      <c r="P13">
        <f>IF(A13="","",COUNTIF('30_NGAN_HANG'!$B:$B,A13))</f>
        <v/>
      </c>
      <c r="Q13">
        <f>IF(A13="","",COUNTIFS('30_NGAN_HANG'!$B:$B,A13,'30_NGAN_HANG'!$Y:$Y,"Approved"))</f>
        <v/>
      </c>
    </row>
    <row r="14">
      <c r="P14">
        <f>IF(A14="","",COUNTIF('30_NGAN_HANG'!$B:$B,A14))</f>
        <v/>
      </c>
      <c r="Q14">
        <f>IF(A14="","",COUNTIFS('30_NGAN_HANG'!$B:$B,A14,'30_NGAN_HANG'!$Y:$Y,"Approved"))</f>
        <v/>
      </c>
    </row>
    <row r="15">
      <c r="P15">
        <f>IF(A15="","",COUNTIF('30_NGAN_HANG'!$B:$B,A15))</f>
        <v/>
      </c>
      <c r="Q15">
        <f>IF(A15="","",COUNTIFS('30_NGAN_HANG'!$B:$B,A15,'30_NGAN_HANG'!$Y:$Y,"Approved"))</f>
        <v/>
      </c>
    </row>
    <row r="16">
      <c r="P16">
        <f>IF(A16="","",COUNTIF('30_NGAN_HANG'!$B:$B,A16))</f>
        <v/>
      </c>
      <c r="Q16">
        <f>IF(A16="","",COUNTIFS('30_NGAN_HANG'!$B:$B,A16,'30_NGAN_HANG'!$Y:$Y,"Approved"))</f>
        <v/>
      </c>
    </row>
    <row r="17">
      <c r="P17">
        <f>IF(A17="","",COUNTIF('30_NGAN_HANG'!$B:$B,A17))</f>
        <v/>
      </c>
      <c r="Q17">
        <f>IF(A17="","",COUNTIFS('30_NGAN_HANG'!$B:$B,A17,'30_NGAN_HANG'!$Y:$Y,"Approved"))</f>
        <v/>
      </c>
    </row>
    <row r="18">
      <c r="P18">
        <f>IF(A18="","",COUNTIF('30_NGAN_HANG'!$B:$B,A18))</f>
        <v/>
      </c>
      <c r="Q18">
        <f>IF(A18="","",COUNTIFS('30_NGAN_HANG'!$B:$B,A18,'30_NGAN_HANG'!$Y:$Y,"Approved"))</f>
        <v/>
      </c>
    </row>
    <row r="19">
      <c r="P19">
        <f>IF(A19="","",COUNTIF('30_NGAN_HANG'!$B:$B,A19))</f>
        <v/>
      </c>
      <c r="Q19">
        <f>IF(A19="","",COUNTIFS('30_NGAN_HANG'!$B:$B,A19,'30_NGAN_HANG'!$Y:$Y,"Approved"))</f>
        <v/>
      </c>
    </row>
    <row r="20">
      <c r="P20">
        <f>IF(A20="","",COUNTIF('30_NGAN_HANG'!$B:$B,A20))</f>
        <v/>
      </c>
      <c r="Q20">
        <f>IF(A20="","",COUNTIFS('30_NGAN_HANG'!$B:$B,A20,'30_NGAN_HANG'!$Y:$Y,"Approved"))</f>
        <v/>
      </c>
    </row>
    <row r="21">
      <c r="P21">
        <f>IF(A21="","",COUNTIF('30_NGAN_HANG'!$B:$B,A21))</f>
        <v/>
      </c>
      <c r="Q21">
        <f>IF(A21="","",COUNTIFS('30_NGAN_HANG'!$B:$B,A21,'30_NGAN_HANG'!$Y:$Y,"Approved"))</f>
        <v/>
      </c>
    </row>
    <row r="22">
      <c r="P22">
        <f>IF(A22="","",COUNTIF('30_NGAN_HANG'!$B:$B,A22))</f>
        <v/>
      </c>
      <c r="Q22">
        <f>IF(A22="","",COUNTIFS('30_NGAN_HANG'!$B:$B,A22,'30_NGAN_HANG'!$Y:$Y,"Approved"))</f>
        <v/>
      </c>
    </row>
    <row r="23">
      <c r="P23">
        <f>IF(A23="","",COUNTIF('30_NGAN_HANG'!$B:$B,A23))</f>
        <v/>
      </c>
      <c r="Q23">
        <f>IF(A23="","",COUNTIFS('30_NGAN_HANG'!$B:$B,A23,'30_NGAN_HANG'!$Y:$Y,"Approved"))</f>
        <v/>
      </c>
    </row>
    <row r="24">
      <c r="P24">
        <f>IF(A24="","",COUNTIF('30_NGAN_HANG'!$B:$B,A24))</f>
        <v/>
      </c>
      <c r="Q24">
        <f>IF(A24="","",COUNTIFS('30_NGAN_HANG'!$B:$B,A24,'30_NGAN_HANG'!$Y:$Y,"Approved"))</f>
        <v/>
      </c>
    </row>
    <row r="25">
      <c r="P25">
        <f>IF(A25="","",COUNTIF('30_NGAN_HANG'!$B:$B,A25))</f>
        <v/>
      </c>
      <c r="Q25">
        <f>IF(A25="","",COUNTIFS('30_NGAN_HANG'!$B:$B,A25,'30_NGAN_HANG'!$Y:$Y,"Approved"))</f>
        <v/>
      </c>
    </row>
    <row r="26">
      <c r="P26">
        <f>IF(A26="","",COUNTIF('30_NGAN_HANG'!$B:$B,A26))</f>
        <v/>
      </c>
      <c r="Q26">
        <f>IF(A26="","",COUNTIFS('30_NGAN_HANG'!$B:$B,A26,'30_NGAN_HANG'!$Y:$Y,"Approved"))</f>
        <v/>
      </c>
    </row>
    <row r="27">
      <c r="P27">
        <f>IF(A27="","",COUNTIF('30_NGAN_HANG'!$B:$B,A27))</f>
        <v/>
      </c>
      <c r="Q27">
        <f>IF(A27="","",COUNTIFS('30_NGAN_HANG'!$B:$B,A27,'30_NGAN_HANG'!$Y:$Y,"Approved"))</f>
        <v/>
      </c>
    </row>
    <row r="28">
      <c r="P28">
        <f>IF(A28="","",COUNTIF('30_NGAN_HANG'!$B:$B,A28))</f>
        <v/>
      </c>
      <c r="Q28">
        <f>IF(A28="","",COUNTIFS('30_NGAN_HANG'!$B:$B,A28,'30_NGAN_HANG'!$Y:$Y,"Approved"))</f>
        <v/>
      </c>
    </row>
    <row r="29">
      <c r="P29">
        <f>IF(A29="","",COUNTIF('30_NGAN_HANG'!$B:$B,A29))</f>
        <v/>
      </c>
      <c r="Q29">
        <f>IF(A29="","",COUNTIFS('30_NGAN_HANG'!$B:$B,A29,'30_NGAN_HANG'!$Y:$Y,"Approved"))</f>
        <v/>
      </c>
    </row>
    <row r="30">
      <c r="P30">
        <f>IF(A30="","",COUNTIF('30_NGAN_HANG'!$B:$B,A30))</f>
        <v/>
      </c>
      <c r="Q30">
        <f>IF(A30="","",COUNTIFS('30_NGAN_HANG'!$B:$B,A30,'30_NGAN_HANG'!$Y:$Y,"Approved"))</f>
        <v/>
      </c>
    </row>
    <row r="31">
      <c r="P31">
        <f>IF(A31="","",COUNTIF('30_NGAN_HANG'!$B:$B,A31))</f>
        <v/>
      </c>
      <c r="Q31">
        <f>IF(A31="","",COUNTIFS('30_NGAN_HANG'!$B:$B,A31,'30_NGAN_HANG'!$Y:$Y,"Approved"))</f>
        <v/>
      </c>
    </row>
    <row r="32">
      <c r="P32">
        <f>IF(A32="","",COUNTIF('30_NGAN_HANG'!$B:$B,A32))</f>
        <v/>
      </c>
      <c r="Q32">
        <f>IF(A32="","",COUNTIFS('30_NGAN_HANG'!$B:$B,A32,'30_NGAN_HANG'!$Y:$Y,"Approved"))</f>
        <v/>
      </c>
    </row>
    <row r="33">
      <c r="P33">
        <f>IF(A33="","",COUNTIF('30_NGAN_HANG'!$B:$B,A33))</f>
        <v/>
      </c>
      <c r="Q33">
        <f>IF(A33="","",COUNTIFS('30_NGAN_HANG'!$B:$B,A33,'30_NGAN_HANG'!$Y:$Y,"Approved"))</f>
        <v/>
      </c>
    </row>
    <row r="34">
      <c r="P34">
        <f>IF(A34="","",COUNTIF('30_NGAN_HANG'!$B:$B,A34))</f>
        <v/>
      </c>
      <c r="Q34">
        <f>IF(A34="","",COUNTIFS('30_NGAN_HANG'!$B:$B,A34,'30_NGAN_HANG'!$Y:$Y,"Approved"))</f>
        <v/>
      </c>
    </row>
    <row r="35">
      <c r="P35">
        <f>IF(A35="","",COUNTIF('30_NGAN_HANG'!$B:$B,A35))</f>
        <v/>
      </c>
      <c r="Q35">
        <f>IF(A35="","",COUNTIFS('30_NGAN_HANG'!$B:$B,A35,'30_NGAN_HANG'!$Y:$Y,"Approved"))</f>
        <v/>
      </c>
    </row>
    <row r="36">
      <c r="P36">
        <f>IF(A36="","",COUNTIF('30_NGAN_HANG'!$B:$B,A36))</f>
        <v/>
      </c>
      <c r="Q36">
        <f>IF(A36="","",COUNTIFS('30_NGAN_HANG'!$B:$B,A36,'30_NGAN_HANG'!$Y:$Y,"Approved"))</f>
        <v/>
      </c>
    </row>
    <row r="37">
      <c r="P37">
        <f>IF(A37="","",COUNTIF('30_NGAN_HANG'!$B:$B,A37))</f>
        <v/>
      </c>
      <c r="Q37">
        <f>IF(A37="","",COUNTIFS('30_NGAN_HANG'!$B:$B,A37,'30_NGAN_HANG'!$Y:$Y,"Approved"))</f>
        <v/>
      </c>
    </row>
    <row r="38">
      <c r="P38">
        <f>IF(A38="","",COUNTIF('30_NGAN_HANG'!$B:$B,A38))</f>
        <v/>
      </c>
      <c r="Q38">
        <f>IF(A38="","",COUNTIFS('30_NGAN_HANG'!$B:$B,A38,'30_NGAN_HANG'!$Y:$Y,"Approved"))</f>
        <v/>
      </c>
    </row>
    <row r="39">
      <c r="P39">
        <f>IF(A39="","",COUNTIF('30_NGAN_HANG'!$B:$B,A39))</f>
        <v/>
      </c>
      <c r="Q39">
        <f>IF(A39="","",COUNTIFS('30_NGAN_HANG'!$B:$B,A39,'30_NGAN_HANG'!$Y:$Y,"Approved"))</f>
        <v/>
      </c>
    </row>
    <row r="40">
      <c r="P40">
        <f>IF(A40="","",COUNTIF('30_NGAN_HANG'!$B:$B,A40))</f>
        <v/>
      </c>
      <c r="Q40">
        <f>IF(A40="","",COUNTIFS('30_NGAN_HANG'!$B:$B,A40,'30_NGAN_HANG'!$Y:$Y,"Approved"))</f>
        <v/>
      </c>
    </row>
    <row r="41">
      <c r="P41">
        <f>IF(A41="","",COUNTIF('30_NGAN_HANG'!$B:$B,A41))</f>
        <v/>
      </c>
      <c r="Q41">
        <f>IF(A41="","",COUNTIFS('30_NGAN_HANG'!$B:$B,A41,'30_NGAN_HANG'!$Y:$Y,"Approved"))</f>
        <v/>
      </c>
    </row>
    <row r="42">
      <c r="P42">
        <f>IF(A42="","",COUNTIF('30_NGAN_HANG'!$B:$B,A42))</f>
        <v/>
      </c>
      <c r="Q42">
        <f>IF(A42="","",COUNTIFS('30_NGAN_HANG'!$B:$B,A42,'30_NGAN_HANG'!$Y:$Y,"Approved"))</f>
        <v/>
      </c>
    </row>
    <row r="43">
      <c r="P43">
        <f>IF(A43="","",COUNTIF('30_NGAN_HANG'!$B:$B,A43))</f>
        <v/>
      </c>
      <c r="Q43">
        <f>IF(A43="","",COUNTIFS('30_NGAN_HANG'!$B:$B,A43,'30_NGAN_HANG'!$Y:$Y,"Approved"))</f>
        <v/>
      </c>
    </row>
    <row r="44">
      <c r="P44">
        <f>IF(A44="","",COUNTIF('30_NGAN_HANG'!$B:$B,A44))</f>
        <v/>
      </c>
      <c r="Q44">
        <f>IF(A44="","",COUNTIFS('30_NGAN_HANG'!$B:$B,A44,'30_NGAN_HANG'!$Y:$Y,"Approved"))</f>
        <v/>
      </c>
    </row>
    <row r="45">
      <c r="P45">
        <f>IF(A45="","",COUNTIF('30_NGAN_HANG'!$B:$B,A45))</f>
        <v/>
      </c>
      <c r="Q45">
        <f>IF(A45="","",COUNTIFS('30_NGAN_HANG'!$B:$B,A45,'30_NGAN_HANG'!$Y:$Y,"Approved"))</f>
        <v/>
      </c>
    </row>
    <row r="46">
      <c r="P46">
        <f>IF(A46="","",COUNTIF('30_NGAN_HANG'!$B:$B,A46))</f>
        <v/>
      </c>
      <c r="Q46">
        <f>IF(A46="","",COUNTIFS('30_NGAN_HANG'!$B:$B,A46,'30_NGAN_HANG'!$Y:$Y,"Approved"))</f>
        <v/>
      </c>
    </row>
    <row r="47">
      <c r="P47">
        <f>IF(A47="","",COUNTIF('30_NGAN_HANG'!$B:$B,A47))</f>
        <v/>
      </c>
      <c r="Q47">
        <f>IF(A47="","",COUNTIFS('30_NGAN_HANG'!$B:$B,A47,'30_NGAN_HANG'!$Y:$Y,"Approved"))</f>
        <v/>
      </c>
    </row>
    <row r="48">
      <c r="P48">
        <f>IF(A48="","",COUNTIF('30_NGAN_HANG'!$B:$B,A48))</f>
        <v/>
      </c>
      <c r="Q48">
        <f>IF(A48="","",COUNTIFS('30_NGAN_HANG'!$B:$B,A48,'30_NGAN_HANG'!$Y:$Y,"Approved"))</f>
        <v/>
      </c>
    </row>
    <row r="49">
      <c r="P49">
        <f>IF(A49="","",COUNTIF('30_NGAN_HANG'!$B:$B,A49))</f>
        <v/>
      </c>
      <c r="Q49">
        <f>IF(A49="","",COUNTIFS('30_NGAN_HANG'!$B:$B,A49,'30_NGAN_HANG'!$Y:$Y,"Approved"))</f>
        <v/>
      </c>
    </row>
    <row r="50">
      <c r="P50">
        <f>IF(A50="","",COUNTIF('30_NGAN_HANG'!$B:$B,A50))</f>
        <v/>
      </c>
      <c r="Q50">
        <f>IF(A50="","",COUNTIFS('30_NGAN_HANG'!$B:$B,A50,'30_NGAN_HANG'!$Y:$Y,"Approved"))</f>
        <v/>
      </c>
    </row>
    <row r="51">
      <c r="P51">
        <f>IF(A51="","",COUNTIF('30_NGAN_HANG'!$B:$B,A51))</f>
        <v/>
      </c>
      <c r="Q51">
        <f>IF(A51="","",COUNTIFS('30_NGAN_HANG'!$B:$B,A51,'30_NGAN_HANG'!$Y:$Y,"Approved"))</f>
        <v/>
      </c>
    </row>
    <row r="52">
      <c r="P52">
        <f>IF(A52="","",COUNTIF('30_NGAN_HANG'!$B:$B,A52))</f>
        <v/>
      </c>
      <c r="Q52">
        <f>IF(A52="","",COUNTIFS('30_NGAN_HANG'!$B:$B,A52,'30_NGAN_HANG'!$Y:$Y,"Approved"))</f>
        <v/>
      </c>
    </row>
    <row r="53">
      <c r="P53">
        <f>IF(A53="","",COUNTIF('30_NGAN_HANG'!$B:$B,A53))</f>
        <v/>
      </c>
      <c r="Q53">
        <f>IF(A53="","",COUNTIFS('30_NGAN_HANG'!$B:$B,A53,'30_NGAN_HANG'!$Y:$Y,"Approved"))</f>
        <v/>
      </c>
    </row>
    <row r="54">
      <c r="P54">
        <f>IF(A54="","",COUNTIF('30_NGAN_HANG'!$B:$B,A54))</f>
        <v/>
      </c>
      <c r="Q54">
        <f>IF(A54="","",COUNTIFS('30_NGAN_HANG'!$B:$B,A54,'30_NGAN_HANG'!$Y:$Y,"Approved"))</f>
        <v/>
      </c>
    </row>
    <row r="55">
      <c r="P55">
        <f>IF(A55="","",COUNTIF('30_NGAN_HANG'!$B:$B,A55))</f>
        <v/>
      </c>
      <c r="Q55">
        <f>IF(A55="","",COUNTIFS('30_NGAN_HANG'!$B:$B,A55,'30_NGAN_HANG'!$Y:$Y,"Approved"))</f>
        <v/>
      </c>
    </row>
    <row r="56">
      <c r="P56">
        <f>IF(A56="","",COUNTIF('30_NGAN_HANG'!$B:$B,A56))</f>
        <v/>
      </c>
      <c r="Q56">
        <f>IF(A56="","",COUNTIFS('30_NGAN_HANG'!$B:$B,A56,'30_NGAN_HANG'!$Y:$Y,"Approved"))</f>
        <v/>
      </c>
    </row>
    <row r="57">
      <c r="P57">
        <f>IF(A57="","",COUNTIF('30_NGAN_HANG'!$B:$B,A57))</f>
        <v/>
      </c>
      <c r="Q57">
        <f>IF(A57="","",COUNTIFS('30_NGAN_HANG'!$B:$B,A57,'30_NGAN_HANG'!$Y:$Y,"Approved"))</f>
        <v/>
      </c>
    </row>
    <row r="58">
      <c r="P58">
        <f>IF(A58="","",COUNTIF('30_NGAN_HANG'!$B:$B,A58))</f>
        <v/>
      </c>
      <c r="Q58">
        <f>IF(A58="","",COUNTIFS('30_NGAN_HANG'!$B:$B,A58,'30_NGAN_HANG'!$Y:$Y,"Approved"))</f>
        <v/>
      </c>
    </row>
    <row r="59">
      <c r="P59">
        <f>IF(A59="","",COUNTIF('30_NGAN_HANG'!$B:$B,A59))</f>
        <v/>
      </c>
      <c r="Q59">
        <f>IF(A59="","",COUNTIFS('30_NGAN_HANG'!$B:$B,A59,'30_NGAN_HANG'!$Y:$Y,"Approved"))</f>
        <v/>
      </c>
    </row>
    <row r="60">
      <c r="P60">
        <f>IF(A60="","",COUNTIF('30_NGAN_HANG'!$B:$B,A60))</f>
        <v/>
      </c>
      <c r="Q60">
        <f>IF(A60="","",COUNTIFS('30_NGAN_HANG'!$B:$B,A60,'30_NGAN_HANG'!$Y:$Y,"Approved"))</f>
        <v/>
      </c>
    </row>
    <row r="61">
      <c r="P61">
        <f>IF(A61="","",COUNTIF('30_NGAN_HANG'!$B:$B,A61))</f>
        <v/>
      </c>
      <c r="Q61">
        <f>IF(A61="","",COUNTIFS('30_NGAN_HANG'!$B:$B,A61,'30_NGAN_HANG'!$Y:$Y,"Approved"))</f>
        <v/>
      </c>
    </row>
    <row r="62">
      <c r="P62">
        <f>IF(A62="","",COUNTIF('30_NGAN_HANG'!$B:$B,A62))</f>
        <v/>
      </c>
      <c r="Q62">
        <f>IF(A62="","",COUNTIFS('30_NGAN_HANG'!$B:$B,A62,'30_NGAN_HANG'!$Y:$Y,"Approved"))</f>
        <v/>
      </c>
    </row>
    <row r="63">
      <c r="P63">
        <f>IF(A63="","",COUNTIF('30_NGAN_HANG'!$B:$B,A63))</f>
        <v/>
      </c>
      <c r="Q63">
        <f>IF(A63="","",COUNTIFS('30_NGAN_HANG'!$B:$B,A63,'30_NGAN_HANG'!$Y:$Y,"Approved"))</f>
        <v/>
      </c>
    </row>
    <row r="64">
      <c r="P64">
        <f>IF(A64="","",COUNTIF('30_NGAN_HANG'!$B:$B,A64))</f>
        <v/>
      </c>
      <c r="Q64">
        <f>IF(A64="","",COUNTIFS('30_NGAN_HANG'!$B:$B,A64,'30_NGAN_HANG'!$Y:$Y,"Approved"))</f>
        <v/>
      </c>
    </row>
    <row r="65">
      <c r="P65">
        <f>IF(A65="","",COUNTIF('30_NGAN_HANG'!$B:$B,A65))</f>
        <v/>
      </c>
      <c r="Q65">
        <f>IF(A65="","",COUNTIFS('30_NGAN_HANG'!$B:$B,A65,'30_NGAN_HANG'!$Y:$Y,"Approved"))</f>
        <v/>
      </c>
    </row>
    <row r="66">
      <c r="P66">
        <f>IF(A66="","",COUNTIF('30_NGAN_HANG'!$B:$B,A66))</f>
        <v/>
      </c>
      <c r="Q66">
        <f>IF(A66="","",COUNTIFS('30_NGAN_HANG'!$B:$B,A66,'30_NGAN_HANG'!$Y:$Y,"Approved"))</f>
        <v/>
      </c>
    </row>
    <row r="67">
      <c r="P67">
        <f>IF(A67="","",COUNTIF('30_NGAN_HANG'!$B:$B,A67))</f>
        <v/>
      </c>
      <c r="Q67">
        <f>IF(A67="","",COUNTIFS('30_NGAN_HANG'!$B:$B,A67,'30_NGAN_HANG'!$Y:$Y,"Approved"))</f>
        <v/>
      </c>
    </row>
    <row r="68">
      <c r="P68">
        <f>IF(A68="","",COUNTIF('30_NGAN_HANG'!$B:$B,A68))</f>
        <v/>
      </c>
      <c r="Q68">
        <f>IF(A68="","",COUNTIFS('30_NGAN_HANG'!$B:$B,A68,'30_NGAN_HANG'!$Y:$Y,"Approved"))</f>
        <v/>
      </c>
    </row>
    <row r="69">
      <c r="P69">
        <f>IF(A69="","",COUNTIF('30_NGAN_HANG'!$B:$B,A69))</f>
        <v/>
      </c>
      <c r="Q69">
        <f>IF(A69="","",COUNTIFS('30_NGAN_HANG'!$B:$B,A69,'30_NGAN_HANG'!$Y:$Y,"Approved"))</f>
        <v/>
      </c>
    </row>
    <row r="70">
      <c r="P70">
        <f>IF(A70="","",COUNTIF('30_NGAN_HANG'!$B:$B,A70))</f>
        <v/>
      </c>
      <c r="Q70">
        <f>IF(A70="","",COUNTIFS('30_NGAN_HANG'!$B:$B,A70,'30_NGAN_HANG'!$Y:$Y,"Approved"))</f>
        <v/>
      </c>
    </row>
    <row r="71">
      <c r="P71">
        <f>IF(A71="","",COUNTIF('30_NGAN_HANG'!$B:$B,A71))</f>
        <v/>
      </c>
      <c r="Q71">
        <f>IF(A71="","",COUNTIFS('30_NGAN_HANG'!$B:$B,A71,'30_NGAN_HANG'!$Y:$Y,"Approved"))</f>
        <v/>
      </c>
    </row>
    <row r="72">
      <c r="P72">
        <f>IF(A72="","",COUNTIF('30_NGAN_HANG'!$B:$B,A72))</f>
        <v/>
      </c>
      <c r="Q72">
        <f>IF(A72="","",COUNTIFS('30_NGAN_HANG'!$B:$B,A72,'30_NGAN_HANG'!$Y:$Y,"Approved"))</f>
        <v/>
      </c>
    </row>
    <row r="73">
      <c r="P73">
        <f>IF(A73="","",COUNTIF('30_NGAN_HANG'!$B:$B,A73))</f>
        <v/>
      </c>
      <c r="Q73">
        <f>IF(A73="","",COUNTIFS('30_NGAN_HANG'!$B:$B,A73,'30_NGAN_HANG'!$Y:$Y,"Approved"))</f>
        <v/>
      </c>
    </row>
    <row r="74">
      <c r="P74">
        <f>IF(A74="","",COUNTIF('30_NGAN_HANG'!$B:$B,A74))</f>
        <v/>
      </c>
      <c r="Q74">
        <f>IF(A74="","",COUNTIFS('30_NGAN_HANG'!$B:$B,A74,'30_NGAN_HANG'!$Y:$Y,"Approved"))</f>
        <v/>
      </c>
    </row>
    <row r="75">
      <c r="P75">
        <f>IF(A75="","",COUNTIF('30_NGAN_HANG'!$B:$B,A75))</f>
        <v/>
      </c>
      <c r="Q75">
        <f>IF(A75="","",COUNTIFS('30_NGAN_HANG'!$B:$B,A75,'30_NGAN_HANG'!$Y:$Y,"Approved"))</f>
        <v/>
      </c>
    </row>
    <row r="76">
      <c r="P76">
        <f>IF(A76="","",COUNTIF('30_NGAN_HANG'!$B:$B,A76))</f>
        <v/>
      </c>
      <c r="Q76">
        <f>IF(A76="","",COUNTIFS('30_NGAN_HANG'!$B:$B,A76,'30_NGAN_HANG'!$Y:$Y,"Approved"))</f>
        <v/>
      </c>
    </row>
    <row r="77">
      <c r="P77">
        <f>IF(A77="","",COUNTIF('30_NGAN_HANG'!$B:$B,A77))</f>
        <v/>
      </c>
      <c r="Q77">
        <f>IF(A77="","",COUNTIFS('30_NGAN_HANG'!$B:$B,A77,'30_NGAN_HANG'!$Y:$Y,"Approved"))</f>
        <v/>
      </c>
    </row>
    <row r="78">
      <c r="P78">
        <f>IF(A78="","",COUNTIF('30_NGAN_HANG'!$B:$B,A78))</f>
        <v/>
      </c>
      <c r="Q78">
        <f>IF(A78="","",COUNTIFS('30_NGAN_HANG'!$B:$B,A78,'30_NGAN_HANG'!$Y:$Y,"Approved"))</f>
        <v/>
      </c>
    </row>
    <row r="79">
      <c r="P79">
        <f>IF(A79="","",COUNTIF('30_NGAN_HANG'!$B:$B,A79))</f>
        <v/>
      </c>
      <c r="Q79">
        <f>IF(A79="","",COUNTIFS('30_NGAN_HANG'!$B:$B,A79,'30_NGAN_HANG'!$Y:$Y,"Approved"))</f>
        <v/>
      </c>
    </row>
    <row r="80">
      <c r="P80">
        <f>IF(A80="","",COUNTIF('30_NGAN_HANG'!$B:$B,A80))</f>
        <v/>
      </c>
      <c r="Q80">
        <f>IF(A80="","",COUNTIFS('30_NGAN_HANG'!$B:$B,A80,'30_NGAN_HANG'!$Y:$Y,"Approved"))</f>
        <v/>
      </c>
    </row>
    <row r="81">
      <c r="P81">
        <f>IF(A81="","",COUNTIF('30_NGAN_HANG'!$B:$B,A81))</f>
        <v/>
      </c>
      <c r="Q81">
        <f>IF(A81="","",COUNTIFS('30_NGAN_HANG'!$B:$B,A81,'30_NGAN_HANG'!$Y:$Y,"Approved"))</f>
        <v/>
      </c>
    </row>
    <row r="82">
      <c r="P82">
        <f>IF(A82="","",COUNTIF('30_NGAN_HANG'!$B:$B,A82))</f>
        <v/>
      </c>
      <c r="Q82">
        <f>IF(A82="","",COUNTIFS('30_NGAN_HANG'!$B:$B,A82,'30_NGAN_HANG'!$Y:$Y,"Approved"))</f>
        <v/>
      </c>
    </row>
    <row r="83">
      <c r="P83">
        <f>IF(A83="","",COUNTIF('30_NGAN_HANG'!$B:$B,A83))</f>
        <v/>
      </c>
      <c r="Q83">
        <f>IF(A83="","",COUNTIFS('30_NGAN_HANG'!$B:$B,A83,'30_NGAN_HANG'!$Y:$Y,"Approved"))</f>
        <v/>
      </c>
    </row>
    <row r="84">
      <c r="P84">
        <f>IF(A84="","",COUNTIF('30_NGAN_HANG'!$B:$B,A84))</f>
        <v/>
      </c>
      <c r="Q84">
        <f>IF(A84="","",COUNTIFS('30_NGAN_HANG'!$B:$B,A84,'30_NGAN_HANG'!$Y:$Y,"Approved"))</f>
        <v/>
      </c>
    </row>
    <row r="85">
      <c r="P85">
        <f>IF(A85="","",COUNTIF('30_NGAN_HANG'!$B:$B,A85))</f>
        <v/>
      </c>
      <c r="Q85">
        <f>IF(A85="","",COUNTIFS('30_NGAN_HANG'!$B:$B,A85,'30_NGAN_HANG'!$Y:$Y,"Approved"))</f>
        <v/>
      </c>
    </row>
    <row r="86">
      <c r="P86">
        <f>IF(A86="","",COUNTIF('30_NGAN_HANG'!$B:$B,A86))</f>
        <v/>
      </c>
      <c r="Q86">
        <f>IF(A86="","",COUNTIFS('30_NGAN_HANG'!$B:$B,A86,'30_NGAN_HANG'!$Y:$Y,"Approved"))</f>
        <v/>
      </c>
    </row>
    <row r="87">
      <c r="P87">
        <f>IF(A87="","",COUNTIF('30_NGAN_HANG'!$B:$B,A87))</f>
        <v/>
      </c>
      <c r="Q87">
        <f>IF(A87="","",COUNTIFS('30_NGAN_HANG'!$B:$B,A87,'30_NGAN_HANG'!$Y:$Y,"Approved"))</f>
        <v/>
      </c>
    </row>
    <row r="88">
      <c r="P88">
        <f>IF(A88="","",COUNTIF('30_NGAN_HANG'!$B:$B,A88))</f>
        <v/>
      </c>
      <c r="Q88">
        <f>IF(A88="","",COUNTIFS('30_NGAN_HANG'!$B:$B,A88,'30_NGAN_HANG'!$Y:$Y,"Approved"))</f>
        <v/>
      </c>
    </row>
    <row r="89">
      <c r="P89">
        <f>IF(A89="","",COUNTIF('30_NGAN_HANG'!$B:$B,A89))</f>
        <v/>
      </c>
      <c r="Q89">
        <f>IF(A89="","",COUNTIFS('30_NGAN_HANG'!$B:$B,A89,'30_NGAN_HANG'!$Y:$Y,"Approved"))</f>
        <v/>
      </c>
    </row>
    <row r="90">
      <c r="P90">
        <f>IF(A90="","",COUNTIF('30_NGAN_HANG'!$B:$B,A90))</f>
        <v/>
      </c>
      <c r="Q90">
        <f>IF(A90="","",COUNTIFS('30_NGAN_HANG'!$B:$B,A90,'30_NGAN_HANG'!$Y:$Y,"Approved"))</f>
        <v/>
      </c>
    </row>
    <row r="91">
      <c r="P91">
        <f>IF(A91="","",COUNTIF('30_NGAN_HANG'!$B:$B,A91))</f>
        <v/>
      </c>
      <c r="Q91">
        <f>IF(A91="","",COUNTIFS('30_NGAN_HANG'!$B:$B,A91,'30_NGAN_HANG'!$Y:$Y,"Approved"))</f>
        <v/>
      </c>
    </row>
    <row r="92">
      <c r="P92">
        <f>IF(A92="","",COUNTIF('30_NGAN_HANG'!$B:$B,A92))</f>
        <v/>
      </c>
      <c r="Q92">
        <f>IF(A92="","",COUNTIFS('30_NGAN_HANG'!$B:$B,A92,'30_NGAN_HANG'!$Y:$Y,"Approved"))</f>
        <v/>
      </c>
    </row>
    <row r="93">
      <c r="P93">
        <f>IF(A93="","",COUNTIF('30_NGAN_HANG'!$B:$B,A93))</f>
        <v/>
      </c>
      <c r="Q93">
        <f>IF(A93="","",COUNTIFS('30_NGAN_HANG'!$B:$B,A93,'30_NGAN_HANG'!$Y:$Y,"Approved"))</f>
        <v/>
      </c>
    </row>
    <row r="94">
      <c r="P94">
        <f>IF(A94="","",COUNTIF('30_NGAN_HANG'!$B:$B,A94))</f>
        <v/>
      </c>
      <c r="Q94">
        <f>IF(A94="","",COUNTIFS('30_NGAN_HANG'!$B:$B,A94,'30_NGAN_HANG'!$Y:$Y,"Approved"))</f>
        <v/>
      </c>
    </row>
    <row r="95">
      <c r="P95">
        <f>IF(A95="","",COUNTIF('30_NGAN_HANG'!$B:$B,A95))</f>
        <v/>
      </c>
      <c r="Q95">
        <f>IF(A95="","",COUNTIFS('30_NGAN_HANG'!$B:$B,A95,'30_NGAN_HANG'!$Y:$Y,"Approved"))</f>
        <v/>
      </c>
    </row>
    <row r="96">
      <c r="P96">
        <f>IF(A96="","",COUNTIF('30_NGAN_HANG'!$B:$B,A96))</f>
        <v/>
      </c>
      <c r="Q96">
        <f>IF(A96="","",COUNTIFS('30_NGAN_HANG'!$B:$B,A96,'30_NGAN_HANG'!$Y:$Y,"Approved"))</f>
        <v/>
      </c>
    </row>
    <row r="97">
      <c r="P97">
        <f>IF(A97="","",COUNTIF('30_NGAN_HANG'!$B:$B,A97))</f>
        <v/>
      </c>
      <c r="Q97">
        <f>IF(A97="","",COUNTIFS('30_NGAN_HANG'!$B:$B,A97,'30_NGAN_HANG'!$Y:$Y,"Approved"))</f>
        <v/>
      </c>
    </row>
    <row r="98">
      <c r="P98">
        <f>IF(A98="","",COUNTIF('30_NGAN_HANG'!$B:$B,A98))</f>
        <v/>
      </c>
      <c r="Q98">
        <f>IF(A98="","",COUNTIFS('30_NGAN_HANG'!$B:$B,A98,'30_NGAN_HANG'!$Y:$Y,"Approved"))</f>
        <v/>
      </c>
    </row>
    <row r="99">
      <c r="P99">
        <f>IF(A99="","",COUNTIF('30_NGAN_HANG'!$B:$B,A99))</f>
        <v/>
      </c>
      <c r="Q99">
        <f>IF(A99="","",COUNTIFS('30_NGAN_HANG'!$B:$B,A99,'30_NGAN_HANG'!$Y:$Y,"Approved"))</f>
        <v/>
      </c>
    </row>
    <row r="100">
      <c r="P100">
        <f>IF(A100="","",COUNTIF('30_NGAN_HANG'!$B:$B,A100))</f>
        <v/>
      </c>
      <c r="Q100">
        <f>IF(A100="","",COUNTIFS('30_NGAN_HANG'!$B:$B,A100,'30_NGAN_HANG'!$Y:$Y,"Approved"))</f>
        <v/>
      </c>
    </row>
    <row r="101">
      <c r="P101">
        <f>IF(A101="","",COUNTIF('30_NGAN_HANG'!$B:$B,A101))</f>
        <v/>
      </c>
      <c r="Q101">
        <f>IF(A101="","",COUNTIFS('30_NGAN_HANG'!$B:$B,A101,'30_NGAN_HANG'!$Y:$Y,"Approved"))</f>
        <v/>
      </c>
    </row>
    <row r="102">
      <c r="P102">
        <f>IF(A102="","",COUNTIF('30_NGAN_HANG'!$B:$B,A102))</f>
        <v/>
      </c>
      <c r="Q102">
        <f>IF(A102="","",COUNTIFS('30_NGAN_HANG'!$B:$B,A102,'30_NGAN_HANG'!$Y:$Y,"Approved"))</f>
        <v/>
      </c>
    </row>
    <row r="103">
      <c r="P103">
        <f>IF(A103="","",COUNTIF('30_NGAN_HANG'!$B:$B,A103))</f>
        <v/>
      </c>
      <c r="Q103">
        <f>IF(A103="","",COUNTIFS('30_NGAN_HANG'!$B:$B,A103,'30_NGAN_HANG'!$Y:$Y,"Approved"))</f>
        <v/>
      </c>
    </row>
    <row r="104">
      <c r="P104">
        <f>IF(A104="","",COUNTIF('30_NGAN_HANG'!$B:$B,A104))</f>
        <v/>
      </c>
      <c r="Q104">
        <f>IF(A104="","",COUNTIFS('30_NGAN_HANG'!$B:$B,A104,'30_NGAN_HANG'!$Y:$Y,"Approved"))</f>
        <v/>
      </c>
    </row>
    <row r="105">
      <c r="P105">
        <f>IF(A105="","",COUNTIF('30_NGAN_HANG'!$B:$B,A105))</f>
        <v/>
      </c>
      <c r="Q105">
        <f>IF(A105="","",COUNTIFS('30_NGAN_HANG'!$B:$B,A105,'30_NGAN_HANG'!$Y:$Y,"Approved"))</f>
        <v/>
      </c>
    </row>
    <row r="106">
      <c r="P106">
        <f>IF(A106="","",COUNTIF('30_NGAN_HANG'!$B:$B,A106))</f>
        <v/>
      </c>
      <c r="Q106">
        <f>IF(A106="","",COUNTIFS('30_NGAN_HANG'!$B:$B,A106,'30_NGAN_HANG'!$Y:$Y,"Approved"))</f>
        <v/>
      </c>
    </row>
    <row r="107">
      <c r="P107">
        <f>IF(A107="","",COUNTIF('30_NGAN_HANG'!$B:$B,A107))</f>
        <v/>
      </c>
      <c r="Q107">
        <f>IF(A107="","",COUNTIFS('30_NGAN_HANG'!$B:$B,A107,'30_NGAN_HANG'!$Y:$Y,"Approved"))</f>
        <v/>
      </c>
    </row>
    <row r="108">
      <c r="P108">
        <f>IF(A108="","",COUNTIF('30_NGAN_HANG'!$B:$B,A108))</f>
        <v/>
      </c>
      <c r="Q108">
        <f>IF(A108="","",COUNTIFS('30_NGAN_HANG'!$B:$B,A108,'30_NGAN_HANG'!$Y:$Y,"Approved"))</f>
        <v/>
      </c>
    </row>
    <row r="109">
      <c r="P109">
        <f>IF(A109="","",COUNTIF('30_NGAN_HANG'!$B:$B,A109))</f>
        <v/>
      </c>
      <c r="Q109">
        <f>IF(A109="","",COUNTIFS('30_NGAN_HANG'!$B:$B,A109,'30_NGAN_HANG'!$Y:$Y,"Approved"))</f>
        <v/>
      </c>
    </row>
    <row r="110">
      <c r="P110">
        <f>IF(A110="","",COUNTIF('30_NGAN_HANG'!$B:$B,A110))</f>
        <v/>
      </c>
      <c r="Q110">
        <f>IF(A110="","",COUNTIFS('30_NGAN_HANG'!$B:$B,A110,'30_NGAN_HANG'!$Y:$Y,"Approved"))</f>
        <v/>
      </c>
    </row>
    <row r="111">
      <c r="P111">
        <f>IF(A111="","",COUNTIF('30_NGAN_HANG'!$B:$B,A111))</f>
        <v/>
      </c>
      <c r="Q111">
        <f>IF(A111="","",COUNTIFS('30_NGAN_HANG'!$B:$B,A111,'30_NGAN_HANG'!$Y:$Y,"Approved"))</f>
        <v/>
      </c>
    </row>
    <row r="112">
      <c r="P112">
        <f>IF(A112="","",COUNTIF('30_NGAN_HANG'!$B:$B,A112))</f>
        <v/>
      </c>
      <c r="Q112">
        <f>IF(A112="","",COUNTIFS('30_NGAN_HANG'!$B:$B,A112,'30_NGAN_HANG'!$Y:$Y,"Approved"))</f>
        <v/>
      </c>
    </row>
    <row r="113">
      <c r="P113">
        <f>IF(A113="","",COUNTIF('30_NGAN_HANG'!$B:$B,A113))</f>
        <v/>
      </c>
      <c r="Q113">
        <f>IF(A113="","",COUNTIFS('30_NGAN_HANG'!$B:$B,A113,'30_NGAN_HANG'!$Y:$Y,"Approved"))</f>
        <v/>
      </c>
    </row>
    <row r="114">
      <c r="P114">
        <f>IF(A114="","",COUNTIF('30_NGAN_HANG'!$B:$B,A114))</f>
        <v/>
      </c>
      <c r="Q114">
        <f>IF(A114="","",COUNTIFS('30_NGAN_HANG'!$B:$B,A114,'30_NGAN_HANG'!$Y:$Y,"Approved"))</f>
        <v/>
      </c>
    </row>
    <row r="115">
      <c r="P115">
        <f>IF(A115="","",COUNTIF('30_NGAN_HANG'!$B:$B,A115))</f>
        <v/>
      </c>
      <c r="Q115">
        <f>IF(A115="","",COUNTIFS('30_NGAN_HANG'!$B:$B,A115,'30_NGAN_HANG'!$Y:$Y,"Approved"))</f>
        <v/>
      </c>
    </row>
    <row r="116">
      <c r="P116">
        <f>IF(A116="","",COUNTIF('30_NGAN_HANG'!$B:$B,A116))</f>
        <v/>
      </c>
      <c r="Q116">
        <f>IF(A116="","",COUNTIFS('30_NGAN_HANG'!$B:$B,A116,'30_NGAN_HANG'!$Y:$Y,"Approved"))</f>
        <v/>
      </c>
    </row>
    <row r="117">
      <c r="P117">
        <f>IF(A117="","",COUNTIF('30_NGAN_HANG'!$B:$B,A117))</f>
        <v/>
      </c>
      <c r="Q117">
        <f>IF(A117="","",COUNTIFS('30_NGAN_HANG'!$B:$B,A117,'30_NGAN_HANG'!$Y:$Y,"Approved"))</f>
        <v/>
      </c>
    </row>
    <row r="118">
      <c r="P118">
        <f>IF(A118="","",COUNTIF('30_NGAN_HANG'!$B:$B,A118))</f>
        <v/>
      </c>
      <c r="Q118">
        <f>IF(A118="","",COUNTIFS('30_NGAN_HANG'!$B:$B,A118,'30_NGAN_HANG'!$Y:$Y,"Approved"))</f>
        <v/>
      </c>
    </row>
    <row r="119">
      <c r="P119">
        <f>IF(A119="","",COUNTIF('30_NGAN_HANG'!$B:$B,A119))</f>
        <v/>
      </c>
      <c r="Q119">
        <f>IF(A119="","",COUNTIFS('30_NGAN_HANG'!$B:$B,A119,'30_NGAN_HANG'!$Y:$Y,"Approved"))</f>
        <v/>
      </c>
    </row>
    <row r="120">
      <c r="P120">
        <f>IF(A120="","",COUNTIF('30_NGAN_HANG'!$B:$B,A120))</f>
        <v/>
      </c>
      <c r="Q120">
        <f>IF(A120="","",COUNTIFS('30_NGAN_HANG'!$B:$B,A120,'30_NGAN_HANG'!$Y:$Y,"Approved"))</f>
        <v/>
      </c>
    </row>
    <row r="121">
      <c r="P121">
        <f>IF(A121="","",COUNTIF('30_NGAN_HANG'!$B:$B,A121))</f>
        <v/>
      </c>
      <c r="Q121">
        <f>IF(A121="","",COUNTIFS('30_NGAN_HANG'!$B:$B,A121,'30_NGAN_HANG'!$Y:$Y,"Approved"))</f>
        <v/>
      </c>
    </row>
    <row r="122">
      <c r="P122">
        <f>IF(A122="","",COUNTIF('30_NGAN_HANG'!$B:$B,A122))</f>
        <v/>
      </c>
      <c r="Q122">
        <f>IF(A122="","",COUNTIFS('30_NGAN_HANG'!$B:$B,A122,'30_NGAN_HANG'!$Y:$Y,"Approved"))</f>
        <v/>
      </c>
    </row>
    <row r="123">
      <c r="P123">
        <f>IF(A123="","",COUNTIF('30_NGAN_HANG'!$B:$B,A123))</f>
        <v/>
      </c>
      <c r="Q123">
        <f>IF(A123="","",COUNTIFS('30_NGAN_HANG'!$B:$B,A123,'30_NGAN_HANG'!$Y:$Y,"Approved"))</f>
        <v/>
      </c>
    </row>
    <row r="124">
      <c r="P124">
        <f>IF(A124="","",COUNTIF('30_NGAN_HANG'!$B:$B,A124))</f>
        <v/>
      </c>
      <c r="Q124">
        <f>IF(A124="","",COUNTIFS('30_NGAN_HANG'!$B:$B,A124,'30_NGAN_HANG'!$Y:$Y,"Approved"))</f>
        <v/>
      </c>
    </row>
    <row r="125">
      <c r="P125">
        <f>IF(A125="","",COUNTIF('30_NGAN_HANG'!$B:$B,A125))</f>
        <v/>
      </c>
      <c r="Q125">
        <f>IF(A125="","",COUNTIFS('30_NGAN_HANG'!$B:$B,A125,'30_NGAN_HANG'!$Y:$Y,"Approved"))</f>
        <v/>
      </c>
    </row>
    <row r="126">
      <c r="P126">
        <f>IF(A126="","",COUNTIF('30_NGAN_HANG'!$B:$B,A126))</f>
        <v/>
      </c>
      <c r="Q126">
        <f>IF(A126="","",COUNTIFS('30_NGAN_HANG'!$B:$B,A126,'30_NGAN_HANG'!$Y:$Y,"Approved"))</f>
        <v/>
      </c>
    </row>
    <row r="127">
      <c r="P127">
        <f>IF(A127="","",COUNTIF('30_NGAN_HANG'!$B:$B,A127))</f>
        <v/>
      </c>
      <c r="Q127">
        <f>IF(A127="","",COUNTIFS('30_NGAN_HANG'!$B:$B,A127,'30_NGAN_HANG'!$Y:$Y,"Approved"))</f>
        <v/>
      </c>
    </row>
    <row r="128">
      <c r="P128">
        <f>IF(A128="","",COUNTIF('30_NGAN_HANG'!$B:$B,A128))</f>
        <v/>
      </c>
      <c r="Q128">
        <f>IF(A128="","",COUNTIFS('30_NGAN_HANG'!$B:$B,A128,'30_NGAN_HANG'!$Y:$Y,"Approved"))</f>
        <v/>
      </c>
    </row>
    <row r="129">
      <c r="P129">
        <f>IF(A129="","",COUNTIF('30_NGAN_HANG'!$B:$B,A129))</f>
        <v/>
      </c>
      <c r="Q129">
        <f>IF(A129="","",COUNTIFS('30_NGAN_HANG'!$B:$B,A129,'30_NGAN_HANG'!$Y:$Y,"Approved"))</f>
        <v/>
      </c>
    </row>
    <row r="130">
      <c r="P130">
        <f>IF(A130="","",COUNTIF('30_NGAN_HANG'!$B:$B,A130))</f>
        <v/>
      </c>
      <c r="Q130">
        <f>IF(A130="","",COUNTIFS('30_NGAN_HANG'!$B:$B,A130,'30_NGAN_HANG'!$Y:$Y,"Approved"))</f>
        <v/>
      </c>
    </row>
    <row r="131">
      <c r="P131">
        <f>IF(A131="","",COUNTIF('30_NGAN_HANG'!$B:$B,A131))</f>
        <v/>
      </c>
      <c r="Q131">
        <f>IF(A131="","",COUNTIFS('30_NGAN_HANG'!$B:$B,A131,'30_NGAN_HANG'!$Y:$Y,"Approved"))</f>
        <v/>
      </c>
    </row>
    <row r="132">
      <c r="P132">
        <f>IF(A132="","",COUNTIF('30_NGAN_HANG'!$B:$B,A132))</f>
        <v/>
      </c>
      <c r="Q132">
        <f>IF(A132="","",COUNTIFS('30_NGAN_HANG'!$B:$B,A132,'30_NGAN_HANG'!$Y:$Y,"Approved"))</f>
        <v/>
      </c>
    </row>
    <row r="133">
      <c r="P133">
        <f>IF(A133="","",COUNTIF('30_NGAN_HANG'!$B:$B,A133))</f>
        <v/>
      </c>
      <c r="Q133">
        <f>IF(A133="","",COUNTIFS('30_NGAN_HANG'!$B:$B,A133,'30_NGAN_HANG'!$Y:$Y,"Approved"))</f>
        <v/>
      </c>
    </row>
    <row r="134">
      <c r="P134">
        <f>IF(A134="","",COUNTIF('30_NGAN_HANG'!$B:$B,A134))</f>
        <v/>
      </c>
      <c r="Q134">
        <f>IF(A134="","",COUNTIFS('30_NGAN_HANG'!$B:$B,A134,'30_NGAN_HANG'!$Y:$Y,"Approved"))</f>
        <v/>
      </c>
    </row>
    <row r="135">
      <c r="P135">
        <f>IF(A135="","",COUNTIF('30_NGAN_HANG'!$B:$B,A135))</f>
        <v/>
      </c>
      <c r="Q135">
        <f>IF(A135="","",COUNTIFS('30_NGAN_HANG'!$B:$B,A135,'30_NGAN_HANG'!$Y:$Y,"Approved"))</f>
        <v/>
      </c>
    </row>
    <row r="136">
      <c r="P136">
        <f>IF(A136="","",COUNTIF('30_NGAN_HANG'!$B:$B,A136))</f>
        <v/>
      </c>
      <c r="Q136">
        <f>IF(A136="","",COUNTIFS('30_NGAN_HANG'!$B:$B,A136,'30_NGAN_HANG'!$Y:$Y,"Approved"))</f>
        <v/>
      </c>
    </row>
    <row r="137">
      <c r="P137">
        <f>IF(A137="","",COUNTIF('30_NGAN_HANG'!$B:$B,A137))</f>
        <v/>
      </c>
      <c r="Q137">
        <f>IF(A137="","",COUNTIFS('30_NGAN_HANG'!$B:$B,A137,'30_NGAN_HANG'!$Y:$Y,"Approved"))</f>
        <v/>
      </c>
    </row>
    <row r="138">
      <c r="P138">
        <f>IF(A138="","",COUNTIF('30_NGAN_HANG'!$B:$B,A138))</f>
        <v/>
      </c>
      <c r="Q138">
        <f>IF(A138="","",COUNTIFS('30_NGAN_HANG'!$B:$B,A138,'30_NGAN_HANG'!$Y:$Y,"Approved"))</f>
        <v/>
      </c>
    </row>
    <row r="139">
      <c r="P139">
        <f>IF(A139="","",COUNTIF('30_NGAN_HANG'!$B:$B,A139))</f>
        <v/>
      </c>
      <c r="Q139">
        <f>IF(A139="","",COUNTIFS('30_NGAN_HANG'!$B:$B,A139,'30_NGAN_HANG'!$Y:$Y,"Approved"))</f>
        <v/>
      </c>
    </row>
    <row r="140">
      <c r="P140">
        <f>IF(A140="","",COUNTIF('30_NGAN_HANG'!$B:$B,A140))</f>
        <v/>
      </c>
      <c r="Q140">
        <f>IF(A140="","",COUNTIFS('30_NGAN_HANG'!$B:$B,A140,'30_NGAN_HANG'!$Y:$Y,"Approved"))</f>
        <v/>
      </c>
    </row>
    <row r="141">
      <c r="P141">
        <f>IF(A141="","",COUNTIF('30_NGAN_HANG'!$B:$B,A141))</f>
        <v/>
      </c>
      <c r="Q141">
        <f>IF(A141="","",COUNTIFS('30_NGAN_HANG'!$B:$B,A141,'30_NGAN_HANG'!$Y:$Y,"Approved"))</f>
        <v/>
      </c>
    </row>
    <row r="142">
      <c r="P142">
        <f>IF(A142="","",COUNTIF('30_NGAN_HANG'!$B:$B,A142))</f>
        <v/>
      </c>
      <c r="Q142">
        <f>IF(A142="","",COUNTIFS('30_NGAN_HANG'!$B:$B,A142,'30_NGAN_HANG'!$Y:$Y,"Approved"))</f>
        <v/>
      </c>
    </row>
    <row r="143">
      <c r="P143">
        <f>IF(A143="","",COUNTIF('30_NGAN_HANG'!$B:$B,A143))</f>
        <v/>
      </c>
      <c r="Q143">
        <f>IF(A143="","",COUNTIFS('30_NGAN_HANG'!$B:$B,A143,'30_NGAN_HANG'!$Y:$Y,"Approved"))</f>
        <v/>
      </c>
    </row>
    <row r="144">
      <c r="P144">
        <f>IF(A144="","",COUNTIF('30_NGAN_HANG'!$B:$B,A144))</f>
        <v/>
      </c>
      <c r="Q144">
        <f>IF(A144="","",COUNTIFS('30_NGAN_HANG'!$B:$B,A144,'30_NGAN_HANG'!$Y:$Y,"Approved"))</f>
        <v/>
      </c>
    </row>
    <row r="145">
      <c r="P145">
        <f>IF(A145="","",COUNTIF('30_NGAN_HANG'!$B:$B,A145))</f>
        <v/>
      </c>
      <c r="Q145">
        <f>IF(A145="","",COUNTIFS('30_NGAN_HANG'!$B:$B,A145,'30_NGAN_HANG'!$Y:$Y,"Approved"))</f>
        <v/>
      </c>
    </row>
    <row r="146">
      <c r="P146">
        <f>IF(A146="","",COUNTIF('30_NGAN_HANG'!$B:$B,A146))</f>
        <v/>
      </c>
      <c r="Q146">
        <f>IF(A146="","",COUNTIFS('30_NGAN_HANG'!$B:$B,A146,'30_NGAN_HANG'!$Y:$Y,"Approved"))</f>
        <v/>
      </c>
    </row>
    <row r="147">
      <c r="P147">
        <f>IF(A147="","",COUNTIF('30_NGAN_HANG'!$B:$B,A147))</f>
        <v/>
      </c>
      <c r="Q147">
        <f>IF(A147="","",COUNTIFS('30_NGAN_HANG'!$B:$B,A147,'30_NGAN_HANG'!$Y:$Y,"Approved"))</f>
        <v/>
      </c>
    </row>
    <row r="148">
      <c r="P148">
        <f>IF(A148="","",COUNTIF('30_NGAN_HANG'!$B:$B,A148))</f>
        <v/>
      </c>
      <c r="Q148">
        <f>IF(A148="","",COUNTIFS('30_NGAN_HANG'!$B:$B,A148,'30_NGAN_HANG'!$Y:$Y,"Approved"))</f>
        <v/>
      </c>
    </row>
    <row r="149">
      <c r="P149">
        <f>IF(A149="","",COUNTIF('30_NGAN_HANG'!$B:$B,A149))</f>
        <v/>
      </c>
      <c r="Q149">
        <f>IF(A149="","",COUNTIFS('30_NGAN_HANG'!$B:$B,A149,'30_NGAN_HANG'!$Y:$Y,"Approved"))</f>
        <v/>
      </c>
    </row>
    <row r="150">
      <c r="P150">
        <f>IF(A150="","",COUNTIF('30_NGAN_HANG'!$B:$B,A150))</f>
        <v/>
      </c>
      <c r="Q150">
        <f>IF(A150="","",COUNTIFS('30_NGAN_HANG'!$B:$B,A150,'30_NGAN_HANG'!$Y:$Y,"Approved"))</f>
        <v/>
      </c>
    </row>
    <row r="151">
      <c r="P151">
        <f>IF(A151="","",COUNTIF('30_NGAN_HANG'!$B:$B,A151))</f>
        <v/>
      </c>
      <c r="Q151">
        <f>IF(A151="","",COUNTIFS('30_NGAN_HANG'!$B:$B,A151,'30_NGAN_HANG'!$Y:$Y,"Approved"))</f>
        <v/>
      </c>
    </row>
    <row r="152">
      <c r="P152">
        <f>IF(A152="","",COUNTIF('30_NGAN_HANG'!$B:$B,A152))</f>
        <v/>
      </c>
      <c r="Q152">
        <f>IF(A152="","",COUNTIFS('30_NGAN_HANG'!$B:$B,A152,'30_NGAN_HANG'!$Y:$Y,"Approved"))</f>
        <v/>
      </c>
    </row>
    <row r="153">
      <c r="P153">
        <f>IF(A153="","",COUNTIF('30_NGAN_HANG'!$B:$B,A153))</f>
        <v/>
      </c>
      <c r="Q153">
        <f>IF(A153="","",COUNTIFS('30_NGAN_HANG'!$B:$B,A153,'30_NGAN_HANG'!$Y:$Y,"Approved"))</f>
        <v/>
      </c>
    </row>
    <row r="154">
      <c r="P154">
        <f>IF(A154="","",COUNTIF('30_NGAN_HANG'!$B:$B,A154))</f>
        <v/>
      </c>
      <c r="Q154">
        <f>IF(A154="","",COUNTIFS('30_NGAN_HANG'!$B:$B,A154,'30_NGAN_HANG'!$Y:$Y,"Approved"))</f>
        <v/>
      </c>
    </row>
    <row r="155">
      <c r="P155">
        <f>IF(A155="","",COUNTIF('30_NGAN_HANG'!$B:$B,A155))</f>
        <v/>
      </c>
      <c r="Q155">
        <f>IF(A155="","",COUNTIFS('30_NGAN_HANG'!$B:$B,A155,'30_NGAN_HANG'!$Y:$Y,"Approved"))</f>
        <v/>
      </c>
    </row>
    <row r="156">
      <c r="P156">
        <f>IF(A156="","",COUNTIF('30_NGAN_HANG'!$B:$B,A156))</f>
        <v/>
      </c>
      <c r="Q156">
        <f>IF(A156="","",COUNTIFS('30_NGAN_HANG'!$B:$B,A156,'30_NGAN_HANG'!$Y:$Y,"Approved"))</f>
        <v/>
      </c>
    </row>
    <row r="157">
      <c r="P157">
        <f>IF(A157="","",COUNTIF('30_NGAN_HANG'!$B:$B,A157))</f>
        <v/>
      </c>
      <c r="Q157">
        <f>IF(A157="","",COUNTIFS('30_NGAN_HANG'!$B:$B,A157,'30_NGAN_HANG'!$Y:$Y,"Approved"))</f>
        <v/>
      </c>
    </row>
    <row r="158">
      <c r="P158">
        <f>IF(A158="","",COUNTIF('30_NGAN_HANG'!$B:$B,A158))</f>
        <v/>
      </c>
      <c r="Q158">
        <f>IF(A158="","",COUNTIFS('30_NGAN_HANG'!$B:$B,A158,'30_NGAN_HANG'!$Y:$Y,"Approved"))</f>
        <v/>
      </c>
    </row>
    <row r="159">
      <c r="P159">
        <f>IF(A159="","",COUNTIF('30_NGAN_HANG'!$B:$B,A159))</f>
        <v/>
      </c>
      <c r="Q159">
        <f>IF(A159="","",COUNTIFS('30_NGAN_HANG'!$B:$B,A159,'30_NGAN_HANG'!$Y:$Y,"Approved"))</f>
        <v/>
      </c>
    </row>
    <row r="160">
      <c r="P160">
        <f>IF(A160="","",COUNTIF('30_NGAN_HANG'!$B:$B,A160))</f>
        <v/>
      </c>
      <c r="Q160">
        <f>IF(A160="","",COUNTIFS('30_NGAN_HANG'!$B:$B,A160,'30_NGAN_HANG'!$Y:$Y,"Approved"))</f>
        <v/>
      </c>
    </row>
    <row r="161">
      <c r="P161">
        <f>IF(A161="","",COUNTIF('30_NGAN_HANG'!$B:$B,A161))</f>
        <v/>
      </c>
      <c r="Q161">
        <f>IF(A161="","",COUNTIFS('30_NGAN_HANG'!$B:$B,A161,'30_NGAN_HANG'!$Y:$Y,"Approved"))</f>
        <v/>
      </c>
    </row>
    <row r="162">
      <c r="P162">
        <f>IF(A162="","",COUNTIF('30_NGAN_HANG'!$B:$B,A162))</f>
        <v/>
      </c>
      <c r="Q162">
        <f>IF(A162="","",COUNTIFS('30_NGAN_HANG'!$B:$B,A162,'30_NGAN_HANG'!$Y:$Y,"Approved"))</f>
        <v/>
      </c>
    </row>
    <row r="163">
      <c r="P163">
        <f>IF(A163="","",COUNTIF('30_NGAN_HANG'!$B:$B,A163))</f>
        <v/>
      </c>
      <c r="Q163">
        <f>IF(A163="","",COUNTIFS('30_NGAN_HANG'!$B:$B,A163,'30_NGAN_HANG'!$Y:$Y,"Approved"))</f>
        <v/>
      </c>
    </row>
    <row r="164">
      <c r="P164">
        <f>IF(A164="","",COUNTIF('30_NGAN_HANG'!$B:$B,A164))</f>
        <v/>
      </c>
      <c r="Q164">
        <f>IF(A164="","",COUNTIFS('30_NGAN_HANG'!$B:$B,A164,'30_NGAN_HANG'!$Y:$Y,"Approved"))</f>
        <v/>
      </c>
    </row>
    <row r="165">
      <c r="P165">
        <f>IF(A165="","",COUNTIF('30_NGAN_HANG'!$B:$B,A165))</f>
        <v/>
      </c>
      <c r="Q165">
        <f>IF(A165="","",COUNTIFS('30_NGAN_HANG'!$B:$B,A165,'30_NGAN_HANG'!$Y:$Y,"Approved"))</f>
        <v/>
      </c>
    </row>
    <row r="166">
      <c r="P166">
        <f>IF(A166="","",COUNTIF('30_NGAN_HANG'!$B:$B,A166))</f>
        <v/>
      </c>
      <c r="Q166">
        <f>IF(A166="","",COUNTIFS('30_NGAN_HANG'!$B:$B,A166,'30_NGAN_HANG'!$Y:$Y,"Approved"))</f>
        <v/>
      </c>
    </row>
    <row r="167">
      <c r="P167">
        <f>IF(A167="","",COUNTIF('30_NGAN_HANG'!$B:$B,A167))</f>
        <v/>
      </c>
      <c r="Q167">
        <f>IF(A167="","",COUNTIFS('30_NGAN_HANG'!$B:$B,A167,'30_NGAN_HANG'!$Y:$Y,"Approved"))</f>
        <v/>
      </c>
    </row>
    <row r="168">
      <c r="P168">
        <f>IF(A168="","",COUNTIF('30_NGAN_HANG'!$B:$B,A168))</f>
        <v/>
      </c>
      <c r="Q168">
        <f>IF(A168="","",COUNTIFS('30_NGAN_HANG'!$B:$B,A168,'30_NGAN_HANG'!$Y:$Y,"Approved"))</f>
        <v/>
      </c>
    </row>
    <row r="169">
      <c r="P169">
        <f>IF(A169="","",COUNTIF('30_NGAN_HANG'!$B:$B,A169))</f>
        <v/>
      </c>
      <c r="Q169">
        <f>IF(A169="","",COUNTIFS('30_NGAN_HANG'!$B:$B,A169,'30_NGAN_HANG'!$Y:$Y,"Approved"))</f>
        <v/>
      </c>
    </row>
    <row r="170">
      <c r="P170">
        <f>IF(A170="","",COUNTIF('30_NGAN_HANG'!$B:$B,A170))</f>
        <v/>
      </c>
      <c r="Q170">
        <f>IF(A170="","",COUNTIFS('30_NGAN_HANG'!$B:$B,A170,'30_NGAN_HANG'!$Y:$Y,"Approved"))</f>
        <v/>
      </c>
    </row>
    <row r="171">
      <c r="P171">
        <f>IF(A171="","",COUNTIF('30_NGAN_HANG'!$B:$B,A171))</f>
        <v/>
      </c>
      <c r="Q171">
        <f>IF(A171="","",COUNTIFS('30_NGAN_HANG'!$B:$B,A171,'30_NGAN_HANG'!$Y:$Y,"Approved"))</f>
        <v/>
      </c>
    </row>
    <row r="172">
      <c r="P172">
        <f>IF(A172="","",COUNTIF('30_NGAN_HANG'!$B:$B,A172))</f>
        <v/>
      </c>
      <c r="Q172">
        <f>IF(A172="","",COUNTIFS('30_NGAN_HANG'!$B:$B,A172,'30_NGAN_HANG'!$Y:$Y,"Approved"))</f>
        <v/>
      </c>
    </row>
    <row r="173">
      <c r="P173">
        <f>IF(A173="","",COUNTIF('30_NGAN_HANG'!$B:$B,A173))</f>
        <v/>
      </c>
      <c r="Q173">
        <f>IF(A173="","",COUNTIFS('30_NGAN_HANG'!$B:$B,A173,'30_NGAN_HANG'!$Y:$Y,"Approved"))</f>
        <v/>
      </c>
    </row>
    <row r="174">
      <c r="P174">
        <f>IF(A174="","",COUNTIF('30_NGAN_HANG'!$B:$B,A174))</f>
        <v/>
      </c>
      <c r="Q174">
        <f>IF(A174="","",COUNTIFS('30_NGAN_HANG'!$B:$B,A174,'30_NGAN_HANG'!$Y:$Y,"Approved"))</f>
        <v/>
      </c>
    </row>
    <row r="175">
      <c r="P175">
        <f>IF(A175="","",COUNTIF('30_NGAN_HANG'!$B:$B,A175))</f>
        <v/>
      </c>
      <c r="Q175">
        <f>IF(A175="","",COUNTIFS('30_NGAN_HANG'!$B:$B,A175,'30_NGAN_HANG'!$Y:$Y,"Approved"))</f>
        <v/>
      </c>
    </row>
    <row r="176">
      <c r="P176">
        <f>IF(A176="","",COUNTIF('30_NGAN_HANG'!$B:$B,A176))</f>
        <v/>
      </c>
      <c r="Q176">
        <f>IF(A176="","",COUNTIFS('30_NGAN_HANG'!$B:$B,A176,'30_NGAN_HANG'!$Y:$Y,"Approved"))</f>
        <v/>
      </c>
    </row>
    <row r="177">
      <c r="P177">
        <f>IF(A177="","",COUNTIF('30_NGAN_HANG'!$B:$B,A177))</f>
        <v/>
      </c>
      <c r="Q177">
        <f>IF(A177="","",COUNTIFS('30_NGAN_HANG'!$B:$B,A177,'30_NGAN_HANG'!$Y:$Y,"Approved"))</f>
        <v/>
      </c>
    </row>
    <row r="178">
      <c r="P178">
        <f>IF(A178="","",COUNTIF('30_NGAN_HANG'!$B:$B,A178))</f>
        <v/>
      </c>
      <c r="Q178">
        <f>IF(A178="","",COUNTIFS('30_NGAN_HANG'!$B:$B,A178,'30_NGAN_HANG'!$Y:$Y,"Approved"))</f>
        <v/>
      </c>
    </row>
    <row r="179">
      <c r="P179">
        <f>IF(A179="","",COUNTIF('30_NGAN_HANG'!$B:$B,A179))</f>
        <v/>
      </c>
      <c r="Q179">
        <f>IF(A179="","",COUNTIFS('30_NGAN_HANG'!$B:$B,A179,'30_NGAN_HANG'!$Y:$Y,"Approved"))</f>
        <v/>
      </c>
    </row>
    <row r="180">
      <c r="P180">
        <f>IF(A180="","",COUNTIF('30_NGAN_HANG'!$B:$B,A180))</f>
        <v/>
      </c>
      <c r="Q180">
        <f>IF(A180="","",COUNTIFS('30_NGAN_HANG'!$B:$B,A180,'30_NGAN_HANG'!$Y:$Y,"Approved"))</f>
        <v/>
      </c>
    </row>
    <row r="181">
      <c r="P181">
        <f>IF(A181="","",COUNTIF('30_NGAN_HANG'!$B:$B,A181))</f>
        <v/>
      </c>
      <c r="Q181">
        <f>IF(A181="","",COUNTIFS('30_NGAN_HANG'!$B:$B,A181,'30_NGAN_HANG'!$Y:$Y,"Approved"))</f>
        <v/>
      </c>
    </row>
    <row r="182">
      <c r="P182">
        <f>IF(A182="","",COUNTIF('30_NGAN_HANG'!$B:$B,A182))</f>
        <v/>
      </c>
      <c r="Q182">
        <f>IF(A182="","",COUNTIFS('30_NGAN_HANG'!$B:$B,A182,'30_NGAN_HANG'!$Y:$Y,"Approved"))</f>
        <v/>
      </c>
    </row>
    <row r="183">
      <c r="P183">
        <f>IF(A183="","",COUNTIF('30_NGAN_HANG'!$B:$B,A183))</f>
        <v/>
      </c>
      <c r="Q183">
        <f>IF(A183="","",COUNTIFS('30_NGAN_HANG'!$B:$B,A183,'30_NGAN_HANG'!$Y:$Y,"Approved"))</f>
        <v/>
      </c>
    </row>
    <row r="184">
      <c r="P184">
        <f>IF(A184="","",COUNTIF('30_NGAN_HANG'!$B:$B,A184))</f>
        <v/>
      </c>
      <c r="Q184">
        <f>IF(A184="","",COUNTIFS('30_NGAN_HANG'!$B:$B,A184,'30_NGAN_HANG'!$Y:$Y,"Approved"))</f>
        <v/>
      </c>
    </row>
    <row r="185">
      <c r="P185">
        <f>IF(A185="","",COUNTIF('30_NGAN_HANG'!$B:$B,A185))</f>
        <v/>
      </c>
      <c r="Q185">
        <f>IF(A185="","",COUNTIFS('30_NGAN_HANG'!$B:$B,A185,'30_NGAN_HANG'!$Y:$Y,"Approved"))</f>
        <v/>
      </c>
    </row>
    <row r="186">
      <c r="P186">
        <f>IF(A186="","",COUNTIF('30_NGAN_HANG'!$B:$B,A186))</f>
        <v/>
      </c>
      <c r="Q186">
        <f>IF(A186="","",COUNTIFS('30_NGAN_HANG'!$B:$B,A186,'30_NGAN_HANG'!$Y:$Y,"Approved"))</f>
        <v/>
      </c>
    </row>
    <row r="187">
      <c r="P187">
        <f>IF(A187="","",COUNTIF('30_NGAN_HANG'!$B:$B,A187))</f>
        <v/>
      </c>
      <c r="Q187">
        <f>IF(A187="","",COUNTIFS('30_NGAN_HANG'!$B:$B,A187,'30_NGAN_HANG'!$Y:$Y,"Approved"))</f>
        <v/>
      </c>
    </row>
    <row r="188">
      <c r="P188">
        <f>IF(A188="","",COUNTIF('30_NGAN_HANG'!$B:$B,A188))</f>
        <v/>
      </c>
      <c r="Q188">
        <f>IF(A188="","",COUNTIFS('30_NGAN_HANG'!$B:$B,A188,'30_NGAN_HANG'!$Y:$Y,"Approved"))</f>
        <v/>
      </c>
    </row>
    <row r="189">
      <c r="P189">
        <f>IF(A189="","",COUNTIF('30_NGAN_HANG'!$B:$B,A189))</f>
        <v/>
      </c>
      <c r="Q189">
        <f>IF(A189="","",COUNTIFS('30_NGAN_HANG'!$B:$B,A189,'30_NGAN_HANG'!$Y:$Y,"Approved"))</f>
        <v/>
      </c>
    </row>
    <row r="190">
      <c r="P190">
        <f>IF(A190="","",COUNTIF('30_NGAN_HANG'!$B:$B,A190))</f>
        <v/>
      </c>
      <c r="Q190">
        <f>IF(A190="","",COUNTIFS('30_NGAN_HANG'!$B:$B,A190,'30_NGAN_HANG'!$Y:$Y,"Approved"))</f>
        <v/>
      </c>
    </row>
    <row r="191">
      <c r="P191">
        <f>IF(A191="","",COUNTIF('30_NGAN_HANG'!$B:$B,A191))</f>
        <v/>
      </c>
      <c r="Q191">
        <f>IF(A191="","",COUNTIFS('30_NGAN_HANG'!$B:$B,A191,'30_NGAN_HANG'!$Y:$Y,"Approved"))</f>
        <v/>
      </c>
    </row>
    <row r="192">
      <c r="P192">
        <f>IF(A192="","",COUNTIF('30_NGAN_HANG'!$B:$B,A192))</f>
        <v/>
      </c>
      <c r="Q192">
        <f>IF(A192="","",COUNTIFS('30_NGAN_HANG'!$B:$B,A192,'30_NGAN_HANG'!$Y:$Y,"Approved"))</f>
        <v/>
      </c>
    </row>
    <row r="193">
      <c r="P193">
        <f>IF(A193="","",COUNTIF('30_NGAN_HANG'!$B:$B,A193))</f>
        <v/>
      </c>
      <c r="Q193">
        <f>IF(A193="","",COUNTIFS('30_NGAN_HANG'!$B:$B,A193,'30_NGAN_HANG'!$Y:$Y,"Approved"))</f>
        <v/>
      </c>
    </row>
    <row r="194">
      <c r="P194">
        <f>IF(A194="","",COUNTIF('30_NGAN_HANG'!$B:$B,A194))</f>
        <v/>
      </c>
      <c r="Q194">
        <f>IF(A194="","",COUNTIFS('30_NGAN_HANG'!$B:$B,A194,'30_NGAN_HANG'!$Y:$Y,"Approved"))</f>
        <v/>
      </c>
    </row>
    <row r="195">
      <c r="P195">
        <f>IF(A195="","",COUNTIF('30_NGAN_HANG'!$B:$B,A195))</f>
        <v/>
      </c>
      <c r="Q195">
        <f>IF(A195="","",COUNTIFS('30_NGAN_HANG'!$B:$B,A195,'30_NGAN_HANG'!$Y:$Y,"Approved"))</f>
        <v/>
      </c>
    </row>
    <row r="196">
      <c r="P196">
        <f>IF(A196="","",COUNTIF('30_NGAN_HANG'!$B:$B,A196))</f>
        <v/>
      </c>
      <c r="Q196">
        <f>IF(A196="","",COUNTIFS('30_NGAN_HANG'!$B:$B,A196,'30_NGAN_HANG'!$Y:$Y,"Approved"))</f>
        <v/>
      </c>
    </row>
    <row r="197">
      <c r="P197">
        <f>IF(A197="","",COUNTIF('30_NGAN_HANG'!$B:$B,A197))</f>
        <v/>
      </c>
      <c r="Q197">
        <f>IF(A197="","",COUNTIFS('30_NGAN_HANG'!$B:$B,A197,'30_NGAN_HANG'!$Y:$Y,"Approved"))</f>
        <v/>
      </c>
    </row>
    <row r="198">
      <c r="P198">
        <f>IF(A198="","",COUNTIF('30_NGAN_HANG'!$B:$B,A198))</f>
        <v/>
      </c>
      <c r="Q198">
        <f>IF(A198="","",COUNTIFS('30_NGAN_HANG'!$B:$B,A198,'30_NGAN_HANG'!$Y:$Y,"Approved"))</f>
        <v/>
      </c>
    </row>
    <row r="199">
      <c r="P199">
        <f>IF(A199="","",COUNTIF('30_NGAN_HANG'!$B:$B,A199))</f>
        <v/>
      </c>
      <c r="Q199">
        <f>IF(A199="","",COUNTIFS('30_NGAN_HANG'!$B:$B,A199,'30_NGAN_HANG'!$Y:$Y,"Approved"))</f>
        <v/>
      </c>
    </row>
    <row r="200">
      <c r="P200">
        <f>IF(A200="","",COUNTIF('30_NGAN_HANG'!$B:$B,A200))</f>
        <v/>
      </c>
      <c r="Q200">
        <f>IF(A200="","",COUNTIFS('30_NGAN_HANG'!$B:$B,A200,'30_NGAN_HANG'!$Y:$Y,"Approved"))</f>
        <v/>
      </c>
    </row>
    <row r="201">
      <c r="P201">
        <f>IF(A201="","",COUNTIF('30_NGAN_HANG'!$B:$B,A201))</f>
        <v/>
      </c>
      <c r="Q201">
        <f>IF(A201="","",COUNTIFS('30_NGAN_HANG'!$B:$B,A201,'30_NGAN_HANG'!$Y:$Y,"Approved"))</f>
        <v/>
      </c>
    </row>
    <row r="202">
      <c r="P202">
        <f>IF(A202="","",COUNTIF('30_NGAN_HANG'!$B:$B,A202))</f>
        <v/>
      </c>
      <c r="Q202">
        <f>IF(A202="","",COUNTIFS('30_NGAN_HANG'!$B:$B,A202,'30_NGAN_HANG'!$Y:$Y,"Approved"))</f>
        <v/>
      </c>
    </row>
    <row r="203">
      <c r="P203">
        <f>IF(A203="","",COUNTIF('30_NGAN_HANG'!$B:$B,A203))</f>
        <v/>
      </c>
      <c r="Q203">
        <f>IF(A203="","",COUNTIFS('30_NGAN_HANG'!$B:$B,A203,'30_NGAN_HANG'!$Y:$Y,"Approved"))</f>
        <v/>
      </c>
    </row>
    <row r="204">
      <c r="P204">
        <f>IF(A204="","",COUNTIF('30_NGAN_HANG'!$B:$B,A204))</f>
        <v/>
      </c>
      <c r="Q204">
        <f>IF(A204="","",COUNTIFS('30_NGAN_HANG'!$B:$B,A204,'30_NGAN_HANG'!$Y:$Y,"Approved"))</f>
        <v/>
      </c>
    </row>
    <row r="205">
      <c r="P205">
        <f>IF(A205="","",COUNTIF('30_NGAN_HANG'!$B:$B,A205))</f>
        <v/>
      </c>
      <c r="Q205">
        <f>IF(A205="","",COUNTIFS('30_NGAN_HANG'!$B:$B,A205,'30_NGAN_HANG'!$Y:$Y,"Approved"))</f>
        <v/>
      </c>
    </row>
    <row r="206">
      <c r="P206">
        <f>IF(A206="","",COUNTIF('30_NGAN_HANG'!$B:$B,A206))</f>
        <v/>
      </c>
      <c r="Q206">
        <f>IF(A206="","",COUNTIFS('30_NGAN_HANG'!$B:$B,A206,'30_NGAN_HANG'!$Y:$Y,"Approved"))</f>
        <v/>
      </c>
    </row>
    <row r="207">
      <c r="P207">
        <f>IF(A207="","",COUNTIF('30_NGAN_HANG'!$B:$B,A207))</f>
        <v/>
      </c>
      <c r="Q207">
        <f>IF(A207="","",COUNTIFS('30_NGAN_HANG'!$B:$B,A207,'30_NGAN_HANG'!$Y:$Y,"Approved"))</f>
        <v/>
      </c>
    </row>
    <row r="208">
      <c r="P208">
        <f>IF(A208="","",COUNTIF('30_NGAN_HANG'!$B:$B,A208))</f>
        <v/>
      </c>
      <c r="Q208">
        <f>IF(A208="","",COUNTIFS('30_NGAN_HANG'!$B:$B,A208,'30_NGAN_HANG'!$Y:$Y,"Approved"))</f>
        <v/>
      </c>
    </row>
    <row r="209">
      <c r="P209">
        <f>IF(A209="","",COUNTIF('30_NGAN_HANG'!$B:$B,A209))</f>
        <v/>
      </c>
      <c r="Q209">
        <f>IF(A209="","",COUNTIFS('30_NGAN_HANG'!$B:$B,A209,'30_NGAN_HANG'!$Y:$Y,"Approved"))</f>
        <v/>
      </c>
    </row>
    <row r="210">
      <c r="P210">
        <f>IF(A210="","",COUNTIF('30_NGAN_HANG'!$B:$B,A210))</f>
        <v/>
      </c>
      <c r="Q210">
        <f>IF(A210="","",COUNTIFS('30_NGAN_HANG'!$B:$B,A210,'30_NGAN_HANG'!$Y:$Y,"Approved"))</f>
        <v/>
      </c>
    </row>
    <row r="211">
      <c r="P211">
        <f>IF(A211="","",COUNTIF('30_NGAN_HANG'!$B:$B,A211))</f>
        <v/>
      </c>
      <c r="Q211">
        <f>IF(A211="","",COUNTIFS('30_NGAN_HANG'!$B:$B,A211,'30_NGAN_HANG'!$Y:$Y,"Approved"))</f>
        <v/>
      </c>
    </row>
    <row r="212">
      <c r="P212">
        <f>IF(A212="","",COUNTIF('30_NGAN_HANG'!$B:$B,A212))</f>
        <v/>
      </c>
      <c r="Q212">
        <f>IF(A212="","",COUNTIFS('30_NGAN_HANG'!$B:$B,A212,'30_NGAN_HANG'!$Y:$Y,"Approved"))</f>
        <v/>
      </c>
    </row>
    <row r="213">
      <c r="P213">
        <f>IF(A213="","",COUNTIF('30_NGAN_HANG'!$B:$B,A213))</f>
        <v/>
      </c>
      <c r="Q213">
        <f>IF(A213="","",COUNTIFS('30_NGAN_HANG'!$B:$B,A213,'30_NGAN_HANG'!$Y:$Y,"Approved"))</f>
        <v/>
      </c>
    </row>
    <row r="214">
      <c r="P214">
        <f>IF(A214="","",COUNTIF('30_NGAN_HANG'!$B:$B,A214))</f>
        <v/>
      </c>
      <c r="Q214">
        <f>IF(A214="","",COUNTIFS('30_NGAN_HANG'!$B:$B,A214,'30_NGAN_HANG'!$Y:$Y,"Approved"))</f>
        <v/>
      </c>
    </row>
    <row r="215">
      <c r="P215">
        <f>IF(A215="","",COUNTIF('30_NGAN_HANG'!$B:$B,A215))</f>
        <v/>
      </c>
      <c r="Q215">
        <f>IF(A215="","",COUNTIFS('30_NGAN_HANG'!$B:$B,A215,'30_NGAN_HANG'!$Y:$Y,"Approved"))</f>
        <v/>
      </c>
    </row>
    <row r="216">
      <c r="P216">
        <f>IF(A216="","",COUNTIF('30_NGAN_HANG'!$B:$B,A216))</f>
        <v/>
      </c>
      <c r="Q216">
        <f>IF(A216="","",COUNTIFS('30_NGAN_HANG'!$B:$B,A216,'30_NGAN_HANG'!$Y:$Y,"Approved"))</f>
        <v/>
      </c>
    </row>
    <row r="217">
      <c r="P217">
        <f>IF(A217="","",COUNTIF('30_NGAN_HANG'!$B:$B,A217))</f>
        <v/>
      </c>
      <c r="Q217">
        <f>IF(A217="","",COUNTIFS('30_NGAN_HANG'!$B:$B,A217,'30_NGAN_HANG'!$Y:$Y,"Approved"))</f>
        <v/>
      </c>
    </row>
    <row r="218">
      <c r="P218">
        <f>IF(A218="","",COUNTIF('30_NGAN_HANG'!$B:$B,A218))</f>
        <v/>
      </c>
      <c r="Q218">
        <f>IF(A218="","",COUNTIFS('30_NGAN_HANG'!$B:$B,A218,'30_NGAN_HANG'!$Y:$Y,"Approved"))</f>
        <v/>
      </c>
    </row>
    <row r="219">
      <c r="P219">
        <f>IF(A219="","",COUNTIF('30_NGAN_HANG'!$B:$B,A219))</f>
        <v/>
      </c>
      <c r="Q219">
        <f>IF(A219="","",COUNTIFS('30_NGAN_HANG'!$B:$B,A219,'30_NGAN_HANG'!$Y:$Y,"Approved"))</f>
        <v/>
      </c>
    </row>
    <row r="220">
      <c r="P220">
        <f>IF(A220="","",COUNTIF('30_NGAN_HANG'!$B:$B,A220))</f>
        <v/>
      </c>
      <c r="Q220">
        <f>IF(A220="","",COUNTIFS('30_NGAN_HANG'!$B:$B,A220,'30_NGAN_HANG'!$Y:$Y,"Approved"))</f>
        <v/>
      </c>
    </row>
    <row r="221">
      <c r="P221">
        <f>IF(A221="","",COUNTIF('30_NGAN_HANG'!$B:$B,A221))</f>
        <v/>
      </c>
      <c r="Q221">
        <f>IF(A221="","",COUNTIFS('30_NGAN_HANG'!$B:$B,A221,'30_NGAN_HANG'!$Y:$Y,"Approved"))</f>
        <v/>
      </c>
    </row>
    <row r="222">
      <c r="P222">
        <f>IF(A222="","",COUNTIF('30_NGAN_HANG'!$B:$B,A222))</f>
        <v/>
      </c>
      <c r="Q222">
        <f>IF(A222="","",COUNTIFS('30_NGAN_HANG'!$B:$B,A222,'30_NGAN_HANG'!$Y:$Y,"Approved"))</f>
        <v/>
      </c>
    </row>
    <row r="223">
      <c r="P223">
        <f>IF(A223="","",COUNTIF('30_NGAN_HANG'!$B:$B,A223))</f>
        <v/>
      </c>
      <c r="Q223">
        <f>IF(A223="","",COUNTIFS('30_NGAN_HANG'!$B:$B,A223,'30_NGAN_HANG'!$Y:$Y,"Approved"))</f>
        <v/>
      </c>
    </row>
    <row r="224">
      <c r="P224">
        <f>IF(A224="","",COUNTIF('30_NGAN_HANG'!$B:$B,A224))</f>
        <v/>
      </c>
      <c r="Q224">
        <f>IF(A224="","",COUNTIFS('30_NGAN_HANG'!$B:$B,A224,'30_NGAN_HANG'!$Y:$Y,"Approved"))</f>
        <v/>
      </c>
    </row>
    <row r="225">
      <c r="P225">
        <f>IF(A225="","",COUNTIF('30_NGAN_HANG'!$B:$B,A225))</f>
        <v/>
      </c>
      <c r="Q225">
        <f>IF(A225="","",COUNTIFS('30_NGAN_HANG'!$B:$B,A225,'30_NGAN_HANG'!$Y:$Y,"Approved"))</f>
        <v/>
      </c>
    </row>
    <row r="226">
      <c r="P226">
        <f>IF(A226="","",COUNTIF('30_NGAN_HANG'!$B:$B,A226))</f>
        <v/>
      </c>
      <c r="Q226">
        <f>IF(A226="","",COUNTIFS('30_NGAN_HANG'!$B:$B,A226,'30_NGAN_HANG'!$Y:$Y,"Approved"))</f>
        <v/>
      </c>
    </row>
    <row r="227">
      <c r="P227">
        <f>IF(A227="","",COUNTIF('30_NGAN_HANG'!$B:$B,A227))</f>
        <v/>
      </c>
      <c r="Q227">
        <f>IF(A227="","",COUNTIFS('30_NGAN_HANG'!$B:$B,A227,'30_NGAN_HANG'!$Y:$Y,"Approved"))</f>
        <v/>
      </c>
    </row>
    <row r="228">
      <c r="P228">
        <f>IF(A228="","",COUNTIF('30_NGAN_HANG'!$B:$B,A228))</f>
        <v/>
      </c>
      <c r="Q228">
        <f>IF(A228="","",COUNTIFS('30_NGAN_HANG'!$B:$B,A228,'30_NGAN_HANG'!$Y:$Y,"Approved"))</f>
        <v/>
      </c>
    </row>
    <row r="229">
      <c r="P229">
        <f>IF(A229="","",COUNTIF('30_NGAN_HANG'!$B:$B,A229))</f>
        <v/>
      </c>
      <c r="Q229">
        <f>IF(A229="","",COUNTIFS('30_NGAN_HANG'!$B:$B,A229,'30_NGAN_HANG'!$Y:$Y,"Approved"))</f>
        <v/>
      </c>
    </row>
    <row r="230">
      <c r="P230">
        <f>IF(A230="","",COUNTIF('30_NGAN_HANG'!$B:$B,A230))</f>
        <v/>
      </c>
      <c r="Q230">
        <f>IF(A230="","",COUNTIFS('30_NGAN_HANG'!$B:$B,A230,'30_NGAN_HANG'!$Y:$Y,"Approved"))</f>
        <v/>
      </c>
    </row>
    <row r="231">
      <c r="P231">
        <f>IF(A231="","",COUNTIF('30_NGAN_HANG'!$B:$B,A231))</f>
        <v/>
      </c>
      <c r="Q231">
        <f>IF(A231="","",COUNTIFS('30_NGAN_HANG'!$B:$B,A231,'30_NGAN_HANG'!$Y:$Y,"Approved"))</f>
        <v/>
      </c>
    </row>
    <row r="232">
      <c r="P232">
        <f>IF(A232="","",COUNTIF('30_NGAN_HANG'!$B:$B,A232))</f>
        <v/>
      </c>
      <c r="Q232">
        <f>IF(A232="","",COUNTIFS('30_NGAN_HANG'!$B:$B,A232,'30_NGAN_HANG'!$Y:$Y,"Approved"))</f>
        <v/>
      </c>
    </row>
    <row r="233">
      <c r="P233">
        <f>IF(A233="","",COUNTIF('30_NGAN_HANG'!$B:$B,A233))</f>
        <v/>
      </c>
      <c r="Q233">
        <f>IF(A233="","",COUNTIFS('30_NGAN_HANG'!$B:$B,A233,'30_NGAN_HANG'!$Y:$Y,"Approved"))</f>
        <v/>
      </c>
    </row>
    <row r="234">
      <c r="P234">
        <f>IF(A234="","",COUNTIF('30_NGAN_HANG'!$B:$B,A234))</f>
        <v/>
      </c>
      <c r="Q234">
        <f>IF(A234="","",COUNTIFS('30_NGAN_HANG'!$B:$B,A234,'30_NGAN_HANG'!$Y:$Y,"Approved"))</f>
        <v/>
      </c>
    </row>
    <row r="235">
      <c r="P235">
        <f>IF(A235="","",COUNTIF('30_NGAN_HANG'!$B:$B,A235))</f>
        <v/>
      </c>
      <c r="Q235">
        <f>IF(A235="","",COUNTIFS('30_NGAN_HANG'!$B:$B,A235,'30_NGAN_HANG'!$Y:$Y,"Approved"))</f>
        <v/>
      </c>
    </row>
    <row r="236">
      <c r="P236">
        <f>IF(A236="","",COUNTIF('30_NGAN_HANG'!$B:$B,A236))</f>
        <v/>
      </c>
      <c r="Q236">
        <f>IF(A236="","",COUNTIFS('30_NGAN_HANG'!$B:$B,A236,'30_NGAN_HANG'!$Y:$Y,"Approved"))</f>
        <v/>
      </c>
    </row>
    <row r="237">
      <c r="P237">
        <f>IF(A237="","",COUNTIF('30_NGAN_HANG'!$B:$B,A237))</f>
        <v/>
      </c>
      <c r="Q237">
        <f>IF(A237="","",COUNTIFS('30_NGAN_HANG'!$B:$B,A237,'30_NGAN_HANG'!$Y:$Y,"Approved"))</f>
        <v/>
      </c>
    </row>
    <row r="238">
      <c r="P238">
        <f>IF(A238="","",COUNTIF('30_NGAN_HANG'!$B:$B,A238))</f>
        <v/>
      </c>
      <c r="Q238">
        <f>IF(A238="","",COUNTIFS('30_NGAN_HANG'!$B:$B,A238,'30_NGAN_HANG'!$Y:$Y,"Approved"))</f>
        <v/>
      </c>
    </row>
    <row r="239">
      <c r="P239">
        <f>IF(A239="","",COUNTIF('30_NGAN_HANG'!$B:$B,A239))</f>
        <v/>
      </c>
      <c r="Q239">
        <f>IF(A239="","",COUNTIFS('30_NGAN_HANG'!$B:$B,A239,'30_NGAN_HANG'!$Y:$Y,"Approved"))</f>
        <v/>
      </c>
    </row>
    <row r="240">
      <c r="P240">
        <f>IF(A240="","",COUNTIF('30_NGAN_HANG'!$B:$B,A240))</f>
        <v/>
      </c>
      <c r="Q240">
        <f>IF(A240="","",COUNTIFS('30_NGAN_HANG'!$B:$B,A240,'30_NGAN_HANG'!$Y:$Y,"Approved"))</f>
        <v/>
      </c>
    </row>
    <row r="241">
      <c r="P241">
        <f>IF(A241="","",COUNTIF('30_NGAN_HANG'!$B:$B,A241))</f>
        <v/>
      </c>
      <c r="Q241">
        <f>IF(A241="","",COUNTIFS('30_NGAN_HANG'!$B:$B,A241,'30_NGAN_HANG'!$Y:$Y,"Approved"))</f>
        <v/>
      </c>
    </row>
    <row r="242">
      <c r="P242">
        <f>IF(A242="","",COUNTIF('30_NGAN_HANG'!$B:$B,A242))</f>
        <v/>
      </c>
      <c r="Q242">
        <f>IF(A242="","",COUNTIFS('30_NGAN_HANG'!$B:$B,A242,'30_NGAN_HANG'!$Y:$Y,"Approved"))</f>
        <v/>
      </c>
    </row>
    <row r="243">
      <c r="P243">
        <f>IF(A243="","",COUNTIF('30_NGAN_HANG'!$B:$B,A243))</f>
        <v/>
      </c>
      <c r="Q243">
        <f>IF(A243="","",COUNTIFS('30_NGAN_HANG'!$B:$B,A243,'30_NGAN_HANG'!$Y:$Y,"Approved"))</f>
        <v/>
      </c>
    </row>
    <row r="244">
      <c r="P244">
        <f>IF(A244="","",COUNTIF('30_NGAN_HANG'!$B:$B,A244))</f>
        <v/>
      </c>
      <c r="Q244">
        <f>IF(A244="","",COUNTIFS('30_NGAN_HANG'!$B:$B,A244,'30_NGAN_HANG'!$Y:$Y,"Approved"))</f>
        <v/>
      </c>
    </row>
    <row r="245">
      <c r="P245">
        <f>IF(A245="","",COUNTIF('30_NGAN_HANG'!$B:$B,A245))</f>
        <v/>
      </c>
      <c r="Q245">
        <f>IF(A245="","",COUNTIFS('30_NGAN_HANG'!$B:$B,A245,'30_NGAN_HANG'!$Y:$Y,"Approved"))</f>
        <v/>
      </c>
    </row>
    <row r="246">
      <c r="P246">
        <f>IF(A246="","",COUNTIF('30_NGAN_HANG'!$B:$B,A246))</f>
        <v/>
      </c>
      <c r="Q246">
        <f>IF(A246="","",COUNTIFS('30_NGAN_HANG'!$B:$B,A246,'30_NGAN_HANG'!$Y:$Y,"Approved"))</f>
        <v/>
      </c>
    </row>
    <row r="247">
      <c r="P247">
        <f>IF(A247="","",COUNTIF('30_NGAN_HANG'!$B:$B,A247))</f>
        <v/>
      </c>
      <c r="Q247">
        <f>IF(A247="","",COUNTIFS('30_NGAN_HANG'!$B:$B,A247,'30_NGAN_HANG'!$Y:$Y,"Approved"))</f>
        <v/>
      </c>
    </row>
    <row r="248">
      <c r="P248">
        <f>IF(A248="","",COUNTIF('30_NGAN_HANG'!$B:$B,A248))</f>
        <v/>
      </c>
      <c r="Q248">
        <f>IF(A248="","",COUNTIFS('30_NGAN_HANG'!$B:$B,A248,'30_NGAN_HANG'!$Y:$Y,"Approved"))</f>
        <v/>
      </c>
    </row>
    <row r="249">
      <c r="P249">
        <f>IF(A249="","",COUNTIF('30_NGAN_HANG'!$B:$B,A249))</f>
        <v/>
      </c>
      <c r="Q249">
        <f>IF(A249="","",COUNTIFS('30_NGAN_HANG'!$B:$B,A249,'30_NGAN_HANG'!$Y:$Y,"Approved"))</f>
        <v/>
      </c>
    </row>
    <row r="250">
      <c r="P250">
        <f>IF(A250="","",COUNTIF('30_NGAN_HANG'!$B:$B,A250))</f>
        <v/>
      </c>
      <c r="Q250">
        <f>IF(A250="","",COUNTIFS('30_NGAN_HANG'!$B:$B,A250,'30_NGAN_HANG'!$Y:$Y,"Approved"))</f>
        <v/>
      </c>
    </row>
    <row r="251">
      <c r="P251">
        <f>IF(A251="","",COUNTIF('30_NGAN_HANG'!$B:$B,A251))</f>
        <v/>
      </c>
      <c r="Q251">
        <f>IF(A251="","",COUNTIFS('30_NGAN_HANG'!$B:$B,A251,'30_NGAN_HANG'!$Y:$Y,"Approved"))</f>
        <v/>
      </c>
    </row>
    <row r="252">
      <c r="P252">
        <f>IF(A252="","",COUNTIF('30_NGAN_HANG'!$B:$B,A252))</f>
        <v/>
      </c>
      <c r="Q252">
        <f>IF(A252="","",COUNTIFS('30_NGAN_HANG'!$B:$B,A252,'30_NGAN_HANG'!$Y:$Y,"Approved"))</f>
        <v/>
      </c>
    </row>
    <row r="253">
      <c r="P253">
        <f>IF(A253="","",COUNTIF('30_NGAN_HANG'!$B:$B,A253))</f>
        <v/>
      </c>
      <c r="Q253">
        <f>IF(A253="","",COUNTIFS('30_NGAN_HANG'!$B:$B,A253,'30_NGAN_HANG'!$Y:$Y,"Approved"))</f>
        <v/>
      </c>
    </row>
    <row r="254">
      <c r="P254">
        <f>IF(A254="","",COUNTIF('30_NGAN_HANG'!$B:$B,A254))</f>
        <v/>
      </c>
      <c r="Q254">
        <f>IF(A254="","",COUNTIFS('30_NGAN_HANG'!$B:$B,A254,'30_NGAN_HANG'!$Y:$Y,"Approved"))</f>
        <v/>
      </c>
    </row>
    <row r="255">
      <c r="P255">
        <f>IF(A255="","",COUNTIF('30_NGAN_HANG'!$B:$B,A255))</f>
        <v/>
      </c>
      <c r="Q255">
        <f>IF(A255="","",COUNTIFS('30_NGAN_HANG'!$B:$B,A255,'30_NGAN_HANG'!$Y:$Y,"Approved"))</f>
        <v/>
      </c>
    </row>
    <row r="256">
      <c r="P256">
        <f>IF(A256="","",COUNTIF('30_NGAN_HANG'!$B:$B,A256))</f>
        <v/>
      </c>
      <c r="Q256">
        <f>IF(A256="","",COUNTIFS('30_NGAN_HANG'!$B:$B,A256,'30_NGAN_HANG'!$Y:$Y,"Approved"))</f>
        <v/>
      </c>
    </row>
    <row r="257">
      <c r="P257">
        <f>IF(A257="","",COUNTIF('30_NGAN_HANG'!$B:$B,A257))</f>
        <v/>
      </c>
      <c r="Q257">
        <f>IF(A257="","",COUNTIFS('30_NGAN_HANG'!$B:$B,A257,'30_NGAN_HANG'!$Y:$Y,"Approved"))</f>
        <v/>
      </c>
    </row>
    <row r="258">
      <c r="P258">
        <f>IF(A258="","",COUNTIF('30_NGAN_HANG'!$B:$B,A258))</f>
        <v/>
      </c>
      <c r="Q258">
        <f>IF(A258="","",COUNTIFS('30_NGAN_HANG'!$B:$B,A258,'30_NGAN_HANG'!$Y:$Y,"Approved"))</f>
        <v/>
      </c>
    </row>
    <row r="259">
      <c r="P259">
        <f>IF(A259="","",COUNTIF('30_NGAN_HANG'!$B:$B,A259))</f>
        <v/>
      </c>
      <c r="Q259">
        <f>IF(A259="","",COUNTIFS('30_NGAN_HANG'!$B:$B,A259,'30_NGAN_HANG'!$Y:$Y,"Approved"))</f>
        <v/>
      </c>
    </row>
    <row r="260">
      <c r="P260">
        <f>IF(A260="","",COUNTIF('30_NGAN_HANG'!$B:$B,A260))</f>
        <v/>
      </c>
      <c r="Q260">
        <f>IF(A260="","",COUNTIFS('30_NGAN_HANG'!$B:$B,A260,'30_NGAN_HANG'!$Y:$Y,"Approved"))</f>
        <v/>
      </c>
    </row>
    <row r="261">
      <c r="P261">
        <f>IF(A261="","",COUNTIF('30_NGAN_HANG'!$B:$B,A261))</f>
        <v/>
      </c>
      <c r="Q261">
        <f>IF(A261="","",COUNTIFS('30_NGAN_HANG'!$B:$B,A261,'30_NGAN_HANG'!$Y:$Y,"Approved"))</f>
        <v/>
      </c>
    </row>
    <row r="262">
      <c r="P262">
        <f>IF(A262="","",COUNTIF('30_NGAN_HANG'!$B:$B,A262))</f>
        <v/>
      </c>
      <c r="Q262">
        <f>IF(A262="","",COUNTIFS('30_NGAN_HANG'!$B:$B,A262,'30_NGAN_HANG'!$Y:$Y,"Approved"))</f>
        <v/>
      </c>
    </row>
    <row r="263">
      <c r="P263">
        <f>IF(A263="","",COUNTIF('30_NGAN_HANG'!$B:$B,A263))</f>
        <v/>
      </c>
      <c r="Q263">
        <f>IF(A263="","",COUNTIFS('30_NGAN_HANG'!$B:$B,A263,'30_NGAN_HANG'!$Y:$Y,"Approved"))</f>
        <v/>
      </c>
    </row>
    <row r="264">
      <c r="P264">
        <f>IF(A264="","",COUNTIF('30_NGAN_HANG'!$B:$B,A264))</f>
        <v/>
      </c>
      <c r="Q264">
        <f>IF(A264="","",COUNTIFS('30_NGAN_HANG'!$B:$B,A264,'30_NGAN_HANG'!$Y:$Y,"Approved"))</f>
        <v/>
      </c>
    </row>
    <row r="265">
      <c r="P265">
        <f>IF(A265="","",COUNTIF('30_NGAN_HANG'!$B:$B,A265))</f>
        <v/>
      </c>
      <c r="Q265">
        <f>IF(A265="","",COUNTIFS('30_NGAN_HANG'!$B:$B,A265,'30_NGAN_HANG'!$Y:$Y,"Approved"))</f>
        <v/>
      </c>
    </row>
    <row r="266">
      <c r="P266">
        <f>IF(A266="","",COUNTIF('30_NGAN_HANG'!$B:$B,A266))</f>
        <v/>
      </c>
      <c r="Q266">
        <f>IF(A266="","",COUNTIFS('30_NGAN_HANG'!$B:$B,A266,'30_NGAN_HANG'!$Y:$Y,"Approved"))</f>
        <v/>
      </c>
    </row>
    <row r="267">
      <c r="P267">
        <f>IF(A267="","",COUNTIF('30_NGAN_HANG'!$B:$B,A267))</f>
        <v/>
      </c>
      <c r="Q267">
        <f>IF(A267="","",COUNTIFS('30_NGAN_HANG'!$B:$B,A267,'30_NGAN_HANG'!$Y:$Y,"Approved"))</f>
        <v/>
      </c>
    </row>
    <row r="268">
      <c r="P268">
        <f>IF(A268="","",COUNTIF('30_NGAN_HANG'!$B:$B,A268))</f>
        <v/>
      </c>
      <c r="Q268">
        <f>IF(A268="","",COUNTIFS('30_NGAN_HANG'!$B:$B,A268,'30_NGAN_HANG'!$Y:$Y,"Approved"))</f>
        <v/>
      </c>
    </row>
    <row r="269">
      <c r="P269">
        <f>IF(A269="","",COUNTIF('30_NGAN_HANG'!$B:$B,A269))</f>
        <v/>
      </c>
      <c r="Q269">
        <f>IF(A269="","",COUNTIFS('30_NGAN_HANG'!$B:$B,A269,'30_NGAN_HANG'!$Y:$Y,"Approved"))</f>
        <v/>
      </c>
    </row>
    <row r="270">
      <c r="P270">
        <f>IF(A270="","",COUNTIF('30_NGAN_HANG'!$B:$B,A270))</f>
        <v/>
      </c>
      <c r="Q270">
        <f>IF(A270="","",COUNTIFS('30_NGAN_HANG'!$B:$B,A270,'30_NGAN_HANG'!$Y:$Y,"Approved"))</f>
        <v/>
      </c>
    </row>
    <row r="271">
      <c r="P271">
        <f>IF(A271="","",COUNTIF('30_NGAN_HANG'!$B:$B,A271))</f>
        <v/>
      </c>
      <c r="Q271">
        <f>IF(A271="","",COUNTIFS('30_NGAN_HANG'!$B:$B,A271,'30_NGAN_HANG'!$Y:$Y,"Approved"))</f>
        <v/>
      </c>
    </row>
    <row r="272">
      <c r="P272">
        <f>IF(A272="","",COUNTIF('30_NGAN_HANG'!$B:$B,A272))</f>
        <v/>
      </c>
      <c r="Q272">
        <f>IF(A272="","",COUNTIFS('30_NGAN_HANG'!$B:$B,A272,'30_NGAN_HANG'!$Y:$Y,"Approved"))</f>
        <v/>
      </c>
    </row>
    <row r="273">
      <c r="P273">
        <f>IF(A273="","",COUNTIF('30_NGAN_HANG'!$B:$B,A273))</f>
        <v/>
      </c>
      <c r="Q273">
        <f>IF(A273="","",COUNTIFS('30_NGAN_HANG'!$B:$B,A273,'30_NGAN_HANG'!$Y:$Y,"Approved"))</f>
        <v/>
      </c>
    </row>
    <row r="274">
      <c r="P274">
        <f>IF(A274="","",COUNTIF('30_NGAN_HANG'!$B:$B,A274))</f>
        <v/>
      </c>
      <c r="Q274">
        <f>IF(A274="","",COUNTIFS('30_NGAN_HANG'!$B:$B,A274,'30_NGAN_HANG'!$Y:$Y,"Approved"))</f>
        <v/>
      </c>
    </row>
    <row r="275">
      <c r="P275">
        <f>IF(A275="","",COUNTIF('30_NGAN_HANG'!$B:$B,A275))</f>
        <v/>
      </c>
      <c r="Q275">
        <f>IF(A275="","",COUNTIFS('30_NGAN_HANG'!$B:$B,A275,'30_NGAN_HANG'!$Y:$Y,"Approved"))</f>
        <v/>
      </c>
    </row>
    <row r="276">
      <c r="P276">
        <f>IF(A276="","",COUNTIF('30_NGAN_HANG'!$B:$B,A276))</f>
        <v/>
      </c>
      <c r="Q276">
        <f>IF(A276="","",COUNTIFS('30_NGAN_HANG'!$B:$B,A276,'30_NGAN_HANG'!$Y:$Y,"Approved"))</f>
        <v/>
      </c>
    </row>
    <row r="277">
      <c r="P277">
        <f>IF(A277="","",COUNTIF('30_NGAN_HANG'!$B:$B,A277))</f>
        <v/>
      </c>
      <c r="Q277">
        <f>IF(A277="","",COUNTIFS('30_NGAN_HANG'!$B:$B,A277,'30_NGAN_HANG'!$Y:$Y,"Approved"))</f>
        <v/>
      </c>
    </row>
    <row r="278">
      <c r="P278">
        <f>IF(A278="","",COUNTIF('30_NGAN_HANG'!$B:$B,A278))</f>
        <v/>
      </c>
      <c r="Q278">
        <f>IF(A278="","",COUNTIFS('30_NGAN_HANG'!$B:$B,A278,'30_NGAN_HANG'!$Y:$Y,"Approved"))</f>
        <v/>
      </c>
    </row>
    <row r="279">
      <c r="P279">
        <f>IF(A279="","",COUNTIF('30_NGAN_HANG'!$B:$B,A279))</f>
        <v/>
      </c>
      <c r="Q279">
        <f>IF(A279="","",COUNTIFS('30_NGAN_HANG'!$B:$B,A279,'30_NGAN_HANG'!$Y:$Y,"Approved"))</f>
        <v/>
      </c>
    </row>
    <row r="280">
      <c r="P280">
        <f>IF(A280="","",COUNTIF('30_NGAN_HANG'!$B:$B,A280))</f>
        <v/>
      </c>
      <c r="Q280">
        <f>IF(A280="","",COUNTIFS('30_NGAN_HANG'!$B:$B,A280,'30_NGAN_HANG'!$Y:$Y,"Approved"))</f>
        <v/>
      </c>
    </row>
    <row r="281">
      <c r="P281">
        <f>IF(A281="","",COUNTIF('30_NGAN_HANG'!$B:$B,A281))</f>
        <v/>
      </c>
      <c r="Q281">
        <f>IF(A281="","",COUNTIFS('30_NGAN_HANG'!$B:$B,A281,'30_NGAN_HANG'!$Y:$Y,"Approved"))</f>
        <v/>
      </c>
    </row>
    <row r="282">
      <c r="P282">
        <f>IF(A282="","",COUNTIF('30_NGAN_HANG'!$B:$B,A282))</f>
        <v/>
      </c>
      <c r="Q282">
        <f>IF(A282="","",COUNTIFS('30_NGAN_HANG'!$B:$B,A282,'30_NGAN_HANG'!$Y:$Y,"Approved"))</f>
        <v/>
      </c>
    </row>
    <row r="283">
      <c r="P283">
        <f>IF(A283="","",COUNTIF('30_NGAN_HANG'!$B:$B,A283))</f>
        <v/>
      </c>
      <c r="Q283">
        <f>IF(A283="","",COUNTIFS('30_NGAN_HANG'!$B:$B,A283,'30_NGAN_HANG'!$Y:$Y,"Approved"))</f>
        <v/>
      </c>
    </row>
    <row r="284">
      <c r="P284">
        <f>IF(A284="","",COUNTIF('30_NGAN_HANG'!$B:$B,A284))</f>
        <v/>
      </c>
      <c r="Q284">
        <f>IF(A284="","",COUNTIFS('30_NGAN_HANG'!$B:$B,A284,'30_NGAN_HANG'!$Y:$Y,"Approved"))</f>
        <v/>
      </c>
    </row>
    <row r="285">
      <c r="P285">
        <f>IF(A285="","",COUNTIF('30_NGAN_HANG'!$B:$B,A285))</f>
        <v/>
      </c>
      <c r="Q285">
        <f>IF(A285="","",COUNTIFS('30_NGAN_HANG'!$B:$B,A285,'30_NGAN_HANG'!$Y:$Y,"Approved"))</f>
        <v/>
      </c>
    </row>
    <row r="286">
      <c r="P286">
        <f>IF(A286="","",COUNTIF('30_NGAN_HANG'!$B:$B,A286))</f>
        <v/>
      </c>
      <c r="Q286">
        <f>IF(A286="","",COUNTIFS('30_NGAN_HANG'!$B:$B,A286,'30_NGAN_HANG'!$Y:$Y,"Approved"))</f>
        <v/>
      </c>
    </row>
    <row r="287">
      <c r="P287">
        <f>IF(A287="","",COUNTIF('30_NGAN_HANG'!$B:$B,A287))</f>
        <v/>
      </c>
      <c r="Q287">
        <f>IF(A287="","",COUNTIFS('30_NGAN_HANG'!$B:$B,A287,'30_NGAN_HANG'!$Y:$Y,"Approved"))</f>
        <v/>
      </c>
    </row>
    <row r="288">
      <c r="P288">
        <f>IF(A288="","",COUNTIF('30_NGAN_HANG'!$B:$B,A288))</f>
        <v/>
      </c>
      <c r="Q288">
        <f>IF(A288="","",COUNTIFS('30_NGAN_HANG'!$B:$B,A288,'30_NGAN_HANG'!$Y:$Y,"Approved"))</f>
        <v/>
      </c>
    </row>
    <row r="289">
      <c r="P289">
        <f>IF(A289="","",COUNTIF('30_NGAN_HANG'!$B:$B,A289))</f>
        <v/>
      </c>
      <c r="Q289">
        <f>IF(A289="","",COUNTIFS('30_NGAN_HANG'!$B:$B,A289,'30_NGAN_HANG'!$Y:$Y,"Approved"))</f>
        <v/>
      </c>
    </row>
    <row r="290">
      <c r="P290">
        <f>IF(A290="","",COUNTIF('30_NGAN_HANG'!$B:$B,A290))</f>
        <v/>
      </c>
      <c r="Q290">
        <f>IF(A290="","",COUNTIFS('30_NGAN_HANG'!$B:$B,A290,'30_NGAN_HANG'!$Y:$Y,"Approved"))</f>
        <v/>
      </c>
    </row>
    <row r="291">
      <c r="P291">
        <f>IF(A291="","",COUNTIF('30_NGAN_HANG'!$B:$B,A291))</f>
        <v/>
      </c>
      <c r="Q291">
        <f>IF(A291="","",COUNTIFS('30_NGAN_HANG'!$B:$B,A291,'30_NGAN_HANG'!$Y:$Y,"Approved"))</f>
        <v/>
      </c>
    </row>
    <row r="292">
      <c r="P292">
        <f>IF(A292="","",COUNTIF('30_NGAN_HANG'!$B:$B,A292))</f>
        <v/>
      </c>
      <c r="Q292">
        <f>IF(A292="","",COUNTIFS('30_NGAN_HANG'!$B:$B,A292,'30_NGAN_HANG'!$Y:$Y,"Approved"))</f>
        <v/>
      </c>
    </row>
    <row r="293">
      <c r="P293">
        <f>IF(A293="","",COUNTIF('30_NGAN_HANG'!$B:$B,A293))</f>
        <v/>
      </c>
      <c r="Q293">
        <f>IF(A293="","",COUNTIFS('30_NGAN_HANG'!$B:$B,A293,'30_NGAN_HANG'!$Y:$Y,"Approved"))</f>
        <v/>
      </c>
    </row>
    <row r="294">
      <c r="P294">
        <f>IF(A294="","",COUNTIF('30_NGAN_HANG'!$B:$B,A294))</f>
        <v/>
      </c>
      <c r="Q294">
        <f>IF(A294="","",COUNTIFS('30_NGAN_HANG'!$B:$B,A294,'30_NGAN_HANG'!$Y:$Y,"Approved"))</f>
        <v/>
      </c>
    </row>
    <row r="295">
      <c r="P295">
        <f>IF(A295="","",COUNTIF('30_NGAN_HANG'!$B:$B,A295))</f>
        <v/>
      </c>
      <c r="Q295">
        <f>IF(A295="","",COUNTIFS('30_NGAN_HANG'!$B:$B,A295,'30_NGAN_HANG'!$Y:$Y,"Approved"))</f>
        <v/>
      </c>
    </row>
    <row r="296">
      <c r="P296">
        <f>IF(A296="","",COUNTIF('30_NGAN_HANG'!$B:$B,A296))</f>
        <v/>
      </c>
      <c r="Q296">
        <f>IF(A296="","",COUNTIFS('30_NGAN_HANG'!$B:$B,A296,'30_NGAN_HANG'!$Y:$Y,"Approved"))</f>
        <v/>
      </c>
    </row>
    <row r="297">
      <c r="P297">
        <f>IF(A297="","",COUNTIF('30_NGAN_HANG'!$B:$B,A297))</f>
        <v/>
      </c>
      <c r="Q297">
        <f>IF(A297="","",COUNTIFS('30_NGAN_HANG'!$B:$B,A297,'30_NGAN_HANG'!$Y:$Y,"Approved"))</f>
        <v/>
      </c>
    </row>
    <row r="298">
      <c r="P298">
        <f>IF(A298="","",COUNTIF('30_NGAN_HANG'!$B:$B,A298))</f>
        <v/>
      </c>
      <c r="Q298">
        <f>IF(A298="","",COUNTIFS('30_NGAN_HANG'!$B:$B,A298,'30_NGAN_HANG'!$Y:$Y,"Approved"))</f>
        <v/>
      </c>
    </row>
    <row r="299">
      <c r="P299">
        <f>IF(A299="","",COUNTIF('30_NGAN_HANG'!$B:$B,A299))</f>
        <v/>
      </c>
      <c r="Q299">
        <f>IF(A299="","",COUNTIFS('30_NGAN_HANG'!$B:$B,A299,'30_NGAN_HANG'!$Y:$Y,"Approved"))</f>
        <v/>
      </c>
    </row>
    <row r="300">
      <c r="P300">
        <f>IF(A300="","",COUNTIF('30_NGAN_HANG'!$B:$B,A300))</f>
        <v/>
      </c>
      <c r="Q300">
        <f>IF(A300="","",COUNTIFS('30_NGAN_HANG'!$B:$B,A300,'30_NGAN_HANG'!$Y:$Y,"Approved"))</f>
        <v/>
      </c>
    </row>
  </sheetData>
  <dataValidations count="4">
    <dataValidation sqref="C3:C300" showDropDown="0" showInputMessage="0" showErrorMessage="0" allowBlank="1" type="list">
      <formula1>='99_DANH_MUC'!$A$2:$A$4</formula1>
    </dataValidation>
    <dataValidation sqref="M3:M300" showDropDown="0" showInputMessage="0" showErrorMessage="0" allowBlank="1" type="list">
      <formula1>='99_DANH_MUC'!$G$2:$G$4</formula1>
    </dataValidation>
    <dataValidation sqref="O3:O300" showDropDown="0" showInputMessage="0" showErrorMessage="0" allowBlank="1" type="list">
      <formula1>='99_DANH_MUC'!$E$2:$E$5</formula1>
    </dataValidation>
    <dataValidation sqref="K3:K300" showDropDown="0" showInputMessage="0" showErrorMessage="0" allowBlank="1" type="list">
      <formula1>='99_DANH_MUC'!$H$2:$H$3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C55A11"/>
    <outlinePr summaryBelow="1" summaryRight="1"/>
    <pageSetUpPr/>
  </sheetPr>
  <dimension ref="A1:Q30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12" customWidth="1" min="4" max="4"/>
    <col width="34" customWidth="1" min="5" max="5"/>
    <col width="28" customWidth="1" min="6" max="6"/>
    <col width="20" customWidth="1" min="7" max="7"/>
    <col width="18" customWidth="1" min="8" max="8"/>
    <col width="40" customWidth="1" min="9" max="9"/>
    <col width="34" customWidth="1" min="10" max="10"/>
    <col width="22" customWidth="1" min="11" max="11"/>
    <col width="32" customWidth="1" min="12" max="12"/>
    <col width="28" customWidth="1" min="13" max="13"/>
    <col width="24" customWidth="1" min="14" max="14"/>
    <col width="24" customWidth="1" min="15" max="15"/>
    <col width="32" customWidth="1" min="16" max="16"/>
    <col width="34" customWidth="1" min="17" max="17"/>
  </cols>
  <sheetData>
    <row r="1">
      <c r="A1" s="7" t="inlineStr">
        <is>
          <t>読解 › 掲示の読解  |  1 dòng = 1 yêu cầu sinh câu. Cam = bắt buộc, vàng = gợi ý cho AI.</t>
        </is>
      </c>
    </row>
    <row r="2" ht="42" customHeight="1">
      <c r="A2" s="8" t="inlineStr">
        <is>
          <t>Mã yêu cầu</t>
        </is>
      </c>
      <c r="B2" s="8" t="inlineStr">
        <is>
          <t>Mã đề (kế hoạch)</t>
        </is>
      </c>
      <c r="C2" s="8" t="inlineStr">
        <is>
          <t>Quyển</t>
        </is>
      </c>
      <c r="D2" s="8" t="inlineStr">
        <is>
          <t>Bài</t>
        </is>
      </c>
      <c r="E2" s="8" t="inlineStr">
        <is>
          <t>Số câu cần sinh</t>
        </is>
      </c>
      <c r="F2" s="9" t="inlineStr">
        <is>
          <t>Loại văn bản</t>
        </is>
      </c>
      <c r="G2" s="9" t="inlineStr">
        <is>
          <t>Bối cảnh</t>
        </is>
      </c>
      <c r="H2" s="9" t="inlineStr">
        <is>
          <t>Câu hỏi</t>
        </is>
      </c>
      <c r="I2" s="13" t="inlineStr">
        <is>
          <t>Thông tin chính cần có</t>
        </is>
      </c>
      <c r="J2" s="13" t="inlineStr">
        <is>
          <t>Thông tin nhiễu</t>
        </is>
      </c>
      <c r="K2" s="13" t="inlineStr">
        <is>
          <t>Cần hình?</t>
        </is>
      </c>
      <c r="L2" s="8" t="inlineStr">
        <is>
          <t>Ghi chú cho AI</t>
        </is>
      </c>
      <c r="M2" s="8" t="inlineStr">
        <is>
          <t>Công cụ sinh</t>
        </is>
      </c>
      <c r="N2" s="8" t="inlineStr">
        <is>
          <t>Người nhập</t>
        </is>
      </c>
      <c r="O2" s="8" t="inlineStr">
        <is>
          <t>Trạng thái</t>
        </is>
      </c>
      <c r="P2" s="10" t="inlineStr">
        <is>
          <t>Số câu đã sinh</t>
        </is>
      </c>
      <c r="Q2" s="10" t="inlineStr">
        <is>
          <t>Số câu Approved</t>
        </is>
      </c>
    </row>
    <row r="3">
      <c r="A3" t="inlineStr">
        <is>
          <t>IN_10-0001</t>
        </is>
      </c>
      <c r="C3" t="inlineStr">
        <is>
          <t>入門</t>
        </is>
      </c>
      <c r="D3" t="n">
        <v>1</v>
      </c>
      <c r="E3" t="n">
        <v>3</v>
      </c>
      <c r="F3" t="inlineStr">
        <is>
          <t>Thông báo đổ rác</t>
        </is>
      </c>
      <c r="G3" t="inlineStr">
        <is>
          <t>Khu chung cư</t>
        </is>
      </c>
      <c r="H3" t="inlineStr">
        <is>
          <t>Rác cháy được bỏ ngày nào?</t>
        </is>
      </c>
      <c r="I3" t="inlineStr">
        <is>
          <t>Thứ 2;Thứ 5;trước 8 giờ</t>
        </is>
      </c>
      <c r="J3" t="inlineStr">
        <is>
          <t>Ngày rác nhựa</t>
        </is>
      </c>
      <c r="K3" t="inlineStr">
        <is>
          <t>Y</t>
        </is>
      </c>
      <c r="L3" t="inlineStr">
        <is>
          <t>VÍ DỤ — xoá dòng này khi dùng thật</t>
        </is>
      </c>
      <c r="M3" t="inlineStr">
        <is>
          <t>ChatGPT</t>
        </is>
      </c>
      <c r="O3" t="inlineStr">
        <is>
          <t>Nháp</t>
        </is>
      </c>
      <c r="P3">
        <f>IF(A3="","",COUNTIF('30_NGAN_HANG'!$B:$B,A3))</f>
        <v/>
      </c>
      <c r="Q3">
        <f>IF(A3="","",COUNTIFS('30_NGAN_HANG'!$B:$B,A3,'30_NGAN_HANG'!$Y:$Y,"Approved"))</f>
        <v/>
      </c>
    </row>
    <row r="4">
      <c r="P4">
        <f>IF(A4="","",COUNTIF('30_NGAN_HANG'!$B:$B,A4))</f>
        <v/>
      </c>
      <c r="Q4">
        <f>IF(A4="","",COUNTIFS('30_NGAN_HANG'!$B:$B,A4,'30_NGAN_HANG'!$Y:$Y,"Approved"))</f>
        <v/>
      </c>
    </row>
    <row r="5">
      <c r="P5">
        <f>IF(A5="","",COUNTIF('30_NGAN_HANG'!$B:$B,A5))</f>
        <v/>
      </c>
      <c r="Q5">
        <f>IF(A5="","",COUNTIFS('30_NGAN_HANG'!$B:$B,A5,'30_NGAN_HANG'!$Y:$Y,"Approved"))</f>
        <v/>
      </c>
    </row>
    <row r="6">
      <c r="P6">
        <f>IF(A6="","",COUNTIF('30_NGAN_HANG'!$B:$B,A6))</f>
        <v/>
      </c>
      <c r="Q6">
        <f>IF(A6="","",COUNTIFS('30_NGAN_HANG'!$B:$B,A6,'30_NGAN_HANG'!$Y:$Y,"Approved"))</f>
        <v/>
      </c>
    </row>
    <row r="7">
      <c r="P7">
        <f>IF(A7="","",COUNTIF('30_NGAN_HANG'!$B:$B,A7))</f>
        <v/>
      </c>
      <c r="Q7">
        <f>IF(A7="","",COUNTIFS('30_NGAN_HANG'!$B:$B,A7,'30_NGAN_HANG'!$Y:$Y,"Approved"))</f>
        <v/>
      </c>
    </row>
    <row r="8">
      <c r="P8">
        <f>IF(A8="","",COUNTIF('30_NGAN_HANG'!$B:$B,A8))</f>
        <v/>
      </c>
      <c r="Q8">
        <f>IF(A8="","",COUNTIFS('30_NGAN_HANG'!$B:$B,A8,'30_NGAN_HANG'!$Y:$Y,"Approved"))</f>
        <v/>
      </c>
    </row>
    <row r="9">
      <c r="P9">
        <f>IF(A9="","",COUNTIF('30_NGAN_HANG'!$B:$B,A9))</f>
        <v/>
      </c>
      <c r="Q9">
        <f>IF(A9="","",COUNTIFS('30_NGAN_HANG'!$B:$B,A9,'30_NGAN_HANG'!$Y:$Y,"Approved"))</f>
        <v/>
      </c>
    </row>
    <row r="10">
      <c r="P10">
        <f>IF(A10="","",COUNTIF('30_NGAN_HANG'!$B:$B,A10))</f>
        <v/>
      </c>
      <c r="Q10">
        <f>IF(A10="","",COUNTIFS('30_NGAN_HANG'!$B:$B,A10,'30_NGAN_HANG'!$Y:$Y,"Approved"))</f>
        <v/>
      </c>
    </row>
    <row r="11">
      <c r="P11">
        <f>IF(A11="","",COUNTIF('30_NGAN_HANG'!$B:$B,A11))</f>
        <v/>
      </c>
      <c r="Q11">
        <f>IF(A11="","",COUNTIFS('30_NGAN_HANG'!$B:$B,A11,'30_NGAN_HANG'!$Y:$Y,"Approved"))</f>
        <v/>
      </c>
    </row>
    <row r="12">
      <c r="P12">
        <f>IF(A12="","",COUNTIF('30_NGAN_HANG'!$B:$B,A12))</f>
        <v/>
      </c>
      <c r="Q12">
        <f>IF(A12="","",COUNTIFS('30_NGAN_HANG'!$B:$B,A12,'30_NGAN_HANG'!$Y:$Y,"Approved"))</f>
        <v/>
      </c>
    </row>
    <row r="13">
      <c r="P13">
        <f>IF(A13="","",COUNTIF('30_NGAN_HANG'!$B:$B,A13))</f>
        <v/>
      </c>
      <c r="Q13">
        <f>IF(A13="","",COUNTIFS('30_NGAN_HANG'!$B:$B,A13,'30_NGAN_HANG'!$Y:$Y,"Approved"))</f>
        <v/>
      </c>
    </row>
    <row r="14">
      <c r="P14">
        <f>IF(A14="","",COUNTIF('30_NGAN_HANG'!$B:$B,A14))</f>
        <v/>
      </c>
      <c r="Q14">
        <f>IF(A14="","",COUNTIFS('30_NGAN_HANG'!$B:$B,A14,'30_NGAN_HANG'!$Y:$Y,"Approved"))</f>
        <v/>
      </c>
    </row>
    <row r="15">
      <c r="P15">
        <f>IF(A15="","",COUNTIF('30_NGAN_HANG'!$B:$B,A15))</f>
        <v/>
      </c>
      <c r="Q15">
        <f>IF(A15="","",COUNTIFS('30_NGAN_HANG'!$B:$B,A15,'30_NGAN_HANG'!$Y:$Y,"Approved"))</f>
        <v/>
      </c>
    </row>
    <row r="16">
      <c r="P16">
        <f>IF(A16="","",COUNTIF('30_NGAN_HANG'!$B:$B,A16))</f>
        <v/>
      </c>
      <c r="Q16">
        <f>IF(A16="","",COUNTIFS('30_NGAN_HANG'!$B:$B,A16,'30_NGAN_HANG'!$Y:$Y,"Approved"))</f>
        <v/>
      </c>
    </row>
    <row r="17">
      <c r="P17">
        <f>IF(A17="","",COUNTIF('30_NGAN_HANG'!$B:$B,A17))</f>
        <v/>
      </c>
      <c r="Q17">
        <f>IF(A17="","",COUNTIFS('30_NGAN_HANG'!$B:$B,A17,'30_NGAN_HANG'!$Y:$Y,"Approved"))</f>
        <v/>
      </c>
    </row>
    <row r="18">
      <c r="P18">
        <f>IF(A18="","",COUNTIF('30_NGAN_HANG'!$B:$B,A18))</f>
        <v/>
      </c>
      <c r="Q18">
        <f>IF(A18="","",COUNTIFS('30_NGAN_HANG'!$B:$B,A18,'30_NGAN_HANG'!$Y:$Y,"Approved"))</f>
        <v/>
      </c>
    </row>
    <row r="19">
      <c r="P19">
        <f>IF(A19="","",COUNTIF('30_NGAN_HANG'!$B:$B,A19))</f>
        <v/>
      </c>
      <c r="Q19">
        <f>IF(A19="","",COUNTIFS('30_NGAN_HANG'!$B:$B,A19,'30_NGAN_HANG'!$Y:$Y,"Approved"))</f>
        <v/>
      </c>
    </row>
    <row r="20">
      <c r="P20">
        <f>IF(A20="","",COUNTIF('30_NGAN_HANG'!$B:$B,A20))</f>
        <v/>
      </c>
      <c r="Q20">
        <f>IF(A20="","",COUNTIFS('30_NGAN_HANG'!$B:$B,A20,'30_NGAN_HANG'!$Y:$Y,"Approved"))</f>
        <v/>
      </c>
    </row>
    <row r="21">
      <c r="P21">
        <f>IF(A21="","",COUNTIF('30_NGAN_HANG'!$B:$B,A21))</f>
        <v/>
      </c>
      <c r="Q21">
        <f>IF(A21="","",COUNTIFS('30_NGAN_HANG'!$B:$B,A21,'30_NGAN_HANG'!$Y:$Y,"Approved"))</f>
        <v/>
      </c>
    </row>
    <row r="22">
      <c r="P22">
        <f>IF(A22="","",COUNTIF('30_NGAN_HANG'!$B:$B,A22))</f>
        <v/>
      </c>
      <c r="Q22">
        <f>IF(A22="","",COUNTIFS('30_NGAN_HANG'!$B:$B,A22,'30_NGAN_HANG'!$Y:$Y,"Approved"))</f>
        <v/>
      </c>
    </row>
    <row r="23">
      <c r="P23">
        <f>IF(A23="","",COUNTIF('30_NGAN_HANG'!$B:$B,A23))</f>
        <v/>
      </c>
      <c r="Q23">
        <f>IF(A23="","",COUNTIFS('30_NGAN_HANG'!$B:$B,A23,'30_NGAN_HANG'!$Y:$Y,"Approved"))</f>
        <v/>
      </c>
    </row>
    <row r="24">
      <c r="P24">
        <f>IF(A24="","",COUNTIF('30_NGAN_HANG'!$B:$B,A24))</f>
        <v/>
      </c>
      <c r="Q24">
        <f>IF(A24="","",COUNTIFS('30_NGAN_HANG'!$B:$B,A24,'30_NGAN_HANG'!$Y:$Y,"Approved"))</f>
        <v/>
      </c>
    </row>
    <row r="25">
      <c r="P25">
        <f>IF(A25="","",COUNTIF('30_NGAN_HANG'!$B:$B,A25))</f>
        <v/>
      </c>
      <c r="Q25">
        <f>IF(A25="","",COUNTIFS('30_NGAN_HANG'!$B:$B,A25,'30_NGAN_HANG'!$Y:$Y,"Approved"))</f>
        <v/>
      </c>
    </row>
    <row r="26">
      <c r="P26">
        <f>IF(A26="","",COUNTIF('30_NGAN_HANG'!$B:$B,A26))</f>
        <v/>
      </c>
      <c r="Q26">
        <f>IF(A26="","",COUNTIFS('30_NGAN_HANG'!$B:$B,A26,'30_NGAN_HANG'!$Y:$Y,"Approved"))</f>
        <v/>
      </c>
    </row>
    <row r="27">
      <c r="P27">
        <f>IF(A27="","",COUNTIF('30_NGAN_HANG'!$B:$B,A27))</f>
        <v/>
      </c>
      <c r="Q27">
        <f>IF(A27="","",COUNTIFS('30_NGAN_HANG'!$B:$B,A27,'30_NGAN_HANG'!$Y:$Y,"Approved"))</f>
        <v/>
      </c>
    </row>
    <row r="28">
      <c r="P28">
        <f>IF(A28="","",COUNTIF('30_NGAN_HANG'!$B:$B,A28))</f>
        <v/>
      </c>
      <c r="Q28">
        <f>IF(A28="","",COUNTIFS('30_NGAN_HANG'!$B:$B,A28,'30_NGAN_HANG'!$Y:$Y,"Approved"))</f>
        <v/>
      </c>
    </row>
    <row r="29">
      <c r="P29">
        <f>IF(A29="","",COUNTIF('30_NGAN_HANG'!$B:$B,A29))</f>
        <v/>
      </c>
      <c r="Q29">
        <f>IF(A29="","",COUNTIFS('30_NGAN_HANG'!$B:$B,A29,'30_NGAN_HANG'!$Y:$Y,"Approved"))</f>
        <v/>
      </c>
    </row>
    <row r="30">
      <c r="P30">
        <f>IF(A30="","",COUNTIF('30_NGAN_HANG'!$B:$B,A30))</f>
        <v/>
      </c>
      <c r="Q30">
        <f>IF(A30="","",COUNTIFS('30_NGAN_HANG'!$B:$B,A30,'30_NGAN_HANG'!$Y:$Y,"Approved"))</f>
        <v/>
      </c>
    </row>
    <row r="31">
      <c r="P31">
        <f>IF(A31="","",COUNTIF('30_NGAN_HANG'!$B:$B,A31))</f>
        <v/>
      </c>
      <c r="Q31">
        <f>IF(A31="","",COUNTIFS('30_NGAN_HANG'!$B:$B,A31,'30_NGAN_HANG'!$Y:$Y,"Approved"))</f>
        <v/>
      </c>
    </row>
    <row r="32">
      <c r="P32">
        <f>IF(A32="","",COUNTIF('30_NGAN_HANG'!$B:$B,A32))</f>
        <v/>
      </c>
      <c r="Q32">
        <f>IF(A32="","",COUNTIFS('30_NGAN_HANG'!$B:$B,A32,'30_NGAN_HANG'!$Y:$Y,"Approved"))</f>
        <v/>
      </c>
    </row>
    <row r="33">
      <c r="P33">
        <f>IF(A33="","",COUNTIF('30_NGAN_HANG'!$B:$B,A33))</f>
        <v/>
      </c>
      <c r="Q33">
        <f>IF(A33="","",COUNTIFS('30_NGAN_HANG'!$B:$B,A33,'30_NGAN_HANG'!$Y:$Y,"Approved"))</f>
        <v/>
      </c>
    </row>
    <row r="34">
      <c r="P34">
        <f>IF(A34="","",COUNTIF('30_NGAN_HANG'!$B:$B,A34))</f>
        <v/>
      </c>
      <c r="Q34">
        <f>IF(A34="","",COUNTIFS('30_NGAN_HANG'!$B:$B,A34,'30_NGAN_HANG'!$Y:$Y,"Approved"))</f>
        <v/>
      </c>
    </row>
    <row r="35">
      <c r="P35">
        <f>IF(A35="","",COUNTIF('30_NGAN_HANG'!$B:$B,A35))</f>
        <v/>
      </c>
      <c r="Q35">
        <f>IF(A35="","",COUNTIFS('30_NGAN_HANG'!$B:$B,A35,'30_NGAN_HANG'!$Y:$Y,"Approved"))</f>
        <v/>
      </c>
    </row>
    <row r="36">
      <c r="P36">
        <f>IF(A36="","",COUNTIF('30_NGAN_HANG'!$B:$B,A36))</f>
        <v/>
      </c>
      <c r="Q36">
        <f>IF(A36="","",COUNTIFS('30_NGAN_HANG'!$B:$B,A36,'30_NGAN_HANG'!$Y:$Y,"Approved"))</f>
        <v/>
      </c>
    </row>
    <row r="37">
      <c r="P37">
        <f>IF(A37="","",COUNTIF('30_NGAN_HANG'!$B:$B,A37))</f>
        <v/>
      </c>
      <c r="Q37">
        <f>IF(A37="","",COUNTIFS('30_NGAN_HANG'!$B:$B,A37,'30_NGAN_HANG'!$Y:$Y,"Approved"))</f>
        <v/>
      </c>
    </row>
    <row r="38">
      <c r="P38">
        <f>IF(A38="","",COUNTIF('30_NGAN_HANG'!$B:$B,A38))</f>
        <v/>
      </c>
      <c r="Q38">
        <f>IF(A38="","",COUNTIFS('30_NGAN_HANG'!$B:$B,A38,'30_NGAN_HANG'!$Y:$Y,"Approved"))</f>
        <v/>
      </c>
    </row>
    <row r="39">
      <c r="P39">
        <f>IF(A39="","",COUNTIF('30_NGAN_HANG'!$B:$B,A39))</f>
        <v/>
      </c>
      <c r="Q39">
        <f>IF(A39="","",COUNTIFS('30_NGAN_HANG'!$B:$B,A39,'30_NGAN_HANG'!$Y:$Y,"Approved"))</f>
        <v/>
      </c>
    </row>
    <row r="40">
      <c r="P40">
        <f>IF(A40="","",COUNTIF('30_NGAN_HANG'!$B:$B,A40))</f>
        <v/>
      </c>
      <c r="Q40">
        <f>IF(A40="","",COUNTIFS('30_NGAN_HANG'!$B:$B,A40,'30_NGAN_HANG'!$Y:$Y,"Approved"))</f>
        <v/>
      </c>
    </row>
    <row r="41">
      <c r="P41">
        <f>IF(A41="","",COUNTIF('30_NGAN_HANG'!$B:$B,A41))</f>
        <v/>
      </c>
      <c r="Q41">
        <f>IF(A41="","",COUNTIFS('30_NGAN_HANG'!$B:$B,A41,'30_NGAN_HANG'!$Y:$Y,"Approved"))</f>
        <v/>
      </c>
    </row>
    <row r="42">
      <c r="P42">
        <f>IF(A42="","",COUNTIF('30_NGAN_HANG'!$B:$B,A42))</f>
        <v/>
      </c>
      <c r="Q42">
        <f>IF(A42="","",COUNTIFS('30_NGAN_HANG'!$B:$B,A42,'30_NGAN_HANG'!$Y:$Y,"Approved"))</f>
        <v/>
      </c>
    </row>
    <row r="43">
      <c r="P43">
        <f>IF(A43="","",COUNTIF('30_NGAN_HANG'!$B:$B,A43))</f>
        <v/>
      </c>
      <c r="Q43">
        <f>IF(A43="","",COUNTIFS('30_NGAN_HANG'!$B:$B,A43,'30_NGAN_HANG'!$Y:$Y,"Approved"))</f>
        <v/>
      </c>
    </row>
    <row r="44">
      <c r="P44">
        <f>IF(A44="","",COUNTIF('30_NGAN_HANG'!$B:$B,A44))</f>
        <v/>
      </c>
      <c r="Q44">
        <f>IF(A44="","",COUNTIFS('30_NGAN_HANG'!$B:$B,A44,'30_NGAN_HANG'!$Y:$Y,"Approved"))</f>
        <v/>
      </c>
    </row>
    <row r="45">
      <c r="P45">
        <f>IF(A45="","",COUNTIF('30_NGAN_HANG'!$B:$B,A45))</f>
        <v/>
      </c>
      <c r="Q45">
        <f>IF(A45="","",COUNTIFS('30_NGAN_HANG'!$B:$B,A45,'30_NGAN_HANG'!$Y:$Y,"Approved"))</f>
        <v/>
      </c>
    </row>
    <row r="46">
      <c r="P46">
        <f>IF(A46="","",COUNTIF('30_NGAN_HANG'!$B:$B,A46))</f>
        <v/>
      </c>
      <c r="Q46">
        <f>IF(A46="","",COUNTIFS('30_NGAN_HANG'!$B:$B,A46,'30_NGAN_HANG'!$Y:$Y,"Approved"))</f>
        <v/>
      </c>
    </row>
    <row r="47">
      <c r="P47">
        <f>IF(A47="","",COUNTIF('30_NGAN_HANG'!$B:$B,A47))</f>
        <v/>
      </c>
      <c r="Q47">
        <f>IF(A47="","",COUNTIFS('30_NGAN_HANG'!$B:$B,A47,'30_NGAN_HANG'!$Y:$Y,"Approved"))</f>
        <v/>
      </c>
    </row>
    <row r="48">
      <c r="P48">
        <f>IF(A48="","",COUNTIF('30_NGAN_HANG'!$B:$B,A48))</f>
        <v/>
      </c>
      <c r="Q48">
        <f>IF(A48="","",COUNTIFS('30_NGAN_HANG'!$B:$B,A48,'30_NGAN_HANG'!$Y:$Y,"Approved"))</f>
        <v/>
      </c>
    </row>
    <row r="49">
      <c r="P49">
        <f>IF(A49="","",COUNTIF('30_NGAN_HANG'!$B:$B,A49))</f>
        <v/>
      </c>
      <c r="Q49">
        <f>IF(A49="","",COUNTIFS('30_NGAN_HANG'!$B:$B,A49,'30_NGAN_HANG'!$Y:$Y,"Approved"))</f>
        <v/>
      </c>
    </row>
    <row r="50">
      <c r="P50">
        <f>IF(A50="","",COUNTIF('30_NGAN_HANG'!$B:$B,A50))</f>
        <v/>
      </c>
      <c r="Q50">
        <f>IF(A50="","",COUNTIFS('30_NGAN_HANG'!$B:$B,A50,'30_NGAN_HANG'!$Y:$Y,"Approved"))</f>
        <v/>
      </c>
    </row>
    <row r="51">
      <c r="P51">
        <f>IF(A51="","",COUNTIF('30_NGAN_HANG'!$B:$B,A51))</f>
        <v/>
      </c>
      <c r="Q51">
        <f>IF(A51="","",COUNTIFS('30_NGAN_HANG'!$B:$B,A51,'30_NGAN_HANG'!$Y:$Y,"Approved"))</f>
        <v/>
      </c>
    </row>
    <row r="52">
      <c r="P52">
        <f>IF(A52="","",COUNTIF('30_NGAN_HANG'!$B:$B,A52))</f>
        <v/>
      </c>
      <c r="Q52">
        <f>IF(A52="","",COUNTIFS('30_NGAN_HANG'!$B:$B,A52,'30_NGAN_HANG'!$Y:$Y,"Approved"))</f>
        <v/>
      </c>
    </row>
    <row r="53">
      <c r="P53">
        <f>IF(A53="","",COUNTIF('30_NGAN_HANG'!$B:$B,A53))</f>
        <v/>
      </c>
      <c r="Q53">
        <f>IF(A53="","",COUNTIFS('30_NGAN_HANG'!$B:$B,A53,'30_NGAN_HANG'!$Y:$Y,"Approved"))</f>
        <v/>
      </c>
    </row>
    <row r="54">
      <c r="P54">
        <f>IF(A54="","",COUNTIF('30_NGAN_HANG'!$B:$B,A54))</f>
        <v/>
      </c>
      <c r="Q54">
        <f>IF(A54="","",COUNTIFS('30_NGAN_HANG'!$B:$B,A54,'30_NGAN_HANG'!$Y:$Y,"Approved"))</f>
        <v/>
      </c>
    </row>
    <row r="55">
      <c r="P55">
        <f>IF(A55="","",COUNTIF('30_NGAN_HANG'!$B:$B,A55))</f>
        <v/>
      </c>
      <c r="Q55">
        <f>IF(A55="","",COUNTIFS('30_NGAN_HANG'!$B:$B,A55,'30_NGAN_HANG'!$Y:$Y,"Approved"))</f>
        <v/>
      </c>
    </row>
    <row r="56">
      <c r="P56">
        <f>IF(A56="","",COUNTIF('30_NGAN_HANG'!$B:$B,A56))</f>
        <v/>
      </c>
      <c r="Q56">
        <f>IF(A56="","",COUNTIFS('30_NGAN_HANG'!$B:$B,A56,'30_NGAN_HANG'!$Y:$Y,"Approved"))</f>
        <v/>
      </c>
    </row>
    <row r="57">
      <c r="P57">
        <f>IF(A57="","",COUNTIF('30_NGAN_HANG'!$B:$B,A57))</f>
        <v/>
      </c>
      <c r="Q57">
        <f>IF(A57="","",COUNTIFS('30_NGAN_HANG'!$B:$B,A57,'30_NGAN_HANG'!$Y:$Y,"Approved"))</f>
        <v/>
      </c>
    </row>
    <row r="58">
      <c r="P58">
        <f>IF(A58="","",COUNTIF('30_NGAN_HANG'!$B:$B,A58))</f>
        <v/>
      </c>
      <c r="Q58">
        <f>IF(A58="","",COUNTIFS('30_NGAN_HANG'!$B:$B,A58,'30_NGAN_HANG'!$Y:$Y,"Approved"))</f>
        <v/>
      </c>
    </row>
    <row r="59">
      <c r="P59">
        <f>IF(A59="","",COUNTIF('30_NGAN_HANG'!$B:$B,A59))</f>
        <v/>
      </c>
      <c r="Q59">
        <f>IF(A59="","",COUNTIFS('30_NGAN_HANG'!$B:$B,A59,'30_NGAN_HANG'!$Y:$Y,"Approved"))</f>
        <v/>
      </c>
    </row>
    <row r="60">
      <c r="P60">
        <f>IF(A60="","",COUNTIF('30_NGAN_HANG'!$B:$B,A60))</f>
        <v/>
      </c>
      <c r="Q60">
        <f>IF(A60="","",COUNTIFS('30_NGAN_HANG'!$B:$B,A60,'30_NGAN_HANG'!$Y:$Y,"Approved"))</f>
        <v/>
      </c>
    </row>
    <row r="61">
      <c r="P61">
        <f>IF(A61="","",COUNTIF('30_NGAN_HANG'!$B:$B,A61))</f>
        <v/>
      </c>
      <c r="Q61">
        <f>IF(A61="","",COUNTIFS('30_NGAN_HANG'!$B:$B,A61,'30_NGAN_HANG'!$Y:$Y,"Approved"))</f>
        <v/>
      </c>
    </row>
    <row r="62">
      <c r="P62">
        <f>IF(A62="","",COUNTIF('30_NGAN_HANG'!$B:$B,A62))</f>
        <v/>
      </c>
      <c r="Q62">
        <f>IF(A62="","",COUNTIFS('30_NGAN_HANG'!$B:$B,A62,'30_NGAN_HANG'!$Y:$Y,"Approved"))</f>
        <v/>
      </c>
    </row>
    <row r="63">
      <c r="P63">
        <f>IF(A63="","",COUNTIF('30_NGAN_HANG'!$B:$B,A63))</f>
        <v/>
      </c>
      <c r="Q63">
        <f>IF(A63="","",COUNTIFS('30_NGAN_HANG'!$B:$B,A63,'30_NGAN_HANG'!$Y:$Y,"Approved"))</f>
        <v/>
      </c>
    </row>
    <row r="64">
      <c r="P64">
        <f>IF(A64="","",COUNTIF('30_NGAN_HANG'!$B:$B,A64))</f>
        <v/>
      </c>
      <c r="Q64">
        <f>IF(A64="","",COUNTIFS('30_NGAN_HANG'!$B:$B,A64,'30_NGAN_HANG'!$Y:$Y,"Approved"))</f>
        <v/>
      </c>
    </row>
    <row r="65">
      <c r="P65">
        <f>IF(A65="","",COUNTIF('30_NGAN_HANG'!$B:$B,A65))</f>
        <v/>
      </c>
      <c r="Q65">
        <f>IF(A65="","",COUNTIFS('30_NGAN_HANG'!$B:$B,A65,'30_NGAN_HANG'!$Y:$Y,"Approved"))</f>
        <v/>
      </c>
    </row>
    <row r="66">
      <c r="P66">
        <f>IF(A66="","",COUNTIF('30_NGAN_HANG'!$B:$B,A66))</f>
        <v/>
      </c>
      <c r="Q66">
        <f>IF(A66="","",COUNTIFS('30_NGAN_HANG'!$B:$B,A66,'30_NGAN_HANG'!$Y:$Y,"Approved"))</f>
        <v/>
      </c>
    </row>
    <row r="67">
      <c r="P67">
        <f>IF(A67="","",COUNTIF('30_NGAN_HANG'!$B:$B,A67))</f>
        <v/>
      </c>
      <c r="Q67">
        <f>IF(A67="","",COUNTIFS('30_NGAN_HANG'!$B:$B,A67,'30_NGAN_HANG'!$Y:$Y,"Approved"))</f>
        <v/>
      </c>
    </row>
    <row r="68">
      <c r="P68">
        <f>IF(A68="","",COUNTIF('30_NGAN_HANG'!$B:$B,A68))</f>
        <v/>
      </c>
      <c r="Q68">
        <f>IF(A68="","",COUNTIFS('30_NGAN_HANG'!$B:$B,A68,'30_NGAN_HANG'!$Y:$Y,"Approved"))</f>
        <v/>
      </c>
    </row>
    <row r="69">
      <c r="P69">
        <f>IF(A69="","",COUNTIF('30_NGAN_HANG'!$B:$B,A69))</f>
        <v/>
      </c>
      <c r="Q69">
        <f>IF(A69="","",COUNTIFS('30_NGAN_HANG'!$B:$B,A69,'30_NGAN_HANG'!$Y:$Y,"Approved"))</f>
        <v/>
      </c>
    </row>
    <row r="70">
      <c r="P70">
        <f>IF(A70="","",COUNTIF('30_NGAN_HANG'!$B:$B,A70))</f>
        <v/>
      </c>
      <c r="Q70">
        <f>IF(A70="","",COUNTIFS('30_NGAN_HANG'!$B:$B,A70,'30_NGAN_HANG'!$Y:$Y,"Approved"))</f>
        <v/>
      </c>
    </row>
    <row r="71">
      <c r="P71">
        <f>IF(A71="","",COUNTIF('30_NGAN_HANG'!$B:$B,A71))</f>
        <v/>
      </c>
      <c r="Q71">
        <f>IF(A71="","",COUNTIFS('30_NGAN_HANG'!$B:$B,A71,'30_NGAN_HANG'!$Y:$Y,"Approved"))</f>
        <v/>
      </c>
    </row>
    <row r="72">
      <c r="P72">
        <f>IF(A72="","",COUNTIF('30_NGAN_HANG'!$B:$B,A72))</f>
        <v/>
      </c>
      <c r="Q72">
        <f>IF(A72="","",COUNTIFS('30_NGAN_HANG'!$B:$B,A72,'30_NGAN_HANG'!$Y:$Y,"Approved"))</f>
        <v/>
      </c>
    </row>
    <row r="73">
      <c r="P73">
        <f>IF(A73="","",COUNTIF('30_NGAN_HANG'!$B:$B,A73))</f>
        <v/>
      </c>
      <c r="Q73">
        <f>IF(A73="","",COUNTIFS('30_NGAN_HANG'!$B:$B,A73,'30_NGAN_HANG'!$Y:$Y,"Approved"))</f>
        <v/>
      </c>
    </row>
    <row r="74">
      <c r="P74">
        <f>IF(A74="","",COUNTIF('30_NGAN_HANG'!$B:$B,A74))</f>
        <v/>
      </c>
      <c r="Q74">
        <f>IF(A74="","",COUNTIFS('30_NGAN_HANG'!$B:$B,A74,'30_NGAN_HANG'!$Y:$Y,"Approved"))</f>
        <v/>
      </c>
    </row>
    <row r="75">
      <c r="P75">
        <f>IF(A75="","",COUNTIF('30_NGAN_HANG'!$B:$B,A75))</f>
        <v/>
      </c>
      <c r="Q75">
        <f>IF(A75="","",COUNTIFS('30_NGAN_HANG'!$B:$B,A75,'30_NGAN_HANG'!$Y:$Y,"Approved"))</f>
        <v/>
      </c>
    </row>
    <row r="76">
      <c r="P76">
        <f>IF(A76="","",COUNTIF('30_NGAN_HANG'!$B:$B,A76))</f>
        <v/>
      </c>
      <c r="Q76">
        <f>IF(A76="","",COUNTIFS('30_NGAN_HANG'!$B:$B,A76,'30_NGAN_HANG'!$Y:$Y,"Approved"))</f>
        <v/>
      </c>
    </row>
    <row r="77">
      <c r="P77">
        <f>IF(A77="","",COUNTIF('30_NGAN_HANG'!$B:$B,A77))</f>
        <v/>
      </c>
      <c r="Q77">
        <f>IF(A77="","",COUNTIFS('30_NGAN_HANG'!$B:$B,A77,'30_NGAN_HANG'!$Y:$Y,"Approved"))</f>
        <v/>
      </c>
    </row>
    <row r="78">
      <c r="P78">
        <f>IF(A78="","",COUNTIF('30_NGAN_HANG'!$B:$B,A78))</f>
        <v/>
      </c>
      <c r="Q78">
        <f>IF(A78="","",COUNTIFS('30_NGAN_HANG'!$B:$B,A78,'30_NGAN_HANG'!$Y:$Y,"Approved"))</f>
        <v/>
      </c>
    </row>
    <row r="79">
      <c r="P79">
        <f>IF(A79="","",COUNTIF('30_NGAN_HANG'!$B:$B,A79))</f>
        <v/>
      </c>
      <c r="Q79">
        <f>IF(A79="","",COUNTIFS('30_NGAN_HANG'!$B:$B,A79,'30_NGAN_HANG'!$Y:$Y,"Approved"))</f>
        <v/>
      </c>
    </row>
    <row r="80">
      <c r="P80">
        <f>IF(A80="","",COUNTIF('30_NGAN_HANG'!$B:$B,A80))</f>
        <v/>
      </c>
      <c r="Q80">
        <f>IF(A80="","",COUNTIFS('30_NGAN_HANG'!$B:$B,A80,'30_NGAN_HANG'!$Y:$Y,"Approved"))</f>
        <v/>
      </c>
    </row>
    <row r="81">
      <c r="P81">
        <f>IF(A81="","",COUNTIF('30_NGAN_HANG'!$B:$B,A81))</f>
        <v/>
      </c>
      <c r="Q81">
        <f>IF(A81="","",COUNTIFS('30_NGAN_HANG'!$B:$B,A81,'30_NGAN_HANG'!$Y:$Y,"Approved"))</f>
        <v/>
      </c>
    </row>
    <row r="82">
      <c r="P82">
        <f>IF(A82="","",COUNTIF('30_NGAN_HANG'!$B:$B,A82))</f>
        <v/>
      </c>
      <c r="Q82">
        <f>IF(A82="","",COUNTIFS('30_NGAN_HANG'!$B:$B,A82,'30_NGAN_HANG'!$Y:$Y,"Approved"))</f>
        <v/>
      </c>
    </row>
    <row r="83">
      <c r="P83">
        <f>IF(A83="","",COUNTIF('30_NGAN_HANG'!$B:$B,A83))</f>
        <v/>
      </c>
      <c r="Q83">
        <f>IF(A83="","",COUNTIFS('30_NGAN_HANG'!$B:$B,A83,'30_NGAN_HANG'!$Y:$Y,"Approved"))</f>
        <v/>
      </c>
    </row>
    <row r="84">
      <c r="P84">
        <f>IF(A84="","",COUNTIF('30_NGAN_HANG'!$B:$B,A84))</f>
        <v/>
      </c>
      <c r="Q84">
        <f>IF(A84="","",COUNTIFS('30_NGAN_HANG'!$B:$B,A84,'30_NGAN_HANG'!$Y:$Y,"Approved"))</f>
        <v/>
      </c>
    </row>
    <row r="85">
      <c r="P85">
        <f>IF(A85="","",COUNTIF('30_NGAN_HANG'!$B:$B,A85))</f>
        <v/>
      </c>
      <c r="Q85">
        <f>IF(A85="","",COUNTIFS('30_NGAN_HANG'!$B:$B,A85,'30_NGAN_HANG'!$Y:$Y,"Approved"))</f>
        <v/>
      </c>
    </row>
    <row r="86">
      <c r="P86">
        <f>IF(A86="","",COUNTIF('30_NGAN_HANG'!$B:$B,A86))</f>
        <v/>
      </c>
      <c r="Q86">
        <f>IF(A86="","",COUNTIFS('30_NGAN_HANG'!$B:$B,A86,'30_NGAN_HANG'!$Y:$Y,"Approved"))</f>
        <v/>
      </c>
    </row>
    <row r="87">
      <c r="P87">
        <f>IF(A87="","",COUNTIF('30_NGAN_HANG'!$B:$B,A87))</f>
        <v/>
      </c>
      <c r="Q87">
        <f>IF(A87="","",COUNTIFS('30_NGAN_HANG'!$B:$B,A87,'30_NGAN_HANG'!$Y:$Y,"Approved"))</f>
        <v/>
      </c>
    </row>
    <row r="88">
      <c r="P88">
        <f>IF(A88="","",COUNTIF('30_NGAN_HANG'!$B:$B,A88))</f>
        <v/>
      </c>
      <c r="Q88">
        <f>IF(A88="","",COUNTIFS('30_NGAN_HANG'!$B:$B,A88,'30_NGAN_HANG'!$Y:$Y,"Approved"))</f>
        <v/>
      </c>
    </row>
    <row r="89">
      <c r="P89">
        <f>IF(A89="","",COUNTIF('30_NGAN_HANG'!$B:$B,A89))</f>
        <v/>
      </c>
      <c r="Q89">
        <f>IF(A89="","",COUNTIFS('30_NGAN_HANG'!$B:$B,A89,'30_NGAN_HANG'!$Y:$Y,"Approved"))</f>
        <v/>
      </c>
    </row>
    <row r="90">
      <c r="P90">
        <f>IF(A90="","",COUNTIF('30_NGAN_HANG'!$B:$B,A90))</f>
        <v/>
      </c>
      <c r="Q90">
        <f>IF(A90="","",COUNTIFS('30_NGAN_HANG'!$B:$B,A90,'30_NGAN_HANG'!$Y:$Y,"Approved"))</f>
        <v/>
      </c>
    </row>
    <row r="91">
      <c r="P91">
        <f>IF(A91="","",COUNTIF('30_NGAN_HANG'!$B:$B,A91))</f>
        <v/>
      </c>
      <c r="Q91">
        <f>IF(A91="","",COUNTIFS('30_NGAN_HANG'!$B:$B,A91,'30_NGAN_HANG'!$Y:$Y,"Approved"))</f>
        <v/>
      </c>
    </row>
    <row r="92">
      <c r="P92">
        <f>IF(A92="","",COUNTIF('30_NGAN_HANG'!$B:$B,A92))</f>
        <v/>
      </c>
      <c r="Q92">
        <f>IF(A92="","",COUNTIFS('30_NGAN_HANG'!$B:$B,A92,'30_NGAN_HANG'!$Y:$Y,"Approved"))</f>
        <v/>
      </c>
    </row>
    <row r="93">
      <c r="P93">
        <f>IF(A93="","",COUNTIF('30_NGAN_HANG'!$B:$B,A93))</f>
        <v/>
      </c>
      <c r="Q93">
        <f>IF(A93="","",COUNTIFS('30_NGAN_HANG'!$B:$B,A93,'30_NGAN_HANG'!$Y:$Y,"Approved"))</f>
        <v/>
      </c>
    </row>
    <row r="94">
      <c r="P94">
        <f>IF(A94="","",COUNTIF('30_NGAN_HANG'!$B:$B,A94))</f>
        <v/>
      </c>
      <c r="Q94">
        <f>IF(A94="","",COUNTIFS('30_NGAN_HANG'!$B:$B,A94,'30_NGAN_HANG'!$Y:$Y,"Approved"))</f>
        <v/>
      </c>
    </row>
    <row r="95">
      <c r="P95">
        <f>IF(A95="","",COUNTIF('30_NGAN_HANG'!$B:$B,A95))</f>
        <v/>
      </c>
      <c r="Q95">
        <f>IF(A95="","",COUNTIFS('30_NGAN_HANG'!$B:$B,A95,'30_NGAN_HANG'!$Y:$Y,"Approved"))</f>
        <v/>
      </c>
    </row>
    <row r="96">
      <c r="P96">
        <f>IF(A96="","",COUNTIF('30_NGAN_HANG'!$B:$B,A96))</f>
        <v/>
      </c>
      <c r="Q96">
        <f>IF(A96="","",COUNTIFS('30_NGAN_HANG'!$B:$B,A96,'30_NGAN_HANG'!$Y:$Y,"Approved"))</f>
        <v/>
      </c>
    </row>
    <row r="97">
      <c r="P97">
        <f>IF(A97="","",COUNTIF('30_NGAN_HANG'!$B:$B,A97))</f>
        <v/>
      </c>
      <c r="Q97">
        <f>IF(A97="","",COUNTIFS('30_NGAN_HANG'!$B:$B,A97,'30_NGAN_HANG'!$Y:$Y,"Approved"))</f>
        <v/>
      </c>
    </row>
    <row r="98">
      <c r="P98">
        <f>IF(A98="","",COUNTIF('30_NGAN_HANG'!$B:$B,A98))</f>
        <v/>
      </c>
      <c r="Q98">
        <f>IF(A98="","",COUNTIFS('30_NGAN_HANG'!$B:$B,A98,'30_NGAN_HANG'!$Y:$Y,"Approved"))</f>
        <v/>
      </c>
    </row>
    <row r="99">
      <c r="P99">
        <f>IF(A99="","",COUNTIF('30_NGAN_HANG'!$B:$B,A99))</f>
        <v/>
      </c>
      <c r="Q99">
        <f>IF(A99="","",COUNTIFS('30_NGAN_HANG'!$B:$B,A99,'30_NGAN_HANG'!$Y:$Y,"Approved"))</f>
        <v/>
      </c>
    </row>
    <row r="100">
      <c r="P100">
        <f>IF(A100="","",COUNTIF('30_NGAN_HANG'!$B:$B,A100))</f>
        <v/>
      </c>
      <c r="Q100">
        <f>IF(A100="","",COUNTIFS('30_NGAN_HANG'!$B:$B,A100,'30_NGAN_HANG'!$Y:$Y,"Approved"))</f>
        <v/>
      </c>
    </row>
    <row r="101">
      <c r="P101">
        <f>IF(A101="","",COUNTIF('30_NGAN_HANG'!$B:$B,A101))</f>
        <v/>
      </c>
      <c r="Q101">
        <f>IF(A101="","",COUNTIFS('30_NGAN_HANG'!$B:$B,A101,'30_NGAN_HANG'!$Y:$Y,"Approved"))</f>
        <v/>
      </c>
    </row>
    <row r="102">
      <c r="P102">
        <f>IF(A102="","",COUNTIF('30_NGAN_HANG'!$B:$B,A102))</f>
        <v/>
      </c>
      <c r="Q102">
        <f>IF(A102="","",COUNTIFS('30_NGAN_HANG'!$B:$B,A102,'30_NGAN_HANG'!$Y:$Y,"Approved"))</f>
        <v/>
      </c>
    </row>
    <row r="103">
      <c r="P103">
        <f>IF(A103="","",COUNTIF('30_NGAN_HANG'!$B:$B,A103))</f>
        <v/>
      </c>
      <c r="Q103">
        <f>IF(A103="","",COUNTIFS('30_NGAN_HANG'!$B:$B,A103,'30_NGAN_HANG'!$Y:$Y,"Approved"))</f>
        <v/>
      </c>
    </row>
    <row r="104">
      <c r="P104">
        <f>IF(A104="","",COUNTIF('30_NGAN_HANG'!$B:$B,A104))</f>
        <v/>
      </c>
      <c r="Q104">
        <f>IF(A104="","",COUNTIFS('30_NGAN_HANG'!$B:$B,A104,'30_NGAN_HANG'!$Y:$Y,"Approved"))</f>
        <v/>
      </c>
    </row>
    <row r="105">
      <c r="P105">
        <f>IF(A105="","",COUNTIF('30_NGAN_HANG'!$B:$B,A105))</f>
        <v/>
      </c>
      <c r="Q105">
        <f>IF(A105="","",COUNTIFS('30_NGAN_HANG'!$B:$B,A105,'30_NGAN_HANG'!$Y:$Y,"Approved"))</f>
        <v/>
      </c>
    </row>
    <row r="106">
      <c r="P106">
        <f>IF(A106="","",COUNTIF('30_NGAN_HANG'!$B:$B,A106))</f>
        <v/>
      </c>
      <c r="Q106">
        <f>IF(A106="","",COUNTIFS('30_NGAN_HANG'!$B:$B,A106,'30_NGAN_HANG'!$Y:$Y,"Approved"))</f>
        <v/>
      </c>
    </row>
    <row r="107">
      <c r="P107">
        <f>IF(A107="","",COUNTIF('30_NGAN_HANG'!$B:$B,A107))</f>
        <v/>
      </c>
      <c r="Q107">
        <f>IF(A107="","",COUNTIFS('30_NGAN_HANG'!$B:$B,A107,'30_NGAN_HANG'!$Y:$Y,"Approved"))</f>
        <v/>
      </c>
    </row>
    <row r="108">
      <c r="P108">
        <f>IF(A108="","",COUNTIF('30_NGAN_HANG'!$B:$B,A108))</f>
        <v/>
      </c>
      <c r="Q108">
        <f>IF(A108="","",COUNTIFS('30_NGAN_HANG'!$B:$B,A108,'30_NGAN_HANG'!$Y:$Y,"Approved"))</f>
        <v/>
      </c>
    </row>
    <row r="109">
      <c r="P109">
        <f>IF(A109="","",COUNTIF('30_NGAN_HANG'!$B:$B,A109))</f>
        <v/>
      </c>
      <c r="Q109">
        <f>IF(A109="","",COUNTIFS('30_NGAN_HANG'!$B:$B,A109,'30_NGAN_HANG'!$Y:$Y,"Approved"))</f>
        <v/>
      </c>
    </row>
    <row r="110">
      <c r="P110">
        <f>IF(A110="","",COUNTIF('30_NGAN_HANG'!$B:$B,A110))</f>
        <v/>
      </c>
      <c r="Q110">
        <f>IF(A110="","",COUNTIFS('30_NGAN_HANG'!$B:$B,A110,'30_NGAN_HANG'!$Y:$Y,"Approved"))</f>
        <v/>
      </c>
    </row>
    <row r="111">
      <c r="P111">
        <f>IF(A111="","",COUNTIF('30_NGAN_HANG'!$B:$B,A111))</f>
        <v/>
      </c>
      <c r="Q111">
        <f>IF(A111="","",COUNTIFS('30_NGAN_HANG'!$B:$B,A111,'30_NGAN_HANG'!$Y:$Y,"Approved"))</f>
        <v/>
      </c>
    </row>
    <row r="112">
      <c r="P112">
        <f>IF(A112="","",COUNTIF('30_NGAN_HANG'!$B:$B,A112))</f>
        <v/>
      </c>
      <c r="Q112">
        <f>IF(A112="","",COUNTIFS('30_NGAN_HANG'!$B:$B,A112,'30_NGAN_HANG'!$Y:$Y,"Approved"))</f>
        <v/>
      </c>
    </row>
    <row r="113">
      <c r="P113">
        <f>IF(A113="","",COUNTIF('30_NGAN_HANG'!$B:$B,A113))</f>
        <v/>
      </c>
      <c r="Q113">
        <f>IF(A113="","",COUNTIFS('30_NGAN_HANG'!$B:$B,A113,'30_NGAN_HANG'!$Y:$Y,"Approved"))</f>
        <v/>
      </c>
    </row>
    <row r="114">
      <c r="P114">
        <f>IF(A114="","",COUNTIF('30_NGAN_HANG'!$B:$B,A114))</f>
        <v/>
      </c>
      <c r="Q114">
        <f>IF(A114="","",COUNTIFS('30_NGAN_HANG'!$B:$B,A114,'30_NGAN_HANG'!$Y:$Y,"Approved"))</f>
        <v/>
      </c>
    </row>
    <row r="115">
      <c r="P115">
        <f>IF(A115="","",COUNTIF('30_NGAN_HANG'!$B:$B,A115))</f>
        <v/>
      </c>
      <c r="Q115">
        <f>IF(A115="","",COUNTIFS('30_NGAN_HANG'!$B:$B,A115,'30_NGAN_HANG'!$Y:$Y,"Approved"))</f>
        <v/>
      </c>
    </row>
    <row r="116">
      <c r="P116">
        <f>IF(A116="","",COUNTIF('30_NGAN_HANG'!$B:$B,A116))</f>
        <v/>
      </c>
      <c r="Q116">
        <f>IF(A116="","",COUNTIFS('30_NGAN_HANG'!$B:$B,A116,'30_NGAN_HANG'!$Y:$Y,"Approved"))</f>
        <v/>
      </c>
    </row>
    <row r="117">
      <c r="P117">
        <f>IF(A117="","",COUNTIF('30_NGAN_HANG'!$B:$B,A117))</f>
        <v/>
      </c>
      <c r="Q117">
        <f>IF(A117="","",COUNTIFS('30_NGAN_HANG'!$B:$B,A117,'30_NGAN_HANG'!$Y:$Y,"Approved"))</f>
        <v/>
      </c>
    </row>
    <row r="118">
      <c r="P118">
        <f>IF(A118="","",COUNTIF('30_NGAN_HANG'!$B:$B,A118))</f>
        <v/>
      </c>
      <c r="Q118">
        <f>IF(A118="","",COUNTIFS('30_NGAN_HANG'!$B:$B,A118,'30_NGAN_HANG'!$Y:$Y,"Approved"))</f>
        <v/>
      </c>
    </row>
    <row r="119">
      <c r="P119">
        <f>IF(A119="","",COUNTIF('30_NGAN_HANG'!$B:$B,A119))</f>
        <v/>
      </c>
      <c r="Q119">
        <f>IF(A119="","",COUNTIFS('30_NGAN_HANG'!$B:$B,A119,'30_NGAN_HANG'!$Y:$Y,"Approved"))</f>
        <v/>
      </c>
    </row>
    <row r="120">
      <c r="P120">
        <f>IF(A120="","",COUNTIF('30_NGAN_HANG'!$B:$B,A120))</f>
        <v/>
      </c>
      <c r="Q120">
        <f>IF(A120="","",COUNTIFS('30_NGAN_HANG'!$B:$B,A120,'30_NGAN_HANG'!$Y:$Y,"Approved"))</f>
        <v/>
      </c>
    </row>
    <row r="121">
      <c r="P121">
        <f>IF(A121="","",COUNTIF('30_NGAN_HANG'!$B:$B,A121))</f>
        <v/>
      </c>
      <c r="Q121">
        <f>IF(A121="","",COUNTIFS('30_NGAN_HANG'!$B:$B,A121,'30_NGAN_HANG'!$Y:$Y,"Approved"))</f>
        <v/>
      </c>
    </row>
    <row r="122">
      <c r="P122">
        <f>IF(A122="","",COUNTIF('30_NGAN_HANG'!$B:$B,A122))</f>
        <v/>
      </c>
      <c r="Q122">
        <f>IF(A122="","",COUNTIFS('30_NGAN_HANG'!$B:$B,A122,'30_NGAN_HANG'!$Y:$Y,"Approved"))</f>
        <v/>
      </c>
    </row>
    <row r="123">
      <c r="P123">
        <f>IF(A123="","",COUNTIF('30_NGAN_HANG'!$B:$B,A123))</f>
        <v/>
      </c>
      <c r="Q123">
        <f>IF(A123="","",COUNTIFS('30_NGAN_HANG'!$B:$B,A123,'30_NGAN_HANG'!$Y:$Y,"Approved"))</f>
        <v/>
      </c>
    </row>
    <row r="124">
      <c r="P124">
        <f>IF(A124="","",COUNTIF('30_NGAN_HANG'!$B:$B,A124))</f>
        <v/>
      </c>
      <c r="Q124">
        <f>IF(A124="","",COUNTIFS('30_NGAN_HANG'!$B:$B,A124,'30_NGAN_HANG'!$Y:$Y,"Approved"))</f>
        <v/>
      </c>
    </row>
    <row r="125">
      <c r="P125">
        <f>IF(A125="","",COUNTIF('30_NGAN_HANG'!$B:$B,A125))</f>
        <v/>
      </c>
      <c r="Q125">
        <f>IF(A125="","",COUNTIFS('30_NGAN_HANG'!$B:$B,A125,'30_NGAN_HANG'!$Y:$Y,"Approved"))</f>
        <v/>
      </c>
    </row>
    <row r="126">
      <c r="P126">
        <f>IF(A126="","",COUNTIF('30_NGAN_HANG'!$B:$B,A126))</f>
        <v/>
      </c>
      <c r="Q126">
        <f>IF(A126="","",COUNTIFS('30_NGAN_HANG'!$B:$B,A126,'30_NGAN_HANG'!$Y:$Y,"Approved"))</f>
        <v/>
      </c>
    </row>
    <row r="127">
      <c r="P127">
        <f>IF(A127="","",COUNTIF('30_NGAN_HANG'!$B:$B,A127))</f>
        <v/>
      </c>
      <c r="Q127">
        <f>IF(A127="","",COUNTIFS('30_NGAN_HANG'!$B:$B,A127,'30_NGAN_HANG'!$Y:$Y,"Approved"))</f>
        <v/>
      </c>
    </row>
    <row r="128">
      <c r="P128">
        <f>IF(A128="","",COUNTIF('30_NGAN_HANG'!$B:$B,A128))</f>
        <v/>
      </c>
      <c r="Q128">
        <f>IF(A128="","",COUNTIFS('30_NGAN_HANG'!$B:$B,A128,'30_NGAN_HANG'!$Y:$Y,"Approved"))</f>
        <v/>
      </c>
    </row>
    <row r="129">
      <c r="P129">
        <f>IF(A129="","",COUNTIF('30_NGAN_HANG'!$B:$B,A129))</f>
        <v/>
      </c>
      <c r="Q129">
        <f>IF(A129="","",COUNTIFS('30_NGAN_HANG'!$B:$B,A129,'30_NGAN_HANG'!$Y:$Y,"Approved"))</f>
        <v/>
      </c>
    </row>
    <row r="130">
      <c r="P130">
        <f>IF(A130="","",COUNTIF('30_NGAN_HANG'!$B:$B,A130))</f>
        <v/>
      </c>
      <c r="Q130">
        <f>IF(A130="","",COUNTIFS('30_NGAN_HANG'!$B:$B,A130,'30_NGAN_HANG'!$Y:$Y,"Approved"))</f>
        <v/>
      </c>
    </row>
    <row r="131">
      <c r="P131">
        <f>IF(A131="","",COUNTIF('30_NGAN_HANG'!$B:$B,A131))</f>
        <v/>
      </c>
      <c r="Q131">
        <f>IF(A131="","",COUNTIFS('30_NGAN_HANG'!$B:$B,A131,'30_NGAN_HANG'!$Y:$Y,"Approved"))</f>
        <v/>
      </c>
    </row>
    <row r="132">
      <c r="P132">
        <f>IF(A132="","",COUNTIF('30_NGAN_HANG'!$B:$B,A132))</f>
        <v/>
      </c>
      <c r="Q132">
        <f>IF(A132="","",COUNTIFS('30_NGAN_HANG'!$B:$B,A132,'30_NGAN_HANG'!$Y:$Y,"Approved"))</f>
        <v/>
      </c>
    </row>
    <row r="133">
      <c r="P133">
        <f>IF(A133="","",COUNTIF('30_NGAN_HANG'!$B:$B,A133))</f>
        <v/>
      </c>
      <c r="Q133">
        <f>IF(A133="","",COUNTIFS('30_NGAN_HANG'!$B:$B,A133,'30_NGAN_HANG'!$Y:$Y,"Approved"))</f>
        <v/>
      </c>
    </row>
    <row r="134">
      <c r="P134">
        <f>IF(A134="","",COUNTIF('30_NGAN_HANG'!$B:$B,A134))</f>
        <v/>
      </c>
      <c r="Q134">
        <f>IF(A134="","",COUNTIFS('30_NGAN_HANG'!$B:$B,A134,'30_NGAN_HANG'!$Y:$Y,"Approved"))</f>
        <v/>
      </c>
    </row>
    <row r="135">
      <c r="P135">
        <f>IF(A135="","",COUNTIF('30_NGAN_HANG'!$B:$B,A135))</f>
        <v/>
      </c>
      <c r="Q135">
        <f>IF(A135="","",COUNTIFS('30_NGAN_HANG'!$B:$B,A135,'30_NGAN_HANG'!$Y:$Y,"Approved"))</f>
        <v/>
      </c>
    </row>
    <row r="136">
      <c r="P136">
        <f>IF(A136="","",COUNTIF('30_NGAN_HANG'!$B:$B,A136))</f>
        <v/>
      </c>
      <c r="Q136">
        <f>IF(A136="","",COUNTIFS('30_NGAN_HANG'!$B:$B,A136,'30_NGAN_HANG'!$Y:$Y,"Approved"))</f>
        <v/>
      </c>
    </row>
    <row r="137">
      <c r="P137">
        <f>IF(A137="","",COUNTIF('30_NGAN_HANG'!$B:$B,A137))</f>
        <v/>
      </c>
      <c r="Q137">
        <f>IF(A137="","",COUNTIFS('30_NGAN_HANG'!$B:$B,A137,'30_NGAN_HANG'!$Y:$Y,"Approved"))</f>
        <v/>
      </c>
    </row>
    <row r="138">
      <c r="P138">
        <f>IF(A138="","",COUNTIF('30_NGAN_HANG'!$B:$B,A138))</f>
        <v/>
      </c>
      <c r="Q138">
        <f>IF(A138="","",COUNTIFS('30_NGAN_HANG'!$B:$B,A138,'30_NGAN_HANG'!$Y:$Y,"Approved"))</f>
        <v/>
      </c>
    </row>
    <row r="139">
      <c r="P139">
        <f>IF(A139="","",COUNTIF('30_NGAN_HANG'!$B:$B,A139))</f>
        <v/>
      </c>
      <c r="Q139">
        <f>IF(A139="","",COUNTIFS('30_NGAN_HANG'!$B:$B,A139,'30_NGAN_HANG'!$Y:$Y,"Approved"))</f>
        <v/>
      </c>
    </row>
    <row r="140">
      <c r="P140">
        <f>IF(A140="","",COUNTIF('30_NGAN_HANG'!$B:$B,A140))</f>
        <v/>
      </c>
      <c r="Q140">
        <f>IF(A140="","",COUNTIFS('30_NGAN_HANG'!$B:$B,A140,'30_NGAN_HANG'!$Y:$Y,"Approved"))</f>
        <v/>
      </c>
    </row>
    <row r="141">
      <c r="P141">
        <f>IF(A141="","",COUNTIF('30_NGAN_HANG'!$B:$B,A141))</f>
        <v/>
      </c>
      <c r="Q141">
        <f>IF(A141="","",COUNTIFS('30_NGAN_HANG'!$B:$B,A141,'30_NGAN_HANG'!$Y:$Y,"Approved"))</f>
        <v/>
      </c>
    </row>
    <row r="142">
      <c r="P142">
        <f>IF(A142="","",COUNTIF('30_NGAN_HANG'!$B:$B,A142))</f>
        <v/>
      </c>
      <c r="Q142">
        <f>IF(A142="","",COUNTIFS('30_NGAN_HANG'!$B:$B,A142,'30_NGAN_HANG'!$Y:$Y,"Approved"))</f>
        <v/>
      </c>
    </row>
    <row r="143">
      <c r="P143">
        <f>IF(A143="","",COUNTIF('30_NGAN_HANG'!$B:$B,A143))</f>
        <v/>
      </c>
      <c r="Q143">
        <f>IF(A143="","",COUNTIFS('30_NGAN_HANG'!$B:$B,A143,'30_NGAN_HANG'!$Y:$Y,"Approved"))</f>
        <v/>
      </c>
    </row>
    <row r="144">
      <c r="P144">
        <f>IF(A144="","",COUNTIF('30_NGAN_HANG'!$B:$B,A144))</f>
        <v/>
      </c>
      <c r="Q144">
        <f>IF(A144="","",COUNTIFS('30_NGAN_HANG'!$B:$B,A144,'30_NGAN_HANG'!$Y:$Y,"Approved"))</f>
        <v/>
      </c>
    </row>
    <row r="145">
      <c r="P145">
        <f>IF(A145="","",COUNTIF('30_NGAN_HANG'!$B:$B,A145))</f>
        <v/>
      </c>
      <c r="Q145">
        <f>IF(A145="","",COUNTIFS('30_NGAN_HANG'!$B:$B,A145,'30_NGAN_HANG'!$Y:$Y,"Approved"))</f>
        <v/>
      </c>
    </row>
    <row r="146">
      <c r="P146">
        <f>IF(A146="","",COUNTIF('30_NGAN_HANG'!$B:$B,A146))</f>
        <v/>
      </c>
      <c r="Q146">
        <f>IF(A146="","",COUNTIFS('30_NGAN_HANG'!$B:$B,A146,'30_NGAN_HANG'!$Y:$Y,"Approved"))</f>
        <v/>
      </c>
    </row>
    <row r="147">
      <c r="P147">
        <f>IF(A147="","",COUNTIF('30_NGAN_HANG'!$B:$B,A147))</f>
        <v/>
      </c>
      <c r="Q147">
        <f>IF(A147="","",COUNTIFS('30_NGAN_HANG'!$B:$B,A147,'30_NGAN_HANG'!$Y:$Y,"Approved"))</f>
        <v/>
      </c>
    </row>
    <row r="148">
      <c r="P148">
        <f>IF(A148="","",COUNTIF('30_NGAN_HANG'!$B:$B,A148))</f>
        <v/>
      </c>
      <c r="Q148">
        <f>IF(A148="","",COUNTIFS('30_NGAN_HANG'!$B:$B,A148,'30_NGAN_HANG'!$Y:$Y,"Approved"))</f>
        <v/>
      </c>
    </row>
    <row r="149">
      <c r="P149">
        <f>IF(A149="","",COUNTIF('30_NGAN_HANG'!$B:$B,A149))</f>
        <v/>
      </c>
      <c r="Q149">
        <f>IF(A149="","",COUNTIFS('30_NGAN_HANG'!$B:$B,A149,'30_NGAN_HANG'!$Y:$Y,"Approved"))</f>
        <v/>
      </c>
    </row>
    <row r="150">
      <c r="P150">
        <f>IF(A150="","",COUNTIF('30_NGAN_HANG'!$B:$B,A150))</f>
        <v/>
      </c>
      <c r="Q150">
        <f>IF(A150="","",COUNTIFS('30_NGAN_HANG'!$B:$B,A150,'30_NGAN_HANG'!$Y:$Y,"Approved"))</f>
        <v/>
      </c>
    </row>
    <row r="151">
      <c r="P151">
        <f>IF(A151="","",COUNTIF('30_NGAN_HANG'!$B:$B,A151))</f>
        <v/>
      </c>
      <c r="Q151">
        <f>IF(A151="","",COUNTIFS('30_NGAN_HANG'!$B:$B,A151,'30_NGAN_HANG'!$Y:$Y,"Approved"))</f>
        <v/>
      </c>
    </row>
    <row r="152">
      <c r="P152">
        <f>IF(A152="","",COUNTIF('30_NGAN_HANG'!$B:$B,A152))</f>
        <v/>
      </c>
      <c r="Q152">
        <f>IF(A152="","",COUNTIFS('30_NGAN_HANG'!$B:$B,A152,'30_NGAN_HANG'!$Y:$Y,"Approved"))</f>
        <v/>
      </c>
    </row>
    <row r="153">
      <c r="P153">
        <f>IF(A153="","",COUNTIF('30_NGAN_HANG'!$B:$B,A153))</f>
        <v/>
      </c>
      <c r="Q153">
        <f>IF(A153="","",COUNTIFS('30_NGAN_HANG'!$B:$B,A153,'30_NGAN_HANG'!$Y:$Y,"Approved"))</f>
        <v/>
      </c>
    </row>
    <row r="154">
      <c r="P154">
        <f>IF(A154="","",COUNTIF('30_NGAN_HANG'!$B:$B,A154))</f>
        <v/>
      </c>
      <c r="Q154">
        <f>IF(A154="","",COUNTIFS('30_NGAN_HANG'!$B:$B,A154,'30_NGAN_HANG'!$Y:$Y,"Approved"))</f>
        <v/>
      </c>
    </row>
    <row r="155">
      <c r="P155">
        <f>IF(A155="","",COUNTIF('30_NGAN_HANG'!$B:$B,A155))</f>
        <v/>
      </c>
      <c r="Q155">
        <f>IF(A155="","",COUNTIFS('30_NGAN_HANG'!$B:$B,A155,'30_NGAN_HANG'!$Y:$Y,"Approved"))</f>
        <v/>
      </c>
    </row>
    <row r="156">
      <c r="P156">
        <f>IF(A156="","",COUNTIF('30_NGAN_HANG'!$B:$B,A156))</f>
        <v/>
      </c>
      <c r="Q156">
        <f>IF(A156="","",COUNTIFS('30_NGAN_HANG'!$B:$B,A156,'30_NGAN_HANG'!$Y:$Y,"Approved"))</f>
        <v/>
      </c>
    </row>
    <row r="157">
      <c r="P157">
        <f>IF(A157="","",COUNTIF('30_NGAN_HANG'!$B:$B,A157))</f>
        <v/>
      </c>
      <c r="Q157">
        <f>IF(A157="","",COUNTIFS('30_NGAN_HANG'!$B:$B,A157,'30_NGAN_HANG'!$Y:$Y,"Approved"))</f>
        <v/>
      </c>
    </row>
    <row r="158">
      <c r="P158">
        <f>IF(A158="","",COUNTIF('30_NGAN_HANG'!$B:$B,A158))</f>
        <v/>
      </c>
      <c r="Q158">
        <f>IF(A158="","",COUNTIFS('30_NGAN_HANG'!$B:$B,A158,'30_NGAN_HANG'!$Y:$Y,"Approved"))</f>
        <v/>
      </c>
    </row>
    <row r="159">
      <c r="P159">
        <f>IF(A159="","",COUNTIF('30_NGAN_HANG'!$B:$B,A159))</f>
        <v/>
      </c>
      <c r="Q159">
        <f>IF(A159="","",COUNTIFS('30_NGAN_HANG'!$B:$B,A159,'30_NGAN_HANG'!$Y:$Y,"Approved"))</f>
        <v/>
      </c>
    </row>
    <row r="160">
      <c r="P160">
        <f>IF(A160="","",COUNTIF('30_NGAN_HANG'!$B:$B,A160))</f>
        <v/>
      </c>
      <c r="Q160">
        <f>IF(A160="","",COUNTIFS('30_NGAN_HANG'!$B:$B,A160,'30_NGAN_HANG'!$Y:$Y,"Approved"))</f>
        <v/>
      </c>
    </row>
    <row r="161">
      <c r="P161">
        <f>IF(A161="","",COUNTIF('30_NGAN_HANG'!$B:$B,A161))</f>
        <v/>
      </c>
      <c r="Q161">
        <f>IF(A161="","",COUNTIFS('30_NGAN_HANG'!$B:$B,A161,'30_NGAN_HANG'!$Y:$Y,"Approved"))</f>
        <v/>
      </c>
    </row>
    <row r="162">
      <c r="P162">
        <f>IF(A162="","",COUNTIF('30_NGAN_HANG'!$B:$B,A162))</f>
        <v/>
      </c>
      <c r="Q162">
        <f>IF(A162="","",COUNTIFS('30_NGAN_HANG'!$B:$B,A162,'30_NGAN_HANG'!$Y:$Y,"Approved"))</f>
        <v/>
      </c>
    </row>
    <row r="163">
      <c r="P163">
        <f>IF(A163="","",COUNTIF('30_NGAN_HANG'!$B:$B,A163))</f>
        <v/>
      </c>
      <c r="Q163">
        <f>IF(A163="","",COUNTIFS('30_NGAN_HANG'!$B:$B,A163,'30_NGAN_HANG'!$Y:$Y,"Approved"))</f>
        <v/>
      </c>
    </row>
    <row r="164">
      <c r="P164">
        <f>IF(A164="","",COUNTIF('30_NGAN_HANG'!$B:$B,A164))</f>
        <v/>
      </c>
      <c r="Q164">
        <f>IF(A164="","",COUNTIFS('30_NGAN_HANG'!$B:$B,A164,'30_NGAN_HANG'!$Y:$Y,"Approved"))</f>
        <v/>
      </c>
    </row>
    <row r="165">
      <c r="P165">
        <f>IF(A165="","",COUNTIF('30_NGAN_HANG'!$B:$B,A165))</f>
        <v/>
      </c>
      <c r="Q165">
        <f>IF(A165="","",COUNTIFS('30_NGAN_HANG'!$B:$B,A165,'30_NGAN_HANG'!$Y:$Y,"Approved"))</f>
        <v/>
      </c>
    </row>
    <row r="166">
      <c r="P166">
        <f>IF(A166="","",COUNTIF('30_NGAN_HANG'!$B:$B,A166))</f>
        <v/>
      </c>
      <c r="Q166">
        <f>IF(A166="","",COUNTIFS('30_NGAN_HANG'!$B:$B,A166,'30_NGAN_HANG'!$Y:$Y,"Approved"))</f>
        <v/>
      </c>
    </row>
    <row r="167">
      <c r="P167">
        <f>IF(A167="","",COUNTIF('30_NGAN_HANG'!$B:$B,A167))</f>
        <v/>
      </c>
      <c r="Q167">
        <f>IF(A167="","",COUNTIFS('30_NGAN_HANG'!$B:$B,A167,'30_NGAN_HANG'!$Y:$Y,"Approved"))</f>
        <v/>
      </c>
    </row>
    <row r="168">
      <c r="P168">
        <f>IF(A168="","",COUNTIF('30_NGAN_HANG'!$B:$B,A168))</f>
        <v/>
      </c>
      <c r="Q168">
        <f>IF(A168="","",COUNTIFS('30_NGAN_HANG'!$B:$B,A168,'30_NGAN_HANG'!$Y:$Y,"Approved"))</f>
        <v/>
      </c>
    </row>
    <row r="169">
      <c r="P169">
        <f>IF(A169="","",COUNTIF('30_NGAN_HANG'!$B:$B,A169))</f>
        <v/>
      </c>
      <c r="Q169">
        <f>IF(A169="","",COUNTIFS('30_NGAN_HANG'!$B:$B,A169,'30_NGAN_HANG'!$Y:$Y,"Approved"))</f>
        <v/>
      </c>
    </row>
    <row r="170">
      <c r="P170">
        <f>IF(A170="","",COUNTIF('30_NGAN_HANG'!$B:$B,A170))</f>
        <v/>
      </c>
      <c r="Q170">
        <f>IF(A170="","",COUNTIFS('30_NGAN_HANG'!$B:$B,A170,'30_NGAN_HANG'!$Y:$Y,"Approved"))</f>
        <v/>
      </c>
    </row>
    <row r="171">
      <c r="P171">
        <f>IF(A171="","",COUNTIF('30_NGAN_HANG'!$B:$B,A171))</f>
        <v/>
      </c>
      <c r="Q171">
        <f>IF(A171="","",COUNTIFS('30_NGAN_HANG'!$B:$B,A171,'30_NGAN_HANG'!$Y:$Y,"Approved"))</f>
        <v/>
      </c>
    </row>
    <row r="172">
      <c r="P172">
        <f>IF(A172="","",COUNTIF('30_NGAN_HANG'!$B:$B,A172))</f>
        <v/>
      </c>
      <c r="Q172">
        <f>IF(A172="","",COUNTIFS('30_NGAN_HANG'!$B:$B,A172,'30_NGAN_HANG'!$Y:$Y,"Approved"))</f>
        <v/>
      </c>
    </row>
    <row r="173">
      <c r="P173">
        <f>IF(A173="","",COUNTIF('30_NGAN_HANG'!$B:$B,A173))</f>
        <v/>
      </c>
      <c r="Q173">
        <f>IF(A173="","",COUNTIFS('30_NGAN_HANG'!$B:$B,A173,'30_NGAN_HANG'!$Y:$Y,"Approved"))</f>
        <v/>
      </c>
    </row>
    <row r="174">
      <c r="P174">
        <f>IF(A174="","",COUNTIF('30_NGAN_HANG'!$B:$B,A174))</f>
        <v/>
      </c>
      <c r="Q174">
        <f>IF(A174="","",COUNTIFS('30_NGAN_HANG'!$B:$B,A174,'30_NGAN_HANG'!$Y:$Y,"Approved"))</f>
        <v/>
      </c>
    </row>
    <row r="175">
      <c r="P175">
        <f>IF(A175="","",COUNTIF('30_NGAN_HANG'!$B:$B,A175))</f>
        <v/>
      </c>
      <c r="Q175">
        <f>IF(A175="","",COUNTIFS('30_NGAN_HANG'!$B:$B,A175,'30_NGAN_HANG'!$Y:$Y,"Approved"))</f>
        <v/>
      </c>
    </row>
    <row r="176">
      <c r="P176">
        <f>IF(A176="","",COUNTIF('30_NGAN_HANG'!$B:$B,A176))</f>
        <v/>
      </c>
      <c r="Q176">
        <f>IF(A176="","",COUNTIFS('30_NGAN_HANG'!$B:$B,A176,'30_NGAN_HANG'!$Y:$Y,"Approved"))</f>
        <v/>
      </c>
    </row>
    <row r="177">
      <c r="P177">
        <f>IF(A177="","",COUNTIF('30_NGAN_HANG'!$B:$B,A177))</f>
        <v/>
      </c>
      <c r="Q177">
        <f>IF(A177="","",COUNTIFS('30_NGAN_HANG'!$B:$B,A177,'30_NGAN_HANG'!$Y:$Y,"Approved"))</f>
        <v/>
      </c>
    </row>
    <row r="178">
      <c r="P178">
        <f>IF(A178="","",COUNTIF('30_NGAN_HANG'!$B:$B,A178))</f>
        <v/>
      </c>
      <c r="Q178">
        <f>IF(A178="","",COUNTIFS('30_NGAN_HANG'!$B:$B,A178,'30_NGAN_HANG'!$Y:$Y,"Approved"))</f>
        <v/>
      </c>
    </row>
    <row r="179">
      <c r="P179">
        <f>IF(A179="","",COUNTIF('30_NGAN_HANG'!$B:$B,A179))</f>
        <v/>
      </c>
      <c r="Q179">
        <f>IF(A179="","",COUNTIFS('30_NGAN_HANG'!$B:$B,A179,'30_NGAN_HANG'!$Y:$Y,"Approved"))</f>
        <v/>
      </c>
    </row>
    <row r="180">
      <c r="P180">
        <f>IF(A180="","",COUNTIF('30_NGAN_HANG'!$B:$B,A180))</f>
        <v/>
      </c>
      <c r="Q180">
        <f>IF(A180="","",COUNTIFS('30_NGAN_HANG'!$B:$B,A180,'30_NGAN_HANG'!$Y:$Y,"Approved"))</f>
        <v/>
      </c>
    </row>
    <row r="181">
      <c r="P181">
        <f>IF(A181="","",COUNTIF('30_NGAN_HANG'!$B:$B,A181))</f>
        <v/>
      </c>
      <c r="Q181">
        <f>IF(A181="","",COUNTIFS('30_NGAN_HANG'!$B:$B,A181,'30_NGAN_HANG'!$Y:$Y,"Approved"))</f>
        <v/>
      </c>
    </row>
    <row r="182">
      <c r="P182">
        <f>IF(A182="","",COUNTIF('30_NGAN_HANG'!$B:$B,A182))</f>
        <v/>
      </c>
      <c r="Q182">
        <f>IF(A182="","",COUNTIFS('30_NGAN_HANG'!$B:$B,A182,'30_NGAN_HANG'!$Y:$Y,"Approved"))</f>
        <v/>
      </c>
    </row>
    <row r="183">
      <c r="P183">
        <f>IF(A183="","",COUNTIF('30_NGAN_HANG'!$B:$B,A183))</f>
        <v/>
      </c>
      <c r="Q183">
        <f>IF(A183="","",COUNTIFS('30_NGAN_HANG'!$B:$B,A183,'30_NGAN_HANG'!$Y:$Y,"Approved"))</f>
        <v/>
      </c>
    </row>
    <row r="184">
      <c r="P184">
        <f>IF(A184="","",COUNTIF('30_NGAN_HANG'!$B:$B,A184))</f>
        <v/>
      </c>
      <c r="Q184">
        <f>IF(A184="","",COUNTIFS('30_NGAN_HANG'!$B:$B,A184,'30_NGAN_HANG'!$Y:$Y,"Approved"))</f>
        <v/>
      </c>
    </row>
    <row r="185">
      <c r="P185">
        <f>IF(A185="","",COUNTIF('30_NGAN_HANG'!$B:$B,A185))</f>
        <v/>
      </c>
      <c r="Q185">
        <f>IF(A185="","",COUNTIFS('30_NGAN_HANG'!$B:$B,A185,'30_NGAN_HANG'!$Y:$Y,"Approved"))</f>
        <v/>
      </c>
    </row>
    <row r="186">
      <c r="P186">
        <f>IF(A186="","",COUNTIF('30_NGAN_HANG'!$B:$B,A186))</f>
        <v/>
      </c>
      <c r="Q186">
        <f>IF(A186="","",COUNTIFS('30_NGAN_HANG'!$B:$B,A186,'30_NGAN_HANG'!$Y:$Y,"Approved"))</f>
        <v/>
      </c>
    </row>
    <row r="187">
      <c r="P187">
        <f>IF(A187="","",COUNTIF('30_NGAN_HANG'!$B:$B,A187))</f>
        <v/>
      </c>
      <c r="Q187">
        <f>IF(A187="","",COUNTIFS('30_NGAN_HANG'!$B:$B,A187,'30_NGAN_HANG'!$Y:$Y,"Approved"))</f>
        <v/>
      </c>
    </row>
    <row r="188">
      <c r="P188">
        <f>IF(A188="","",COUNTIF('30_NGAN_HANG'!$B:$B,A188))</f>
        <v/>
      </c>
      <c r="Q188">
        <f>IF(A188="","",COUNTIFS('30_NGAN_HANG'!$B:$B,A188,'30_NGAN_HANG'!$Y:$Y,"Approved"))</f>
        <v/>
      </c>
    </row>
    <row r="189">
      <c r="P189">
        <f>IF(A189="","",COUNTIF('30_NGAN_HANG'!$B:$B,A189))</f>
        <v/>
      </c>
      <c r="Q189">
        <f>IF(A189="","",COUNTIFS('30_NGAN_HANG'!$B:$B,A189,'30_NGAN_HANG'!$Y:$Y,"Approved"))</f>
        <v/>
      </c>
    </row>
    <row r="190">
      <c r="P190">
        <f>IF(A190="","",COUNTIF('30_NGAN_HANG'!$B:$B,A190))</f>
        <v/>
      </c>
      <c r="Q190">
        <f>IF(A190="","",COUNTIFS('30_NGAN_HANG'!$B:$B,A190,'30_NGAN_HANG'!$Y:$Y,"Approved"))</f>
        <v/>
      </c>
    </row>
    <row r="191">
      <c r="P191">
        <f>IF(A191="","",COUNTIF('30_NGAN_HANG'!$B:$B,A191))</f>
        <v/>
      </c>
      <c r="Q191">
        <f>IF(A191="","",COUNTIFS('30_NGAN_HANG'!$B:$B,A191,'30_NGAN_HANG'!$Y:$Y,"Approved"))</f>
        <v/>
      </c>
    </row>
    <row r="192">
      <c r="P192">
        <f>IF(A192="","",COUNTIF('30_NGAN_HANG'!$B:$B,A192))</f>
        <v/>
      </c>
      <c r="Q192">
        <f>IF(A192="","",COUNTIFS('30_NGAN_HANG'!$B:$B,A192,'30_NGAN_HANG'!$Y:$Y,"Approved"))</f>
        <v/>
      </c>
    </row>
    <row r="193">
      <c r="P193">
        <f>IF(A193="","",COUNTIF('30_NGAN_HANG'!$B:$B,A193))</f>
        <v/>
      </c>
      <c r="Q193">
        <f>IF(A193="","",COUNTIFS('30_NGAN_HANG'!$B:$B,A193,'30_NGAN_HANG'!$Y:$Y,"Approved"))</f>
        <v/>
      </c>
    </row>
    <row r="194">
      <c r="P194">
        <f>IF(A194="","",COUNTIF('30_NGAN_HANG'!$B:$B,A194))</f>
        <v/>
      </c>
      <c r="Q194">
        <f>IF(A194="","",COUNTIFS('30_NGAN_HANG'!$B:$B,A194,'30_NGAN_HANG'!$Y:$Y,"Approved"))</f>
        <v/>
      </c>
    </row>
    <row r="195">
      <c r="P195">
        <f>IF(A195="","",COUNTIF('30_NGAN_HANG'!$B:$B,A195))</f>
        <v/>
      </c>
      <c r="Q195">
        <f>IF(A195="","",COUNTIFS('30_NGAN_HANG'!$B:$B,A195,'30_NGAN_HANG'!$Y:$Y,"Approved"))</f>
        <v/>
      </c>
    </row>
    <row r="196">
      <c r="P196">
        <f>IF(A196="","",COUNTIF('30_NGAN_HANG'!$B:$B,A196))</f>
        <v/>
      </c>
      <c r="Q196">
        <f>IF(A196="","",COUNTIFS('30_NGAN_HANG'!$B:$B,A196,'30_NGAN_HANG'!$Y:$Y,"Approved"))</f>
        <v/>
      </c>
    </row>
    <row r="197">
      <c r="P197">
        <f>IF(A197="","",COUNTIF('30_NGAN_HANG'!$B:$B,A197))</f>
        <v/>
      </c>
      <c r="Q197">
        <f>IF(A197="","",COUNTIFS('30_NGAN_HANG'!$B:$B,A197,'30_NGAN_HANG'!$Y:$Y,"Approved"))</f>
        <v/>
      </c>
    </row>
    <row r="198">
      <c r="P198">
        <f>IF(A198="","",COUNTIF('30_NGAN_HANG'!$B:$B,A198))</f>
        <v/>
      </c>
      <c r="Q198">
        <f>IF(A198="","",COUNTIFS('30_NGAN_HANG'!$B:$B,A198,'30_NGAN_HANG'!$Y:$Y,"Approved"))</f>
        <v/>
      </c>
    </row>
    <row r="199">
      <c r="P199">
        <f>IF(A199="","",COUNTIF('30_NGAN_HANG'!$B:$B,A199))</f>
        <v/>
      </c>
      <c r="Q199">
        <f>IF(A199="","",COUNTIFS('30_NGAN_HANG'!$B:$B,A199,'30_NGAN_HANG'!$Y:$Y,"Approved"))</f>
        <v/>
      </c>
    </row>
    <row r="200">
      <c r="P200">
        <f>IF(A200="","",COUNTIF('30_NGAN_HANG'!$B:$B,A200))</f>
        <v/>
      </c>
      <c r="Q200">
        <f>IF(A200="","",COUNTIFS('30_NGAN_HANG'!$B:$B,A200,'30_NGAN_HANG'!$Y:$Y,"Approved"))</f>
        <v/>
      </c>
    </row>
    <row r="201">
      <c r="P201">
        <f>IF(A201="","",COUNTIF('30_NGAN_HANG'!$B:$B,A201))</f>
        <v/>
      </c>
      <c r="Q201">
        <f>IF(A201="","",COUNTIFS('30_NGAN_HANG'!$B:$B,A201,'30_NGAN_HANG'!$Y:$Y,"Approved"))</f>
        <v/>
      </c>
    </row>
    <row r="202">
      <c r="P202">
        <f>IF(A202="","",COUNTIF('30_NGAN_HANG'!$B:$B,A202))</f>
        <v/>
      </c>
      <c r="Q202">
        <f>IF(A202="","",COUNTIFS('30_NGAN_HANG'!$B:$B,A202,'30_NGAN_HANG'!$Y:$Y,"Approved"))</f>
        <v/>
      </c>
    </row>
    <row r="203">
      <c r="P203">
        <f>IF(A203="","",COUNTIF('30_NGAN_HANG'!$B:$B,A203))</f>
        <v/>
      </c>
      <c r="Q203">
        <f>IF(A203="","",COUNTIFS('30_NGAN_HANG'!$B:$B,A203,'30_NGAN_HANG'!$Y:$Y,"Approved"))</f>
        <v/>
      </c>
    </row>
    <row r="204">
      <c r="P204">
        <f>IF(A204="","",COUNTIF('30_NGAN_HANG'!$B:$B,A204))</f>
        <v/>
      </c>
      <c r="Q204">
        <f>IF(A204="","",COUNTIFS('30_NGAN_HANG'!$B:$B,A204,'30_NGAN_HANG'!$Y:$Y,"Approved"))</f>
        <v/>
      </c>
    </row>
    <row r="205">
      <c r="P205">
        <f>IF(A205="","",COUNTIF('30_NGAN_HANG'!$B:$B,A205))</f>
        <v/>
      </c>
      <c r="Q205">
        <f>IF(A205="","",COUNTIFS('30_NGAN_HANG'!$B:$B,A205,'30_NGAN_HANG'!$Y:$Y,"Approved"))</f>
        <v/>
      </c>
    </row>
    <row r="206">
      <c r="P206">
        <f>IF(A206="","",COUNTIF('30_NGAN_HANG'!$B:$B,A206))</f>
        <v/>
      </c>
      <c r="Q206">
        <f>IF(A206="","",COUNTIFS('30_NGAN_HANG'!$B:$B,A206,'30_NGAN_HANG'!$Y:$Y,"Approved"))</f>
        <v/>
      </c>
    </row>
    <row r="207">
      <c r="P207">
        <f>IF(A207="","",COUNTIF('30_NGAN_HANG'!$B:$B,A207))</f>
        <v/>
      </c>
      <c r="Q207">
        <f>IF(A207="","",COUNTIFS('30_NGAN_HANG'!$B:$B,A207,'30_NGAN_HANG'!$Y:$Y,"Approved"))</f>
        <v/>
      </c>
    </row>
    <row r="208">
      <c r="P208">
        <f>IF(A208="","",COUNTIF('30_NGAN_HANG'!$B:$B,A208))</f>
        <v/>
      </c>
      <c r="Q208">
        <f>IF(A208="","",COUNTIFS('30_NGAN_HANG'!$B:$B,A208,'30_NGAN_HANG'!$Y:$Y,"Approved"))</f>
        <v/>
      </c>
    </row>
    <row r="209">
      <c r="P209">
        <f>IF(A209="","",COUNTIF('30_NGAN_HANG'!$B:$B,A209))</f>
        <v/>
      </c>
      <c r="Q209">
        <f>IF(A209="","",COUNTIFS('30_NGAN_HANG'!$B:$B,A209,'30_NGAN_HANG'!$Y:$Y,"Approved"))</f>
        <v/>
      </c>
    </row>
    <row r="210">
      <c r="P210">
        <f>IF(A210="","",COUNTIF('30_NGAN_HANG'!$B:$B,A210))</f>
        <v/>
      </c>
      <c r="Q210">
        <f>IF(A210="","",COUNTIFS('30_NGAN_HANG'!$B:$B,A210,'30_NGAN_HANG'!$Y:$Y,"Approved"))</f>
        <v/>
      </c>
    </row>
    <row r="211">
      <c r="P211">
        <f>IF(A211="","",COUNTIF('30_NGAN_HANG'!$B:$B,A211))</f>
        <v/>
      </c>
      <c r="Q211">
        <f>IF(A211="","",COUNTIFS('30_NGAN_HANG'!$B:$B,A211,'30_NGAN_HANG'!$Y:$Y,"Approved"))</f>
        <v/>
      </c>
    </row>
    <row r="212">
      <c r="P212">
        <f>IF(A212="","",COUNTIF('30_NGAN_HANG'!$B:$B,A212))</f>
        <v/>
      </c>
      <c r="Q212">
        <f>IF(A212="","",COUNTIFS('30_NGAN_HANG'!$B:$B,A212,'30_NGAN_HANG'!$Y:$Y,"Approved"))</f>
        <v/>
      </c>
    </row>
    <row r="213">
      <c r="P213">
        <f>IF(A213="","",COUNTIF('30_NGAN_HANG'!$B:$B,A213))</f>
        <v/>
      </c>
      <c r="Q213">
        <f>IF(A213="","",COUNTIFS('30_NGAN_HANG'!$B:$B,A213,'30_NGAN_HANG'!$Y:$Y,"Approved"))</f>
        <v/>
      </c>
    </row>
    <row r="214">
      <c r="P214">
        <f>IF(A214="","",COUNTIF('30_NGAN_HANG'!$B:$B,A214))</f>
        <v/>
      </c>
      <c r="Q214">
        <f>IF(A214="","",COUNTIFS('30_NGAN_HANG'!$B:$B,A214,'30_NGAN_HANG'!$Y:$Y,"Approved"))</f>
        <v/>
      </c>
    </row>
    <row r="215">
      <c r="P215">
        <f>IF(A215="","",COUNTIF('30_NGAN_HANG'!$B:$B,A215))</f>
        <v/>
      </c>
      <c r="Q215">
        <f>IF(A215="","",COUNTIFS('30_NGAN_HANG'!$B:$B,A215,'30_NGAN_HANG'!$Y:$Y,"Approved"))</f>
        <v/>
      </c>
    </row>
    <row r="216">
      <c r="P216">
        <f>IF(A216="","",COUNTIF('30_NGAN_HANG'!$B:$B,A216))</f>
        <v/>
      </c>
      <c r="Q216">
        <f>IF(A216="","",COUNTIFS('30_NGAN_HANG'!$B:$B,A216,'30_NGAN_HANG'!$Y:$Y,"Approved"))</f>
        <v/>
      </c>
    </row>
    <row r="217">
      <c r="P217">
        <f>IF(A217="","",COUNTIF('30_NGAN_HANG'!$B:$B,A217))</f>
        <v/>
      </c>
      <c r="Q217">
        <f>IF(A217="","",COUNTIFS('30_NGAN_HANG'!$B:$B,A217,'30_NGAN_HANG'!$Y:$Y,"Approved"))</f>
        <v/>
      </c>
    </row>
    <row r="218">
      <c r="P218">
        <f>IF(A218="","",COUNTIF('30_NGAN_HANG'!$B:$B,A218))</f>
        <v/>
      </c>
      <c r="Q218">
        <f>IF(A218="","",COUNTIFS('30_NGAN_HANG'!$B:$B,A218,'30_NGAN_HANG'!$Y:$Y,"Approved"))</f>
        <v/>
      </c>
    </row>
    <row r="219">
      <c r="P219">
        <f>IF(A219="","",COUNTIF('30_NGAN_HANG'!$B:$B,A219))</f>
        <v/>
      </c>
      <c r="Q219">
        <f>IF(A219="","",COUNTIFS('30_NGAN_HANG'!$B:$B,A219,'30_NGAN_HANG'!$Y:$Y,"Approved"))</f>
        <v/>
      </c>
    </row>
    <row r="220">
      <c r="P220">
        <f>IF(A220="","",COUNTIF('30_NGAN_HANG'!$B:$B,A220))</f>
        <v/>
      </c>
      <c r="Q220">
        <f>IF(A220="","",COUNTIFS('30_NGAN_HANG'!$B:$B,A220,'30_NGAN_HANG'!$Y:$Y,"Approved"))</f>
        <v/>
      </c>
    </row>
    <row r="221">
      <c r="P221">
        <f>IF(A221="","",COUNTIF('30_NGAN_HANG'!$B:$B,A221))</f>
        <v/>
      </c>
      <c r="Q221">
        <f>IF(A221="","",COUNTIFS('30_NGAN_HANG'!$B:$B,A221,'30_NGAN_HANG'!$Y:$Y,"Approved"))</f>
        <v/>
      </c>
    </row>
    <row r="222">
      <c r="P222">
        <f>IF(A222="","",COUNTIF('30_NGAN_HANG'!$B:$B,A222))</f>
        <v/>
      </c>
      <c r="Q222">
        <f>IF(A222="","",COUNTIFS('30_NGAN_HANG'!$B:$B,A222,'30_NGAN_HANG'!$Y:$Y,"Approved"))</f>
        <v/>
      </c>
    </row>
    <row r="223">
      <c r="P223">
        <f>IF(A223="","",COUNTIF('30_NGAN_HANG'!$B:$B,A223))</f>
        <v/>
      </c>
      <c r="Q223">
        <f>IF(A223="","",COUNTIFS('30_NGAN_HANG'!$B:$B,A223,'30_NGAN_HANG'!$Y:$Y,"Approved"))</f>
        <v/>
      </c>
    </row>
    <row r="224">
      <c r="P224">
        <f>IF(A224="","",COUNTIF('30_NGAN_HANG'!$B:$B,A224))</f>
        <v/>
      </c>
      <c r="Q224">
        <f>IF(A224="","",COUNTIFS('30_NGAN_HANG'!$B:$B,A224,'30_NGAN_HANG'!$Y:$Y,"Approved"))</f>
        <v/>
      </c>
    </row>
    <row r="225">
      <c r="P225">
        <f>IF(A225="","",COUNTIF('30_NGAN_HANG'!$B:$B,A225))</f>
        <v/>
      </c>
      <c r="Q225">
        <f>IF(A225="","",COUNTIFS('30_NGAN_HANG'!$B:$B,A225,'30_NGAN_HANG'!$Y:$Y,"Approved"))</f>
        <v/>
      </c>
    </row>
    <row r="226">
      <c r="P226">
        <f>IF(A226="","",COUNTIF('30_NGAN_HANG'!$B:$B,A226))</f>
        <v/>
      </c>
      <c r="Q226">
        <f>IF(A226="","",COUNTIFS('30_NGAN_HANG'!$B:$B,A226,'30_NGAN_HANG'!$Y:$Y,"Approved"))</f>
        <v/>
      </c>
    </row>
    <row r="227">
      <c r="P227">
        <f>IF(A227="","",COUNTIF('30_NGAN_HANG'!$B:$B,A227))</f>
        <v/>
      </c>
      <c r="Q227">
        <f>IF(A227="","",COUNTIFS('30_NGAN_HANG'!$B:$B,A227,'30_NGAN_HANG'!$Y:$Y,"Approved"))</f>
        <v/>
      </c>
    </row>
    <row r="228">
      <c r="P228">
        <f>IF(A228="","",COUNTIF('30_NGAN_HANG'!$B:$B,A228))</f>
        <v/>
      </c>
      <c r="Q228">
        <f>IF(A228="","",COUNTIFS('30_NGAN_HANG'!$B:$B,A228,'30_NGAN_HANG'!$Y:$Y,"Approved"))</f>
        <v/>
      </c>
    </row>
    <row r="229">
      <c r="P229">
        <f>IF(A229="","",COUNTIF('30_NGAN_HANG'!$B:$B,A229))</f>
        <v/>
      </c>
      <c r="Q229">
        <f>IF(A229="","",COUNTIFS('30_NGAN_HANG'!$B:$B,A229,'30_NGAN_HANG'!$Y:$Y,"Approved"))</f>
        <v/>
      </c>
    </row>
    <row r="230">
      <c r="P230">
        <f>IF(A230="","",COUNTIF('30_NGAN_HANG'!$B:$B,A230))</f>
        <v/>
      </c>
      <c r="Q230">
        <f>IF(A230="","",COUNTIFS('30_NGAN_HANG'!$B:$B,A230,'30_NGAN_HANG'!$Y:$Y,"Approved"))</f>
        <v/>
      </c>
    </row>
    <row r="231">
      <c r="P231">
        <f>IF(A231="","",COUNTIF('30_NGAN_HANG'!$B:$B,A231))</f>
        <v/>
      </c>
      <c r="Q231">
        <f>IF(A231="","",COUNTIFS('30_NGAN_HANG'!$B:$B,A231,'30_NGAN_HANG'!$Y:$Y,"Approved"))</f>
        <v/>
      </c>
    </row>
    <row r="232">
      <c r="P232">
        <f>IF(A232="","",COUNTIF('30_NGAN_HANG'!$B:$B,A232))</f>
        <v/>
      </c>
      <c r="Q232">
        <f>IF(A232="","",COUNTIFS('30_NGAN_HANG'!$B:$B,A232,'30_NGAN_HANG'!$Y:$Y,"Approved"))</f>
        <v/>
      </c>
    </row>
    <row r="233">
      <c r="P233">
        <f>IF(A233="","",COUNTIF('30_NGAN_HANG'!$B:$B,A233))</f>
        <v/>
      </c>
      <c r="Q233">
        <f>IF(A233="","",COUNTIFS('30_NGAN_HANG'!$B:$B,A233,'30_NGAN_HANG'!$Y:$Y,"Approved"))</f>
        <v/>
      </c>
    </row>
    <row r="234">
      <c r="P234">
        <f>IF(A234="","",COUNTIF('30_NGAN_HANG'!$B:$B,A234))</f>
        <v/>
      </c>
      <c r="Q234">
        <f>IF(A234="","",COUNTIFS('30_NGAN_HANG'!$B:$B,A234,'30_NGAN_HANG'!$Y:$Y,"Approved"))</f>
        <v/>
      </c>
    </row>
    <row r="235">
      <c r="P235">
        <f>IF(A235="","",COUNTIF('30_NGAN_HANG'!$B:$B,A235))</f>
        <v/>
      </c>
      <c r="Q235">
        <f>IF(A235="","",COUNTIFS('30_NGAN_HANG'!$B:$B,A235,'30_NGAN_HANG'!$Y:$Y,"Approved"))</f>
        <v/>
      </c>
    </row>
    <row r="236">
      <c r="P236">
        <f>IF(A236="","",COUNTIF('30_NGAN_HANG'!$B:$B,A236))</f>
        <v/>
      </c>
      <c r="Q236">
        <f>IF(A236="","",COUNTIFS('30_NGAN_HANG'!$B:$B,A236,'30_NGAN_HANG'!$Y:$Y,"Approved"))</f>
        <v/>
      </c>
    </row>
    <row r="237">
      <c r="P237">
        <f>IF(A237="","",COUNTIF('30_NGAN_HANG'!$B:$B,A237))</f>
        <v/>
      </c>
      <c r="Q237">
        <f>IF(A237="","",COUNTIFS('30_NGAN_HANG'!$B:$B,A237,'30_NGAN_HANG'!$Y:$Y,"Approved"))</f>
        <v/>
      </c>
    </row>
    <row r="238">
      <c r="P238">
        <f>IF(A238="","",COUNTIF('30_NGAN_HANG'!$B:$B,A238))</f>
        <v/>
      </c>
      <c r="Q238">
        <f>IF(A238="","",COUNTIFS('30_NGAN_HANG'!$B:$B,A238,'30_NGAN_HANG'!$Y:$Y,"Approved"))</f>
        <v/>
      </c>
    </row>
    <row r="239">
      <c r="P239">
        <f>IF(A239="","",COUNTIF('30_NGAN_HANG'!$B:$B,A239))</f>
        <v/>
      </c>
      <c r="Q239">
        <f>IF(A239="","",COUNTIFS('30_NGAN_HANG'!$B:$B,A239,'30_NGAN_HANG'!$Y:$Y,"Approved"))</f>
        <v/>
      </c>
    </row>
    <row r="240">
      <c r="P240">
        <f>IF(A240="","",COUNTIF('30_NGAN_HANG'!$B:$B,A240))</f>
        <v/>
      </c>
      <c r="Q240">
        <f>IF(A240="","",COUNTIFS('30_NGAN_HANG'!$B:$B,A240,'30_NGAN_HANG'!$Y:$Y,"Approved"))</f>
        <v/>
      </c>
    </row>
    <row r="241">
      <c r="P241">
        <f>IF(A241="","",COUNTIF('30_NGAN_HANG'!$B:$B,A241))</f>
        <v/>
      </c>
      <c r="Q241">
        <f>IF(A241="","",COUNTIFS('30_NGAN_HANG'!$B:$B,A241,'30_NGAN_HANG'!$Y:$Y,"Approved"))</f>
        <v/>
      </c>
    </row>
    <row r="242">
      <c r="P242">
        <f>IF(A242="","",COUNTIF('30_NGAN_HANG'!$B:$B,A242))</f>
        <v/>
      </c>
      <c r="Q242">
        <f>IF(A242="","",COUNTIFS('30_NGAN_HANG'!$B:$B,A242,'30_NGAN_HANG'!$Y:$Y,"Approved"))</f>
        <v/>
      </c>
    </row>
    <row r="243">
      <c r="P243">
        <f>IF(A243="","",COUNTIF('30_NGAN_HANG'!$B:$B,A243))</f>
        <v/>
      </c>
      <c r="Q243">
        <f>IF(A243="","",COUNTIFS('30_NGAN_HANG'!$B:$B,A243,'30_NGAN_HANG'!$Y:$Y,"Approved"))</f>
        <v/>
      </c>
    </row>
    <row r="244">
      <c r="P244">
        <f>IF(A244="","",COUNTIF('30_NGAN_HANG'!$B:$B,A244))</f>
        <v/>
      </c>
      <c r="Q244">
        <f>IF(A244="","",COUNTIFS('30_NGAN_HANG'!$B:$B,A244,'30_NGAN_HANG'!$Y:$Y,"Approved"))</f>
        <v/>
      </c>
    </row>
    <row r="245">
      <c r="P245">
        <f>IF(A245="","",COUNTIF('30_NGAN_HANG'!$B:$B,A245))</f>
        <v/>
      </c>
      <c r="Q245">
        <f>IF(A245="","",COUNTIFS('30_NGAN_HANG'!$B:$B,A245,'30_NGAN_HANG'!$Y:$Y,"Approved"))</f>
        <v/>
      </c>
    </row>
    <row r="246">
      <c r="P246">
        <f>IF(A246="","",COUNTIF('30_NGAN_HANG'!$B:$B,A246))</f>
        <v/>
      </c>
      <c r="Q246">
        <f>IF(A246="","",COUNTIFS('30_NGAN_HANG'!$B:$B,A246,'30_NGAN_HANG'!$Y:$Y,"Approved"))</f>
        <v/>
      </c>
    </row>
    <row r="247">
      <c r="P247">
        <f>IF(A247="","",COUNTIF('30_NGAN_HANG'!$B:$B,A247))</f>
        <v/>
      </c>
      <c r="Q247">
        <f>IF(A247="","",COUNTIFS('30_NGAN_HANG'!$B:$B,A247,'30_NGAN_HANG'!$Y:$Y,"Approved"))</f>
        <v/>
      </c>
    </row>
    <row r="248">
      <c r="P248">
        <f>IF(A248="","",COUNTIF('30_NGAN_HANG'!$B:$B,A248))</f>
        <v/>
      </c>
      <c r="Q248">
        <f>IF(A248="","",COUNTIFS('30_NGAN_HANG'!$B:$B,A248,'30_NGAN_HANG'!$Y:$Y,"Approved"))</f>
        <v/>
      </c>
    </row>
    <row r="249">
      <c r="P249">
        <f>IF(A249="","",COUNTIF('30_NGAN_HANG'!$B:$B,A249))</f>
        <v/>
      </c>
      <c r="Q249">
        <f>IF(A249="","",COUNTIFS('30_NGAN_HANG'!$B:$B,A249,'30_NGAN_HANG'!$Y:$Y,"Approved"))</f>
        <v/>
      </c>
    </row>
    <row r="250">
      <c r="P250">
        <f>IF(A250="","",COUNTIF('30_NGAN_HANG'!$B:$B,A250))</f>
        <v/>
      </c>
      <c r="Q250">
        <f>IF(A250="","",COUNTIFS('30_NGAN_HANG'!$B:$B,A250,'30_NGAN_HANG'!$Y:$Y,"Approved"))</f>
        <v/>
      </c>
    </row>
    <row r="251">
      <c r="P251">
        <f>IF(A251="","",COUNTIF('30_NGAN_HANG'!$B:$B,A251))</f>
        <v/>
      </c>
      <c r="Q251">
        <f>IF(A251="","",COUNTIFS('30_NGAN_HANG'!$B:$B,A251,'30_NGAN_HANG'!$Y:$Y,"Approved"))</f>
        <v/>
      </c>
    </row>
    <row r="252">
      <c r="P252">
        <f>IF(A252="","",COUNTIF('30_NGAN_HANG'!$B:$B,A252))</f>
        <v/>
      </c>
      <c r="Q252">
        <f>IF(A252="","",COUNTIFS('30_NGAN_HANG'!$B:$B,A252,'30_NGAN_HANG'!$Y:$Y,"Approved"))</f>
        <v/>
      </c>
    </row>
    <row r="253">
      <c r="P253">
        <f>IF(A253="","",COUNTIF('30_NGAN_HANG'!$B:$B,A253))</f>
        <v/>
      </c>
      <c r="Q253">
        <f>IF(A253="","",COUNTIFS('30_NGAN_HANG'!$B:$B,A253,'30_NGAN_HANG'!$Y:$Y,"Approved"))</f>
        <v/>
      </c>
    </row>
    <row r="254">
      <c r="P254">
        <f>IF(A254="","",COUNTIF('30_NGAN_HANG'!$B:$B,A254))</f>
        <v/>
      </c>
      <c r="Q254">
        <f>IF(A254="","",COUNTIFS('30_NGAN_HANG'!$B:$B,A254,'30_NGAN_HANG'!$Y:$Y,"Approved"))</f>
        <v/>
      </c>
    </row>
    <row r="255">
      <c r="P255">
        <f>IF(A255="","",COUNTIF('30_NGAN_HANG'!$B:$B,A255))</f>
        <v/>
      </c>
      <c r="Q255">
        <f>IF(A255="","",COUNTIFS('30_NGAN_HANG'!$B:$B,A255,'30_NGAN_HANG'!$Y:$Y,"Approved"))</f>
        <v/>
      </c>
    </row>
    <row r="256">
      <c r="P256">
        <f>IF(A256="","",COUNTIF('30_NGAN_HANG'!$B:$B,A256))</f>
        <v/>
      </c>
      <c r="Q256">
        <f>IF(A256="","",COUNTIFS('30_NGAN_HANG'!$B:$B,A256,'30_NGAN_HANG'!$Y:$Y,"Approved"))</f>
        <v/>
      </c>
    </row>
    <row r="257">
      <c r="P257">
        <f>IF(A257="","",COUNTIF('30_NGAN_HANG'!$B:$B,A257))</f>
        <v/>
      </c>
      <c r="Q257">
        <f>IF(A257="","",COUNTIFS('30_NGAN_HANG'!$B:$B,A257,'30_NGAN_HANG'!$Y:$Y,"Approved"))</f>
        <v/>
      </c>
    </row>
    <row r="258">
      <c r="P258">
        <f>IF(A258="","",COUNTIF('30_NGAN_HANG'!$B:$B,A258))</f>
        <v/>
      </c>
      <c r="Q258">
        <f>IF(A258="","",COUNTIFS('30_NGAN_HANG'!$B:$B,A258,'30_NGAN_HANG'!$Y:$Y,"Approved"))</f>
        <v/>
      </c>
    </row>
    <row r="259">
      <c r="P259">
        <f>IF(A259="","",COUNTIF('30_NGAN_HANG'!$B:$B,A259))</f>
        <v/>
      </c>
      <c r="Q259">
        <f>IF(A259="","",COUNTIFS('30_NGAN_HANG'!$B:$B,A259,'30_NGAN_HANG'!$Y:$Y,"Approved"))</f>
        <v/>
      </c>
    </row>
    <row r="260">
      <c r="P260">
        <f>IF(A260="","",COUNTIF('30_NGAN_HANG'!$B:$B,A260))</f>
        <v/>
      </c>
      <c r="Q260">
        <f>IF(A260="","",COUNTIFS('30_NGAN_HANG'!$B:$B,A260,'30_NGAN_HANG'!$Y:$Y,"Approved"))</f>
        <v/>
      </c>
    </row>
    <row r="261">
      <c r="P261">
        <f>IF(A261="","",COUNTIF('30_NGAN_HANG'!$B:$B,A261))</f>
        <v/>
      </c>
      <c r="Q261">
        <f>IF(A261="","",COUNTIFS('30_NGAN_HANG'!$B:$B,A261,'30_NGAN_HANG'!$Y:$Y,"Approved"))</f>
        <v/>
      </c>
    </row>
    <row r="262">
      <c r="P262">
        <f>IF(A262="","",COUNTIF('30_NGAN_HANG'!$B:$B,A262))</f>
        <v/>
      </c>
      <c r="Q262">
        <f>IF(A262="","",COUNTIFS('30_NGAN_HANG'!$B:$B,A262,'30_NGAN_HANG'!$Y:$Y,"Approved"))</f>
        <v/>
      </c>
    </row>
    <row r="263">
      <c r="P263">
        <f>IF(A263="","",COUNTIF('30_NGAN_HANG'!$B:$B,A263))</f>
        <v/>
      </c>
      <c r="Q263">
        <f>IF(A263="","",COUNTIFS('30_NGAN_HANG'!$B:$B,A263,'30_NGAN_HANG'!$Y:$Y,"Approved"))</f>
        <v/>
      </c>
    </row>
    <row r="264">
      <c r="P264">
        <f>IF(A264="","",COUNTIF('30_NGAN_HANG'!$B:$B,A264))</f>
        <v/>
      </c>
      <c r="Q264">
        <f>IF(A264="","",COUNTIFS('30_NGAN_HANG'!$B:$B,A264,'30_NGAN_HANG'!$Y:$Y,"Approved"))</f>
        <v/>
      </c>
    </row>
    <row r="265">
      <c r="P265">
        <f>IF(A265="","",COUNTIF('30_NGAN_HANG'!$B:$B,A265))</f>
        <v/>
      </c>
      <c r="Q265">
        <f>IF(A265="","",COUNTIFS('30_NGAN_HANG'!$B:$B,A265,'30_NGAN_HANG'!$Y:$Y,"Approved"))</f>
        <v/>
      </c>
    </row>
    <row r="266">
      <c r="P266">
        <f>IF(A266="","",COUNTIF('30_NGAN_HANG'!$B:$B,A266))</f>
        <v/>
      </c>
      <c r="Q266">
        <f>IF(A266="","",COUNTIFS('30_NGAN_HANG'!$B:$B,A266,'30_NGAN_HANG'!$Y:$Y,"Approved"))</f>
        <v/>
      </c>
    </row>
    <row r="267">
      <c r="P267">
        <f>IF(A267="","",COUNTIF('30_NGAN_HANG'!$B:$B,A267))</f>
        <v/>
      </c>
      <c r="Q267">
        <f>IF(A267="","",COUNTIFS('30_NGAN_HANG'!$B:$B,A267,'30_NGAN_HANG'!$Y:$Y,"Approved"))</f>
        <v/>
      </c>
    </row>
    <row r="268">
      <c r="P268">
        <f>IF(A268="","",COUNTIF('30_NGAN_HANG'!$B:$B,A268))</f>
        <v/>
      </c>
      <c r="Q268">
        <f>IF(A268="","",COUNTIFS('30_NGAN_HANG'!$B:$B,A268,'30_NGAN_HANG'!$Y:$Y,"Approved"))</f>
        <v/>
      </c>
    </row>
    <row r="269">
      <c r="P269">
        <f>IF(A269="","",COUNTIF('30_NGAN_HANG'!$B:$B,A269))</f>
        <v/>
      </c>
      <c r="Q269">
        <f>IF(A269="","",COUNTIFS('30_NGAN_HANG'!$B:$B,A269,'30_NGAN_HANG'!$Y:$Y,"Approved"))</f>
        <v/>
      </c>
    </row>
    <row r="270">
      <c r="P270">
        <f>IF(A270="","",COUNTIF('30_NGAN_HANG'!$B:$B,A270))</f>
        <v/>
      </c>
      <c r="Q270">
        <f>IF(A270="","",COUNTIFS('30_NGAN_HANG'!$B:$B,A270,'30_NGAN_HANG'!$Y:$Y,"Approved"))</f>
        <v/>
      </c>
    </row>
    <row r="271">
      <c r="P271">
        <f>IF(A271="","",COUNTIF('30_NGAN_HANG'!$B:$B,A271))</f>
        <v/>
      </c>
      <c r="Q271">
        <f>IF(A271="","",COUNTIFS('30_NGAN_HANG'!$B:$B,A271,'30_NGAN_HANG'!$Y:$Y,"Approved"))</f>
        <v/>
      </c>
    </row>
    <row r="272">
      <c r="P272">
        <f>IF(A272="","",COUNTIF('30_NGAN_HANG'!$B:$B,A272))</f>
        <v/>
      </c>
      <c r="Q272">
        <f>IF(A272="","",COUNTIFS('30_NGAN_HANG'!$B:$B,A272,'30_NGAN_HANG'!$Y:$Y,"Approved"))</f>
        <v/>
      </c>
    </row>
    <row r="273">
      <c r="P273">
        <f>IF(A273="","",COUNTIF('30_NGAN_HANG'!$B:$B,A273))</f>
        <v/>
      </c>
      <c r="Q273">
        <f>IF(A273="","",COUNTIFS('30_NGAN_HANG'!$B:$B,A273,'30_NGAN_HANG'!$Y:$Y,"Approved"))</f>
        <v/>
      </c>
    </row>
    <row r="274">
      <c r="P274">
        <f>IF(A274="","",COUNTIF('30_NGAN_HANG'!$B:$B,A274))</f>
        <v/>
      </c>
      <c r="Q274">
        <f>IF(A274="","",COUNTIFS('30_NGAN_HANG'!$B:$B,A274,'30_NGAN_HANG'!$Y:$Y,"Approved"))</f>
        <v/>
      </c>
    </row>
    <row r="275">
      <c r="P275">
        <f>IF(A275="","",COUNTIF('30_NGAN_HANG'!$B:$B,A275))</f>
        <v/>
      </c>
      <c r="Q275">
        <f>IF(A275="","",COUNTIFS('30_NGAN_HANG'!$B:$B,A275,'30_NGAN_HANG'!$Y:$Y,"Approved"))</f>
        <v/>
      </c>
    </row>
    <row r="276">
      <c r="P276">
        <f>IF(A276="","",COUNTIF('30_NGAN_HANG'!$B:$B,A276))</f>
        <v/>
      </c>
      <c r="Q276">
        <f>IF(A276="","",COUNTIFS('30_NGAN_HANG'!$B:$B,A276,'30_NGAN_HANG'!$Y:$Y,"Approved"))</f>
        <v/>
      </c>
    </row>
    <row r="277">
      <c r="P277">
        <f>IF(A277="","",COUNTIF('30_NGAN_HANG'!$B:$B,A277))</f>
        <v/>
      </c>
      <c r="Q277">
        <f>IF(A277="","",COUNTIFS('30_NGAN_HANG'!$B:$B,A277,'30_NGAN_HANG'!$Y:$Y,"Approved"))</f>
        <v/>
      </c>
    </row>
    <row r="278">
      <c r="P278">
        <f>IF(A278="","",COUNTIF('30_NGAN_HANG'!$B:$B,A278))</f>
        <v/>
      </c>
      <c r="Q278">
        <f>IF(A278="","",COUNTIFS('30_NGAN_HANG'!$B:$B,A278,'30_NGAN_HANG'!$Y:$Y,"Approved"))</f>
        <v/>
      </c>
    </row>
    <row r="279">
      <c r="P279">
        <f>IF(A279="","",COUNTIF('30_NGAN_HANG'!$B:$B,A279))</f>
        <v/>
      </c>
      <c r="Q279">
        <f>IF(A279="","",COUNTIFS('30_NGAN_HANG'!$B:$B,A279,'30_NGAN_HANG'!$Y:$Y,"Approved"))</f>
        <v/>
      </c>
    </row>
    <row r="280">
      <c r="P280">
        <f>IF(A280="","",COUNTIF('30_NGAN_HANG'!$B:$B,A280))</f>
        <v/>
      </c>
      <c r="Q280">
        <f>IF(A280="","",COUNTIFS('30_NGAN_HANG'!$B:$B,A280,'30_NGAN_HANG'!$Y:$Y,"Approved"))</f>
        <v/>
      </c>
    </row>
    <row r="281">
      <c r="P281">
        <f>IF(A281="","",COUNTIF('30_NGAN_HANG'!$B:$B,A281))</f>
        <v/>
      </c>
      <c r="Q281">
        <f>IF(A281="","",COUNTIFS('30_NGAN_HANG'!$B:$B,A281,'30_NGAN_HANG'!$Y:$Y,"Approved"))</f>
        <v/>
      </c>
    </row>
    <row r="282">
      <c r="P282">
        <f>IF(A282="","",COUNTIF('30_NGAN_HANG'!$B:$B,A282))</f>
        <v/>
      </c>
      <c r="Q282">
        <f>IF(A282="","",COUNTIFS('30_NGAN_HANG'!$B:$B,A282,'30_NGAN_HANG'!$Y:$Y,"Approved"))</f>
        <v/>
      </c>
    </row>
    <row r="283">
      <c r="P283">
        <f>IF(A283="","",COUNTIF('30_NGAN_HANG'!$B:$B,A283))</f>
        <v/>
      </c>
      <c r="Q283">
        <f>IF(A283="","",COUNTIFS('30_NGAN_HANG'!$B:$B,A283,'30_NGAN_HANG'!$Y:$Y,"Approved"))</f>
        <v/>
      </c>
    </row>
    <row r="284">
      <c r="P284">
        <f>IF(A284="","",COUNTIF('30_NGAN_HANG'!$B:$B,A284))</f>
        <v/>
      </c>
      <c r="Q284">
        <f>IF(A284="","",COUNTIFS('30_NGAN_HANG'!$B:$B,A284,'30_NGAN_HANG'!$Y:$Y,"Approved"))</f>
        <v/>
      </c>
    </row>
    <row r="285">
      <c r="P285">
        <f>IF(A285="","",COUNTIF('30_NGAN_HANG'!$B:$B,A285))</f>
        <v/>
      </c>
      <c r="Q285">
        <f>IF(A285="","",COUNTIFS('30_NGAN_HANG'!$B:$B,A285,'30_NGAN_HANG'!$Y:$Y,"Approved"))</f>
        <v/>
      </c>
    </row>
    <row r="286">
      <c r="P286">
        <f>IF(A286="","",COUNTIF('30_NGAN_HANG'!$B:$B,A286))</f>
        <v/>
      </c>
      <c r="Q286">
        <f>IF(A286="","",COUNTIFS('30_NGAN_HANG'!$B:$B,A286,'30_NGAN_HANG'!$Y:$Y,"Approved"))</f>
        <v/>
      </c>
    </row>
    <row r="287">
      <c r="P287">
        <f>IF(A287="","",COUNTIF('30_NGAN_HANG'!$B:$B,A287))</f>
        <v/>
      </c>
      <c r="Q287">
        <f>IF(A287="","",COUNTIFS('30_NGAN_HANG'!$B:$B,A287,'30_NGAN_HANG'!$Y:$Y,"Approved"))</f>
        <v/>
      </c>
    </row>
    <row r="288">
      <c r="P288">
        <f>IF(A288="","",COUNTIF('30_NGAN_HANG'!$B:$B,A288))</f>
        <v/>
      </c>
      <c r="Q288">
        <f>IF(A288="","",COUNTIFS('30_NGAN_HANG'!$B:$B,A288,'30_NGAN_HANG'!$Y:$Y,"Approved"))</f>
        <v/>
      </c>
    </row>
    <row r="289">
      <c r="P289">
        <f>IF(A289="","",COUNTIF('30_NGAN_HANG'!$B:$B,A289))</f>
        <v/>
      </c>
      <c r="Q289">
        <f>IF(A289="","",COUNTIFS('30_NGAN_HANG'!$B:$B,A289,'30_NGAN_HANG'!$Y:$Y,"Approved"))</f>
        <v/>
      </c>
    </row>
    <row r="290">
      <c r="P290">
        <f>IF(A290="","",COUNTIF('30_NGAN_HANG'!$B:$B,A290))</f>
        <v/>
      </c>
      <c r="Q290">
        <f>IF(A290="","",COUNTIFS('30_NGAN_HANG'!$B:$B,A290,'30_NGAN_HANG'!$Y:$Y,"Approved"))</f>
        <v/>
      </c>
    </row>
    <row r="291">
      <c r="P291">
        <f>IF(A291="","",COUNTIF('30_NGAN_HANG'!$B:$B,A291))</f>
        <v/>
      </c>
      <c r="Q291">
        <f>IF(A291="","",COUNTIFS('30_NGAN_HANG'!$B:$B,A291,'30_NGAN_HANG'!$Y:$Y,"Approved"))</f>
        <v/>
      </c>
    </row>
    <row r="292">
      <c r="P292">
        <f>IF(A292="","",COUNTIF('30_NGAN_HANG'!$B:$B,A292))</f>
        <v/>
      </c>
      <c r="Q292">
        <f>IF(A292="","",COUNTIFS('30_NGAN_HANG'!$B:$B,A292,'30_NGAN_HANG'!$Y:$Y,"Approved"))</f>
        <v/>
      </c>
    </row>
    <row r="293">
      <c r="P293">
        <f>IF(A293="","",COUNTIF('30_NGAN_HANG'!$B:$B,A293))</f>
        <v/>
      </c>
      <c r="Q293">
        <f>IF(A293="","",COUNTIFS('30_NGAN_HANG'!$B:$B,A293,'30_NGAN_HANG'!$Y:$Y,"Approved"))</f>
        <v/>
      </c>
    </row>
    <row r="294">
      <c r="P294">
        <f>IF(A294="","",COUNTIF('30_NGAN_HANG'!$B:$B,A294))</f>
        <v/>
      </c>
      <c r="Q294">
        <f>IF(A294="","",COUNTIFS('30_NGAN_HANG'!$B:$B,A294,'30_NGAN_HANG'!$Y:$Y,"Approved"))</f>
        <v/>
      </c>
    </row>
    <row r="295">
      <c r="P295">
        <f>IF(A295="","",COUNTIF('30_NGAN_HANG'!$B:$B,A295))</f>
        <v/>
      </c>
      <c r="Q295">
        <f>IF(A295="","",COUNTIFS('30_NGAN_HANG'!$B:$B,A295,'30_NGAN_HANG'!$Y:$Y,"Approved"))</f>
        <v/>
      </c>
    </row>
    <row r="296">
      <c r="P296">
        <f>IF(A296="","",COUNTIF('30_NGAN_HANG'!$B:$B,A296))</f>
        <v/>
      </c>
      <c r="Q296">
        <f>IF(A296="","",COUNTIFS('30_NGAN_HANG'!$B:$B,A296,'30_NGAN_HANG'!$Y:$Y,"Approved"))</f>
        <v/>
      </c>
    </row>
    <row r="297">
      <c r="P297">
        <f>IF(A297="","",COUNTIF('30_NGAN_HANG'!$B:$B,A297))</f>
        <v/>
      </c>
      <c r="Q297">
        <f>IF(A297="","",COUNTIFS('30_NGAN_HANG'!$B:$B,A297,'30_NGAN_HANG'!$Y:$Y,"Approved"))</f>
        <v/>
      </c>
    </row>
    <row r="298">
      <c r="P298">
        <f>IF(A298="","",COUNTIF('30_NGAN_HANG'!$B:$B,A298))</f>
        <v/>
      </c>
      <c r="Q298">
        <f>IF(A298="","",COUNTIFS('30_NGAN_HANG'!$B:$B,A298,'30_NGAN_HANG'!$Y:$Y,"Approved"))</f>
        <v/>
      </c>
    </row>
    <row r="299">
      <c r="P299">
        <f>IF(A299="","",COUNTIF('30_NGAN_HANG'!$B:$B,A299))</f>
        <v/>
      </c>
      <c r="Q299">
        <f>IF(A299="","",COUNTIFS('30_NGAN_HANG'!$B:$B,A299,'30_NGAN_HANG'!$Y:$Y,"Approved"))</f>
        <v/>
      </c>
    </row>
    <row r="300">
      <c r="P300">
        <f>IF(A300="","",COUNTIF('30_NGAN_HANG'!$B:$B,A300))</f>
        <v/>
      </c>
      <c r="Q300">
        <f>IF(A300="","",COUNTIFS('30_NGAN_HANG'!$B:$B,A300,'30_NGAN_HANG'!$Y:$Y,"Approved"))</f>
        <v/>
      </c>
    </row>
  </sheetData>
  <dataValidations count="3">
    <dataValidation sqref="C3:C300" showDropDown="0" showInputMessage="0" showErrorMessage="0" allowBlank="1" type="list">
      <formula1>='99_DANH_MUC'!$A$2:$A$4</formula1>
    </dataValidation>
    <dataValidation sqref="M3:M300" showDropDown="0" showInputMessage="0" showErrorMessage="0" allowBlank="1" type="list">
      <formula1>='99_DANH_MUC'!$G$2:$G$4</formula1>
    </dataValidation>
    <dataValidation sqref="O3:O300" showDropDown="0" showInputMessage="0" showErrorMessage="0" allowBlank="1" type="list">
      <formula1>='99_DANH_MUC'!$E$2:$E$5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C55A11"/>
    <outlinePr summaryBelow="1" summaryRight="1"/>
    <pageSetUpPr/>
  </sheetPr>
  <dimension ref="A1:Q30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12" customWidth="1" min="4" max="4"/>
    <col width="34" customWidth="1" min="5" max="5"/>
    <col width="20" customWidth="1" min="6" max="6"/>
    <col width="16" customWidth="1" min="7" max="7"/>
    <col width="32" customWidth="1" min="8" max="8"/>
    <col width="24" customWidth="1" min="9" max="9"/>
    <col width="40" customWidth="1" min="10" max="10"/>
    <col width="34" customWidth="1" min="11" max="11"/>
    <col width="32" customWidth="1" min="12" max="12"/>
    <col width="28" customWidth="1" min="13" max="13"/>
    <col width="24" customWidth="1" min="14" max="14"/>
    <col width="24" customWidth="1" min="15" max="15"/>
    <col width="32" customWidth="1" min="16" max="16"/>
    <col width="34" customWidth="1" min="17" max="17"/>
  </cols>
  <sheetData>
    <row r="1">
      <c r="A1" s="7" t="inlineStr">
        <is>
          <t>読解 › 文章の読解  |  1 dòng = 1 yêu cầu sinh câu. Cam = bắt buộc, vàng = gợi ý cho AI.</t>
        </is>
      </c>
    </row>
    <row r="2" ht="42" customHeight="1">
      <c r="A2" s="8" t="inlineStr">
        <is>
          <t>Mã yêu cầu</t>
        </is>
      </c>
      <c r="B2" s="8" t="inlineStr">
        <is>
          <t>Mã đề (kế hoạch)</t>
        </is>
      </c>
      <c r="C2" s="8" t="inlineStr">
        <is>
          <t>Quyển</t>
        </is>
      </c>
      <c r="D2" s="8" t="inlineStr">
        <is>
          <t>Bài</t>
        </is>
      </c>
      <c r="E2" s="8" t="inlineStr">
        <is>
          <t>Số câu cần sinh</t>
        </is>
      </c>
      <c r="F2" s="9" t="inlineStr">
        <is>
          <t>Thể loại</t>
        </is>
      </c>
      <c r="G2" s="9" t="inlineStr">
        <is>
          <t>Chủ đề</t>
        </is>
      </c>
      <c r="H2" s="9" t="inlineStr">
        <is>
          <t>Số câu hỏi con</t>
        </is>
      </c>
      <c r="I2" s="13" t="inlineStr">
        <is>
          <t>Độ dài (字)</t>
        </is>
      </c>
      <c r="J2" s="13" t="inlineStr">
        <is>
          <t>Người viết → người đọc</t>
        </is>
      </c>
      <c r="K2" s="13" t="inlineStr">
        <is>
          <t>Ý chính cần hỏi</t>
        </is>
      </c>
      <c r="L2" s="8" t="inlineStr">
        <is>
          <t>Ghi chú cho AI</t>
        </is>
      </c>
      <c r="M2" s="8" t="inlineStr">
        <is>
          <t>Công cụ sinh</t>
        </is>
      </c>
      <c r="N2" s="8" t="inlineStr">
        <is>
          <t>Người nhập</t>
        </is>
      </c>
      <c r="O2" s="8" t="inlineStr">
        <is>
          <t>Trạng thái</t>
        </is>
      </c>
      <c r="P2" s="10" t="inlineStr">
        <is>
          <t>Số câu đã sinh</t>
        </is>
      </c>
      <c r="Q2" s="10" t="inlineStr">
        <is>
          <t>Số câu Approved</t>
        </is>
      </c>
    </row>
    <row r="3">
      <c r="A3" t="inlineStr">
        <is>
          <t>IN_11-0001</t>
        </is>
      </c>
      <c r="C3" t="inlineStr">
        <is>
          <t>入門</t>
        </is>
      </c>
      <c r="D3" t="n">
        <v>1</v>
      </c>
      <c r="E3" t="n">
        <v>3</v>
      </c>
      <c r="F3" t="inlineStr">
        <is>
          <t>Email</t>
        </is>
      </c>
      <c r="G3" t="inlineStr">
        <is>
          <t>Mời tiệc chia tay đồng nghiệp</t>
        </is>
      </c>
      <c r="H3" t="n">
        <v>2</v>
      </c>
      <c r="I3" t="n">
        <v>250</v>
      </c>
      <c r="J3" t="inlineStr">
        <is>
          <t>đồng nghiệp → cả phòng</t>
        </is>
      </c>
      <c r="K3" t="inlineStr">
        <is>
          <t>Thời gian;Cần mang gì</t>
        </is>
      </c>
      <c r="L3" t="inlineStr">
        <is>
          <t>VÍ DỤ — xoá dòng này khi dùng thật</t>
        </is>
      </c>
      <c r="M3" t="inlineStr">
        <is>
          <t>ChatGPT</t>
        </is>
      </c>
      <c r="O3" t="inlineStr">
        <is>
          <t>Nháp</t>
        </is>
      </c>
      <c r="P3">
        <f>IF(A3="","",COUNTIF('30_NGAN_HANG'!$B:$B,A3))</f>
        <v/>
      </c>
      <c r="Q3">
        <f>IF(A3="","",COUNTIFS('30_NGAN_HANG'!$B:$B,A3,'30_NGAN_HANG'!$Y:$Y,"Approved"))</f>
        <v/>
      </c>
    </row>
    <row r="4">
      <c r="P4">
        <f>IF(A4="","",COUNTIF('30_NGAN_HANG'!$B:$B,A4))</f>
        <v/>
      </c>
      <c r="Q4">
        <f>IF(A4="","",COUNTIFS('30_NGAN_HANG'!$B:$B,A4,'30_NGAN_HANG'!$Y:$Y,"Approved"))</f>
        <v/>
      </c>
    </row>
    <row r="5">
      <c r="P5">
        <f>IF(A5="","",COUNTIF('30_NGAN_HANG'!$B:$B,A5))</f>
        <v/>
      </c>
      <c r="Q5">
        <f>IF(A5="","",COUNTIFS('30_NGAN_HANG'!$B:$B,A5,'30_NGAN_HANG'!$Y:$Y,"Approved"))</f>
        <v/>
      </c>
    </row>
    <row r="6">
      <c r="P6">
        <f>IF(A6="","",COUNTIF('30_NGAN_HANG'!$B:$B,A6))</f>
        <v/>
      </c>
      <c r="Q6">
        <f>IF(A6="","",COUNTIFS('30_NGAN_HANG'!$B:$B,A6,'30_NGAN_HANG'!$Y:$Y,"Approved"))</f>
        <v/>
      </c>
    </row>
    <row r="7">
      <c r="P7">
        <f>IF(A7="","",COUNTIF('30_NGAN_HANG'!$B:$B,A7))</f>
        <v/>
      </c>
      <c r="Q7">
        <f>IF(A7="","",COUNTIFS('30_NGAN_HANG'!$B:$B,A7,'30_NGAN_HANG'!$Y:$Y,"Approved"))</f>
        <v/>
      </c>
    </row>
    <row r="8">
      <c r="P8">
        <f>IF(A8="","",COUNTIF('30_NGAN_HANG'!$B:$B,A8))</f>
        <v/>
      </c>
      <c r="Q8">
        <f>IF(A8="","",COUNTIFS('30_NGAN_HANG'!$B:$B,A8,'30_NGAN_HANG'!$Y:$Y,"Approved"))</f>
        <v/>
      </c>
    </row>
    <row r="9">
      <c r="P9">
        <f>IF(A9="","",COUNTIF('30_NGAN_HANG'!$B:$B,A9))</f>
        <v/>
      </c>
      <c r="Q9">
        <f>IF(A9="","",COUNTIFS('30_NGAN_HANG'!$B:$B,A9,'30_NGAN_HANG'!$Y:$Y,"Approved"))</f>
        <v/>
      </c>
    </row>
    <row r="10">
      <c r="P10">
        <f>IF(A10="","",COUNTIF('30_NGAN_HANG'!$B:$B,A10))</f>
        <v/>
      </c>
      <c r="Q10">
        <f>IF(A10="","",COUNTIFS('30_NGAN_HANG'!$B:$B,A10,'30_NGAN_HANG'!$Y:$Y,"Approved"))</f>
        <v/>
      </c>
    </row>
    <row r="11">
      <c r="P11">
        <f>IF(A11="","",COUNTIF('30_NGAN_HANG'!$B:$B,A11))</f>
        <v/>
      </c>
      <c r="Q11">
        <f>IF(A11="","",COUNTIFS('30_NGAN_HANG'!$B:$B,A11,'30_NGAN_HANG'!$Y:$Y,"Approved"))</f>
        <v/>
      </c>
    </row>
    <row r="12">
      <c r="P12">
        <f>IF(A12="","",COUNTIF('30_NGAN_HANG'!$B:$B,A12))</f>
        <v/>
      </c>
      <c r="Q12">
        <f>IF(A12="","",COUNTIFS('30_NGAN_HANG'!$B:$B,A12,'30_NGAN_HANG'!$Y:$Y,"Approved"))</f>
        <v/>
      </c>
    </row>
    <row r="13">
      <c r="P13">
        <f>IF(A13="","",COUNTIF('30_NGAN_HANG'!$B:$B,A13))</f>
        <v/>
      </c>
      <c r="Q13">
        <f>IF(A13="","",COUNTIFS('30_NGAN_HANG'!$B:$B,A13,'30_NGAN_HANG'!$Y:$Y,"Approved"))</f>
        <v/>
      </c>
    </row>
    <row r="14">
      <c r="P14">
        <f>IF(A14="","",COUNTIF('30_NGAN_HANG'!$B:$B,A14))</f>
        <v/>
      </c>
      <c r="Q14">
        <f>IF(A14="","",COUNTIFS('30_NGAN_HANG'!$B:$B,A14,'30_NGAN_HANG'!$Y:$Y,"Approved"))</f>
        <v/>
      </c>
    </row>
    <row r="15">
      <c r="P15">
        <f>IF(A15="","",COUNTIF('30_NGAN_HANG'!$B:$B,A15))</f>
        <v/>
      </c>
      <c r="Q15">
        <f>IF(A15="","",COUNTIFS('30_NGAN_HANG'!$B:$B,A15,'30_NGAN_HANG'!$Y:$Y,"Approved"))</f>
        <v/>
      </c>
    </row>
    <row r="16">
      <c r="P16">
        <f>IF(A16="","",COUNTIF('30_NGAN_HANG'!$B:$B,A16))</f>
        <v/>
      </c>
      <c r="Q16">
        <f>IF(A16="","",COUNTIFS('30_NGAN_HANG'!$B:$B,A16,'30_NGAN_HANG'!$Y:$Y,"Approved"))</f>
        <v/>
      </c>
    </row>
    <row r="17">
      <c r="P17">
        <f>IF(A17="","",COUNTIF('30_NGAN_HANG'!$B:$B,A17))</f>
        <v/>
      </c>
      <c r="Q17">
        <f>IF(A17="","",COUNTIFS('30_NGAN_HANG'!$B:$B,A17,'30_NGAN_HANG'!$Y:$Y,"Approved"))</f>
        <v/>
      </c>
    </row>
    <row r="18">
      <c r="P18">
        <f>IF(A18="","",COUNTIF('30_NGAN_HANG'!$B:$B,A18))</f>
        <v/>
      </c>
      <c r="Q18">
        <f>IF(A18="","",COUNTIFS('30_NGAN_HANG'!$B:$B,A18,'30_NGAN_HANG'!$Y:$Y,"Approved"))</f>
        <v/>
      </c>
    </row>
    <row r="19">
      <c r="P19">
        <f>IF(A19="","",COUNTIF('30_NGAN_HANG'!$B:$B,A19))</f>
        <v/>
      </c>
      <c r="Q19">
        <f>IF(A19="","",COUNTIFS('30_NGAN_HANG'!$B:$B,A19,'30_NGAN_HANG'!$Y:$Y,"Approved"))</f>
        <v/>
      </c>
    </row>
    <row r="20">
      <c r="P20">
        <f>IF(A20="","",COUNTIF('30_NGAN_HANG'!$B:$B,A20))</f>
        <v/>
      </c>
      <c r="Q20">
        <f>IF(A20="","",COUNTIFS('30_NGAN_HANG'!$B:$B,A20,'30_NGAN_HANG'!$Y:$Y,"Approved"))</f>
        <v/>
      </c>
    </row>
    <row r="21">
      <c r="P21">
        <f>IF(A21="","",COUNTIF('30_NGAN_HANG'!$B:$B,A21))</f>
        <v/>
      </c>
      <c r="Q21">
        <f>IF(A21="","",COUNTIFS('30_NGAN_HANG'!$B:$B,A21,'30_NGAN_HANG'!$Y:$Y,"Approved"))</f>
        <v/>
      </c>
    </row>
    <row r="22">
      <c r="P22">
        <f>IF(A22="","",COUNTIF('30_NGAN_HANG'!$B:$B,A22))</f>
        <v/>
      </c>
      <c r="Q22">
        <f>IF(A22="","",COUNTIFS('30_NGAN_HANG'!$B:$B,A22,'30_NGAN_HANG'!$Y:$Y,"Approved"))</f>
        <v/>
      </c>
    </row>
    <row r="23">
      <c r="P23">
        <f>IF(A23="","",COUNTIF('30_NGAN_HANG'!$B:$B,A23))</f>
        <v/>
      </c>
      <c r="Q23">
        <f>IF(A23="","",COUNTIFS('30_NGAN_HANG'!$B:$B,A23,'30_NGAN_HANG'!$Y:$Y,"Approved"))</f>
        <v/>
      </c>
    </row>
    <row r="24">
      <c r="P24">
        <f>IF(A24="","",COUNTIF('30_NGAN_HANG'!$B:$B,A24))</f>
        <v/>
      </c>
      <c r="Q24">
        <f>IF(A24="","",COUNTIFS('30_NGAN_HANG'!$B:$B,A24,'30_NGAN_HANG'!$Y:$Y,"Approved"))</f>
        <v/>
      </c>
    </row>
    <row r="25">
      <c r="P25">
        <f>IF(A25="","",COUNTIF('30_NGAN_HANG'!$B:$B,A25))</f>
        <v/>
      </c>
      <c r="Q25">
        <f>IF(A25="","",COUNTIFS('30_NGAN_HANG'!$B:$B,A25,'30_NGAN_HANG'!$Y:$Y,"Approved"))</f>
        <v/>
      </c>
    </row>
    <row r="26">
      <c r="P26">
        <f>IF(A26="","",COUNTIF('30_NGAN_HANG'!$B:$B,A26))</f>
        <v/>
      </c>
      <c r="Q26">
        <f>IF(A26="","",COUNTIFS('30_NGAN_HANG'!$B:$B,A26,'30_NGAN_HANG'!$Y:$Y,"Approved"))</f>
        <v/>
      </c>
    </row>
    <row r="27">
      <c r="P27">
        <f>IF(A27="","",COUNTIF('30_NGAN_HANG'!$B:$B,A27))</f>
        <v/>
      </c>
      <c r="Q27">
        <f>IF(A27="","",COUNTIFS('30_NGAN_HANG'!$B:$B,A27,'30_NGAN_HANG'!$Y:$Y,"Approved"))</f>
        <v/>
      </c>
    </row>
    <row r="28">
      <c r="P28">
        <f>IF(A28="","",COUNTIF('30_NGAN_HANG'!$B:$B,A28))</f>
        <v/>
      </c>
      <c r="Q28">
        <f>IF(A28="","",COUNTIFS('30_NGAN_HANG'!$B:$B,A28,'30_NGAN_HANG'!$Y:$Y,"Approved"))</f>
        <v/>
      </c>
    </row>
    <row r="29">
      <c r="P29">
        <f>IF(A29="","",COUNTIF('30_NGAN_HANG'!$B:$B,A29))</f>
        <v/>
      </c>
      <c r="Q29">
        <f>IF(A29="","",COUNTIFS('30_NGAN_HANG'!$B:$B,A29,'30_NGAN_HANG'!$Y:$Y,"Approved"))</f>
        <v/>
      </c>
    </row>
    <row r="30">
      <c r="P30">
        <f>IF(A30="","",COUNTIF('30_NGAN_HANG'!$B:$B,A30))</f>
        <v/>
      </c>
      <c r="Q30">
        <f>IF(A30="","",COUNTIFS('30_NGAN_HANG'!$B:$B,A30,'30_NGAN_HANG'!$Y:$Y,"Approved"))</f>
        <v/>
      </c>
    </row>
    <row r="31">
      <c r="P31">
        <f>IF(A31="","",COUNTIF('30_NGAN_HANG'!$B:$B,A31))</f>
        <v/>
      </c>
      <c r="Q31">
        <f>IF(A31="","",COUNTIFS('30_NGAN_HANG'!$B:$B,A31,'30_NGAN_HANG'!$Y:$Y,"Approved"))</f>
        <v/>
      </c>
    </row>
    <row r="32">
      <c r="P32">
        <f>IF(A32="","",COUNTIF('30_NGAN_HANG'!$B:$B,A32))</f>
        <v/>
      </c>
      <c r="Q32">
        <f>IF(A32="","",COUNTIFS('30_NGAN_HANG'!$B:$B,A32,'30_NGAN_HANG'!$Y:$Y,"Approved"))</f>
        <v/>
      </c>
    </row>
    <row r="33">
      <c r="P33">
        <f>IF(A33="","",COUNTIF('30_NGAN_HANG'!$B:$B,A33))</f>
        <v/>
      </c>
      <c r="Q33">
        <f>IF(A33="","",COUNTIFS('30_NGAN_HANG'!$B:$B,A33,'30_NGAN_HANG'!$Y:$Y,"Approved"))</f>
        <v/>
      </c>
    </row>
    <row r="34">
      <c r="P34">
        <f>IF(A34="","",COUNTIF('30_NGAN_HANG'!$B:$B,A34))</f>
        <v/>
      </c>
      <c r="Q34">
        <f>IF(A34="","",COUNTIFS('30_NGAN_HANG'!$B:$B,A34,'30_NGAN_HANG'!$Y:$Y,"Approved"))</f>
        <v/>
      </c>
    </row>
    <row r="35">
      <c r="P35">
        <f>IF(A35="","",COUNTIF('30_NGAN_HANG'!$B:$B,A35))</f>
        <v/>
      </c>
      <c r="Q35">
        <f>IF(A35="","",COUNTIFS('30_NGAN_HANG'!$B:$B,A35,'30_NGAN_HANG'!$Y:$Y,"Approved"))</f>
        <v/>
      </c>
    </row>
    <row r="36">
      <c r="P36">
        <f>IF(A36="","",COUNTIF('30_NGAN_HANG'!$B:$B,A36))</f>
        <v/>
      </c>
      <c r="Q36">
        <f>IF(A36="","",COUNTIFS('30_NGAN_HANG'!$B:$B,A36,'30_NGAN_HANG'!$Y:$Y,"Approved"))</f>
        <v/>
      </c>
    </row>
    <row r="37">
      <c r="P37">
        <f>IF(A37="","",COUNTIF('30_NGAN_HANG'!$B:$B,A37))</f>
        <v/>
      </c>
      <c r="Q37">
        <f>IF(A37="","",COUNTIFS('30_NGAN_HANG'!$B:$B,A37,'30_NGAN_HANG'!$Y:$Y,"Approved"))</f>
        <v/>
      </c>
    </row>
    <row r="38">
      <c r="P38">
        <f>IF(A38="","",COUNTIF('30_NGAN_HANG'!$B:$B,A38))</f>
        <v/>
      </c>
      <c r="Q38">
        <f>IF(A38="","",COUNTIFS('30_NGAN_HANG'!$B:$B,A38,'30_NGAN_HANG'!$Y:$Y,"Approved"))</f>
        <v/>
      </c>
    </row>
    <row r="39">
      <c r="P39">
        <f>IF(A39="","",COUNTIF('30_NGAN_HANG'!$B:$B,A39))</f>
        <v/>
      </c>
      <c r="Q39">
        <f>IF(A39="","",COUNTIFS('30_NGAN_HANG'!$B:$B,A39,'30_NGAN_HANG'!$Y:$Y,"Approved"))</f>
        <v/>
      </c>
    </row>
    <row r="40">
      <c r="P40">
        <f>IF(A40="","",COUNTIF('30_NGAN_HANG'!$B:$B,A40))</f>
        <v/>
      </c>
      <c r="Q40">
        <f>IF(A40="","",COUNTIFS('30_NGAN_HANG'!$B:$B,A40,'30_NGAN_HANG'!$Y:$Y,"Approved"))</f>
        <v/>
      </c>
    </row>
    <row r="41">
      <c r="P41">
        <f>IF(A41="","",COUNTIF('30_NGAN_HANG'!$B:$B,A41))</f>
        <v/>
      </c>
      <c r="Q41">
        <f>IF(A41="","",COUNTIFS('30_NGAN_HANG'!$B:$B,A41,'30_NGAN_HANG'!$Y:$Y,"Approved"))</f>
        <v/>
      </c>
    </row>
    <row r="42">
      <c r="P42">
        <f>IF(A42="","",COUNTIF('30_NGAN_HANG'!$B:$B,A42))</f>
        <v/>
      </c>
      <c r="Q42">
        <f>IF(A42="","",COUNTIFS('30_NGAN_HANG'!$B:$B,A42,'30_NGAN_HANG'!$Y:$Y,"Approved"))</f>
        <v/>
      </c>
    </row>
    <row r="43">
      <c r="P43">
        <f>IF(A43="","",COUNTIF('30_NGAN_HANG'!$B:$B,A43))</f>
        <v/>
      </c>
      <c r="Q43">
        <f>IF(A43="","",COUNTIFS('30_NGAN_HANG'!$B:$B,A43,'30_NGAN_HANG'!$Y:$Y,"Approved"))</f>
        <v/>
      </c>
    </row>
    <row r="44">
      <c r="P44">
        <f>IF(A44="","",COUNTIF('30_NGAN_HANG'!$B:$B,A44))</f>
        <v/>
      </c>
      <c r="Q44">
        <f>IF(A44="","",COUNTIFS('30_NGAN_HANG'!$B:$B,A44,'30_NGAN_HANG'!$Y:$Y,"Approved"))</f>
        <v/>
      </c>
    </row>
    <row r="45">
      <c r="P45">
        <f>IF(A45="","",COUNTIF('30_NGAN_HANG'!$B:$B,A45))</f>
        <v/>
      </c>
      <c r="Q45">
        <f>IF(A45="","",COUNTIFS('30_NGAN_HANG'!$B:$B,A45,'30_NGAN_HANG'!$Y:$Y,"Approved"))</f>
        <v/>
      </c>
    </row>
    <row r="46">
      <c r="P46">
        <f>IF(A46="","",COUNTIF('30_NGAN_HANG'!$B:$B,A46))</f>
        <v/>
      </c>
      <c r="Q46">
        <f>IF(A46="","",COUNTIFS('30_NGAN_HANG'!$B:$B,A46,'30_NGAN_HANG'!$Y:$Y,"Approved"))</f>
        <v/>
      </c>
    </row>
    <row r="47">
      <c r="P47">
        <f>IF(A47="","",COUNTIF('30_NGAN_HANG'!$B:$B,A47))</f>
        <v/>
      </c>
      <c r="Q47">
        <f>IF(A47="","",COUNTIFS('30_NGAN_HANG'!$B:$B,A47,'30_NGAN_HANG'!$Y:$Y,"Approved"))</f>
        <v/>
      </c>
    </row>
    <row r="48">
      <c r="P48">
        <f>IF(A48="","",COUNTIF('30_NGAN_HANG'!$B:$B,A48))</f>
        <v/>
      </c>
      <c r="Q48">
        <f>IF(A48="","",COUNTIFS('30_NGAN_HANG'!$B:$B,A48,'30_NGAN_HANG'!$Y:$Y,"Approved"))</f>
        <v/>
      </c>
    </row>
    <row r="49">
      <c r="P49">
        <f>IF(A49="","",COUNTIF('30_NGAN_HANG'!$B:$B,A49))</f>
        <v/>
      </c>
      <c r="Q49">
        <f>IF(A49="","",COUNTIFS('30_NGAN_HANG'!$B:$B,A49,'30_NGAN_HANG'!$Y:$Y,"Approved"))</f>
        <v/>
      </c>
    </row>
    <row r="50">
      <c r="P50">
        <f>IF(A50="","",COUNTIF('30_NGAN_HANG'!$B:$B,A50))</f>
        <v/>
      </c>
      <c r="Q50">
        <f>IF(A50="","",COUNTIFS('30_NGAN_HANG'!$B:$B,A50,'30_NGAN_HANG'!$Y:$Y,"Approved"))</f>
        <v/>
      </c>
    </row>
    <row r="51">
      <c r="P51">
        <f>IF(A51="","",COUNTIF('30_NGAN_HANG'!$B:$B,A51))</f>
        <v/>
      </c>
      <c r="Q51">
        <f>IF(A51="","",COUNTIFS('30_NGAN_HANG'!$B:$B,A51,'30_NGAN_HANG'!$Y:$Y,"Approved"))</f>
        <v/>
      </c>
    </row>
    <row r="52">
      <c r="P52">
        <f>IF(A52="","",COUNTIF('30_NGAN_HANG'!$B:$B,A52))</f>
        <v/>
      </c>
      <c r="Q52">
        <f>IF(A52="","",COUNTIFS('30_NGAN_HANG'!$B:$B,A52,'30_NGAN_HANG'!$Y:$Y,"Approved"))</f>
        <v/>
      </c>
    </row>
    <row r="53">
      <c r="P53">
        <f>IF(A53="","",COUNTIF('30_NGAN_HANG'!$B:$B,A53))</f>
        <v/>
      </c>
      <c r="Q53">
        <f>IF(A53="","",COUNTIFS('30_NGAN_HANG'!$B:$B,A53,'30_NGAN_HANG'!$Y:$Y,"Approved"))</f>
        <v/>
      </c>
    </row>
    <row r="54">
      <c r="P54">
        <f>IF(A54="","",COUNTIF('30_NGAN_HANG'!$B:$B,A54))</f>
        <v/>
      </c>
      <c r="Q54">
        <f>IF(A54="","",COUNTIFS('30_NGAN_HANG'!$B:$B,A54,'30_NGAN_HANG'!$Y:$Y,"Approved"))</f>
        <v/>
      </c>
    </row>
    <row r="55">
      <c r="P55">
        <f>IF(A55="","",COUNTIF('30_NGAN_HANG'!$B:$B,A55))</f>
        <v/>
      </c>
      <c r="Q55">
        <f>IF(A55="","",COUNTIFS('30_NGAN_HANG'!$B:$B,A55,'30_NGAN_HANG'!$Y:$Y,"Approved"))</f>
        <v/>
      </c>
    </row>
    <row r="56">
      <c r="P56">
        <f>IF(A56="","",COUNTIF('30_NGAN_HANG'!$B:$B,A56))</f>
        <v/>
      </c>
      <c r="Q56">
        <f>IF(A56="","",COUNTIFS('30_NGAN_HANG'!$B:$B,A56,'30_NGAN_HANG'!$Y:$Y,"Approved"))</f>
        <v/>
      </c>
    </row>
    <row r="57">
      <c r="P57">
        <f>IF(A57="","",COUNTIF('30_NGAN_HANG'!$B:$B,A57))</f>
        <v/>
      </c>
      <c r="Q57">
        <f>IF(A57="","",COUNTIFS('30_NGAN_HANG'!$B:$B,A57,'30_NGAN_HANG'!$Y:$Y,"Approved"))</f>
        <v/>
      </c>
    </row>
    <row r="58">
      <c r="P58">
        <f>IF(A58="","",COUNTIF('30_NGAN_HANG'!$B:$B,A58))</f>
        <v/>
      </c>
      <c r="Q58">
        <f>IF(A58="","",COUNTIFS('30_NGAN_HANG'!$B:$B,A58,'30_NGAN_HANG'!$Y:$Y,"Approved"))</f>
        <v/>
      </c>
    </row>
    <row r="59">
      <c r="P59">
        <f>IF(A59="","",COUNTIF('30_NGAN_HANG'!$B:$B,A59))</f>
        <v/>
      </c>
      <c r="Q59">
        <f>IF(A59="","",COUNTIFS('30_NGAN_HANG'!$B:$B,A59,'30_NGAN_HANG'!$Y:$Y,"Approved"))</f>
        <v/>
      </c>
    </row>
    <row r="60">
      <c r="P60">
        <f>IF(A60="","",COUNTIF('30_NGAN_HANG'!$B:$B,A60))</f>
        <v/>
      </c>
      <c r="Q60">
        <f>IF(A60="","",COUNTIFS('30_NGAN_HANG'!$B:$B,A60,'30_NGAN_HANG'!$Y:$Y,"Approved"))</f>
        <v/>
      </c>
    </row>
    <row r="61">
      <c r="P61">
        <f>IF(A61="","",COUNTIF('30_NGAN_HANG'!$B:$B,A61))</f>
        <v/>
      </c>
      <c r="Q61">
        <f>IF(A61="","",COUNTIFS('30_NGAN_HANG'!$B:$B,A61,'30_NGAN_HANG'!$Y:$Y,"Approved"))</f>
        <v/>
      </c>
    </row>
    <row r="62">
      <c r="P62">
        <f>IF(A62="","",COUNTIF('30_NGAN_HANG'!$B:$B,A62))</f>
        <v/>
      </c>
      <c r="Q62">
        <f>IF(A62="","",COUNTIFS('30_NGAN_HANG'!$B:$B,A62,'30_NGAN_HANG'!$Y:$Y,"Approved"))</f>
        <v/>
      </c>
    </row>
    <row r="63">
      <c r="P63">
        <f>IF(A63="","",COUNTIF('30_NGAN_HANG'!$B:$B,A63))</f>
        <v/>
      </c>
      <c r="Q63">
        <f>IF(A63="","",COUNTIFS('30_NGAN_HANG'!$B:$B,A63,'30_NGAN_HANG'!$Y:$Y,"Approved"))</f>
        <v/>
      </c>
    </row>
    <row r="64">
      <c r="P64">
        <f>IF(A64="","",COUNTIF('30_NGAN_HANG'!$B:$B,A64))</f>
        <v/>
      </c>
      <c r="Q64">
        <f>IF(A64="","",COUNTIFS('30_NGAN_HANG'!$B:$B,A64,'30_NGAN_HANG'!$Y:$Y,"Approved"))</f>
        <v/>
      </c>
    </row>
    <row r="65">
      <c r="P65">
        <f>IF(A65="","",COUNTIF('30_NGAN_HANG'!$B:$B,A65))</f>
        <v/>
      </c>
      <c r="Q65">
        <f>IF(A65="","",COUNTIFS('30_NGAN_HANG'!$B:$B,A65,'30_NGAN_HANG'!$Y:$Y,"Approved"))</f>
        <v/>
      </c>
    </row>
    <row r="66">
      <c r="P66">
        <f>IF(A66="","",COUNTIF('30_NGAN_HANG'!$B:$B,A66))</f>
        <v/>
      </c>
      <c r="Q66">
        <f>IF(A66="","",COUNTIFS('30_NGAN_HANG'!$B:$B,A66,'30_NGAN_HANG'!$Y:$Y,"Approved"))</f>
        <v/>
      </c>
    </row>
    <row r="67">
      <c r="P67">
        <f>IF(A67="","",COUNTIF('30_NGAN_HANG'!$B:$B,A67))</f>
        <v/>
      </c>
      <c r="Q67">
        <f>IF(A67="","",COUNTIFS('30_NGAN_HANG'!$B:$B,A67,'30_NGAN_HANG'!$Y:$Y,"Approved"))</f>
        <v/>
      </c>
    </row>
    <row r="68">
      <c r="P68">
        <f>IF(A68="","",COUNTIF('30_NGAN_HANG'!$B:$B,A68))</f>
        <v/>
      </c>
      <c r="Q68">
        <f>IF(A68="","",COUNTIFS('30_NGAN_HANG'!$B:$B,A68,'30_NGAN_HANG'!$Y:$Y,"Approved"))</f>
        <v/>
      </c>
    </row>
    <row r="69">
      <c r="P69">
        <f>IF(A69="","",COUNTIF('30_NGAN_HANG'!$B:$B,A69))</f>
        <v/>
      </c>
      <c r="Q69">
        <f>IF(A69="","",COUNTIFS('30_NGAN_HANG'!$B:$B,A69,'30_NGAN_HANG'!$Y:$Y,"Approved"))</f>
        <v/>
      </c>
    </row>
    <row r="70">
      <c r="P70">
        <f>IF(A70="","",COUNTIF('30_NGAN_HANG'!$B:$B,A70))</f>
        <v/>
      </c>
      <c r="Q70">
        <f>IF(A70="","",COUNTIFS('30_NGAN_HANG'!$B:$B,A70,'30_NGAN_HANG'!$Y:$Y,"Approved"))</f>
        <v/>
      </c>
    </row>
    <row r="71">
      <c r="P71">
        <f>IF(A71="","",COUNTIF('30_NGAN_HANG'!$B:$B,A71))</f>
        <v/>
      </c>
      <c r="Q71">
        <f>IF(A71="","",COUNTIFS('30_NGAN_HANG'!$B:$B,A71,'30_NGAN_HANG'!$Y:$Y,"Approved"))</f>
        <v/>
      </c>
    </row>
    <row r="72">
      <c r="P72">
        <f>IF(A72="","",COUNTIF('30_NGAN_HANG'!$B:$B,A72))</f>
        <v/>
      </c>
      <c r="Q72">
        <f>IF(A72="","",COUNTIFS('30_NGAN_HANG'!$B:$B,A72,'30_NGAN_HANG'!$Y:$Y,"Approved"))</f>
        <v/>
      </c>
    </row>
    <row r="73">
      <c r="P73">
        <f>IF(A73="","",COUNTIF('30_NGAN_HANG'!$B:$B,A73))</f>
        <v/>
      </c>
      <c r="Q73">
        <f>IF(A73="","",COUNTIFS('30_NGAN_HANG'!$B:$B,A73,'30_NGAN_HANG'!$Y:$Y,"Approved"))</f>
        <v/>
      </c>
    </row>
    <row r="74">
      <c r="P74">
        <f>IF(A74="","",COUNTIF('30_NGAN_HANG'!$B:$B,A74))</f>
        <v/>
      </c>
      <c r="Q74">
        <f>IF(A74="","",COUNTIFS('30_NGAN_HANG'!$B:$B,A74,'30_NGAN_HANG'!$Y:$Y,"Approved"))</f>
        <v/>
      </c>
    </row>
    <row r="75">
      <c r="P75">
        <f>IF(A75="","",COUNTIF('30_NGAN_HANG'!$B:$B,A75))</f>
        <v/>
      </c>
      <c r="Q75">
        <f>IF(A75="","",COUNTIFS('30_NGAN_HANG'!$B:$B,A75,'30_NGAN_HANG'!$Y:$Y,"Approved"))</f>
        <v/>
      </c>
    </row>
    <row r="76">
      <c r="P76">
        <f>IF(A76="","",COUNTIF('30_NGAN_HANG'!$B:$B,A76))</f>
        <v/>
      </c>
      <c r="Q76">
        <f>IF(A76="","",COUNTIFS('30_NGAN_HANG'!$B:$B,A76,'30_NGAN_HANG'!$Y:$Y,"Approved"))</f>
        <v/>
      </c>
    </row>
    <row r="77">
      <c r="P77">
        <f>IF(A77="","",COUNTIF('30_NGAN_HANG'!$B:$B,A77))</f>
        <v/>
      </c>
      <c r="Q77">
        <f>IF(A77="","",COUNTIFS('30_NGAN_HANG'!$B:$B,A77,'30_NGAN_HANG'!$Y:$Y,"Approved"))</f>
        <v/>
      </c>
    </row>
    <row r="78">
      <c r="P78">
        <f>IF(A78="","",COUNTIF('30_NGAN_HANG'!$B:$B,A78))</f>
        <v/>
      </c>
      <c r="Q78">
        <f>IF(A78="","",COUNTIFS('30_NGAN_HANG'!$B:$B,A78,'30_NGAN_HANG'!$Y:$Y,"Approved"))</f>
        <v/>
      </c>
    </row>
    <row r="79">
      <c r="P79">
        <f>IF(A79="","",COUNTIF('30_NGAN_HANG'!$B:$B,A79))</f>
        <v/>
      </c>
      <c r="Q79">
        <f>IF(A79="","",COUNTIFS('30_NGAN_HANG'!$B:$B,A79,'30_NGAN_HANG'!$Y:$Y,"Approved"))</f>
        <v/>
      </c>
    </row>
    <row r="80">
      <c r="P80">
        <f>IF(A80="","",COUNTIF('30_NGAN_HANG'!$B:$B,A80))</f>
        <v/>
      </c>
      <c r="Q80">
        <f>IF(A80="","",COUNTIFS('30_NGAN_HANG'!$B:$B,A80,'30_NGAN_HANG'!$Y:$Y,"Approved"))</f>
        <v/>
      </c>
    </row>
    <row r="81">
      <c r="P81">
        <f>IF(A81="","",COUNTIF('30_NGAN_HANG'!$B:$B,A81))</f>
        <v/>
      </c>
      <c r="Q81">
        <f>IF(A81="","",COUNTIFS('30_NGAN_HANG'!$B:$B,A81,'30_NGAN_HANG'!$Y:$Y,"Approved"))</f>
        <v/>
      </c>
    </row>
    <row r="82">
      <c r="P82">
        <f>IF(A82="","",COUNTIF('30_NGAN_HANG'!$B:$B,A82))</f>
        <v/>
      </c>
      <c r="Q82">
        <f>IF(A82="","",COUNTIFS('30_NGAN_HANG'!$B:$B,A82,'30_NGAN_HANG'!$Y:$Y,"Approved"))</f>
        <v/>
      </c>
    </row>
    <row r="83">
      <c r="P83">
        <f>IF(A83="","",COUNTIF('30_NGAN_HANG'!$B:$B,A83))</f>
        <v/>
      </c>
      <c r="Q83">
        <f>IF(A83="","",COUNTIFS('30_NGAN_HANG'!$B:$B,A83,'30_NGAN_HANG'!$Y:$Y,"Approved"))</f>
        <v/>
      </c>
    </row>
    <row r="84">
      <c r="P84">
        <f>IF(A84="","",COUNTIF('30_NGAN_HANG'!$B:$B,A84))</f>
        <v/>
      </c>
      <c r="Q84">
        <f>IF(A84="","",COUNTIFS('30_NGAN_HANG'!$B:$B,A84,'30_NGAN_HANG'!$Y:$Y,"Approved"))</f>
        <v/>
      </c>
    </row>
    <row r="85">
      <c r="P85">
        <f>IF(A85="","",COUNTIF('30_NGAN_HANG'!$B:$B,A85))</f>
        <v/>
      </c>
      <c r="Q85">
        <f>IF(A85="","",COUNTIFS('30_NGAN_HANG'!$B:$B,A85,'30_NGAN_HANG'!$Y:$Y,"Approved"))</f>
        <v/>
      </c>
    </row>
    <row r="86">
      <c r="P86">
        <f>IF(A86="","",COUNTIF('30_NGAN_HANG'!$B:$B,A86))</f>
        <v/>
      </c>
      <c r="Q86">
        <f>IF(A86="","",COUNTIFS('30_NGAN_HANG'!$B:$B,A86,'30_NGAN_HANG'!$Y:$Y,"Approved"))</f>
        <v/>
      </c>
    </row>
    <row r="87">
      <c r="P87">
        <f>IF(A87="","",COUNTIF('30_NGAN_HANG'!$B:$B,A87))</f>
        <v/>
      </c>
      <c r="Q87">
        <f>IF(A87="","",COUNTIFS('30_NGAN_HANG'!$B:$B,A87,'30_NGAN_HANG'!$Y:$Y,"Approved"))</f>
        <v/>
      </c>
    </row>
    <row r="88">
      <c r="P88">
        <f>IF(A88="","",COUNTIF('30_NGAN_HANG'!$B:$B,A88))</f>
        <v/>
      </c>
      <c r="Q88">
        <f>IF(A88="","",COUNTIFS('30_NGAN_HANG'!$B:$B,A88,'30_NGAN_HANG'!$Y:$Y,"Approved"))</f>
        <v/>
      </c>
    </row>
    <row r="89">
      <c r="P89">
        <f>IF(A89="","",COUNTIF('30_NGAN_HANG'!$B:$B,A89))</f>
        <v/>
      </c>
      <c r="Q89">
        <f>IF(A89="","",COUNTIFS('30_NGAN_HANG'!$B:$B,A89,'30_NGAN_HANG'!$Y:$Y,"Approved"))</f>
        <v/>
      </c>
    </row>
    <row r="90">
      <c r="P90">
        <f>IF(A90="","",COUNTIF('30_NGAN_HANG'!$B:$B,A90))</f>
        <v/>
      </c>
      <c r="Q90">
        <f>IF(A90="","",COUNTIFS('30_NGAN_HANG'!$B:$B,A90,'30_NGAN_HANG'!$Y:$Y,"Approved"))</f>
        <v/>
      </c>
    </row>
    <row r="91">
      <c r="P91">
        <f>IF(A91="","",COUNTIF('30_NGAN_HANG'!$B:$B,A91))</f>
        <v/>
      </c>
      <c r="Q91">
        <f>IF(A91="","",COUNTIFS('30_NGAN_HANG'!$B:$B,A91,'30_NGAN_HANG'!$Y:$Y,"Approved"))</f>
        <v/>
      </c>
    </row>
    <row r="92">
      <c r="P92">
        <f>IF(A92="","",COUNTIF('30_NGAN_HANG'!$B:$B,A92))</f>
        <v/>
      </c>
      <c r="Q92">
        <f>IF(A92="","",COUNTIFS('30_NGAN_HANG'!$B:$B,A92,'30_NGAN_HANG'!$Y:$Y,"Approved"))</f>
        <v/>
      </c>
    </row>
    <row r="93">
      <c r="P93">
        <f>IF(A93="","",COUNTIF('30_NGAN_HANG'!$B:$B,A93))</f>
        <v/>
      </c>
      <c r="Q93">
        <f>IF(A93="","",COUNTIFS('30_NGAN_HANG'!$B:$B,A93,'30_NGAN_HANG'!$Y:$Y,"Approved"))</f>
        <v/>
      </c>
    </row>
    <row r="94">
      <c r="P94">
        <f>IF(A94="","",COUNTIF('30_NGAN_HANG'!$B:$B,A94))</f>
        <v/>
      </c>
      <c r="Q94">
        <f>IF(A94="","",COUNTIFS('30_NGAN_HANG'!$B:$B,A94,'30_NGAN_HANG'!$Y:$Y,"Approved"))</f>
        <v/>
      </c>
    </row>
    <row r="95">
      <c r="P95">
        <f>IF(A95="","",COUNTIF('30_NGAN_HANG'!$B:$B,A95))</f>
        <v/>
      </c>
      <c r="Q95">
        <f>IF(A95="","",COUNTIFS('30_NGAN_HANG'!$B:$B,A95,'30_NGAN_HANG'!$Y:$Y,"Approved"))</f>
        <v/>
      </c>
    </row>
    <row r="96">
      <c r="P96">
        <f>IF(A96="","",COUNTIF('30_NGAN_HANG'!$B:$B,A96))</f>
        <v/>
      </c>
      <c r="Q96">
        <f>IF(A96="","",COUNTIFS('30_NGAN_HANG'!$B:$B,A96,'30_NGAN_HANG'!$Y:$Y,"Approved"))</f>
        <v/>
      </c>
    </row>
    <row r="97">
      <c r="P97">
        <f>IF(A97="","",COUNTIF('30_NGAN_HANG'!$B:$B,A97))</f>
        <v/>
      </c>
      <c r="Q97">
        <f>IF(A97="","",COUNTIFS('30_NGAN_HANG'!$B:$B,A97,'30_NGAN_HANG'!$Y:$Y,"Approved"))</f>
        <v/>
      </c>
    </row>
    <row r="98">
      <c r="P98">
        <f>IF(A98="","",COUNTIF('30_NGAN_HANG'!$B:$B,A98))</f>
        <v/>
      </c>
      <c r="Q98">
        <f>IF(A98="","",COUNTIFS('30_NGAN_HANG'!$B:$B,A98,'30_NGAN_HANG'!$Y:$Y,"Approved"))</f>
        <v/>
      </c>
    </row>
    <row r="99">
      <c r="P99">
        <f>IF(A99="","",COUNTIF('30_NGAN_HANG'!$B:$B,A99))</f>
        <v/>
      </c>
      <c r="Q99">
        <f>IF(A99="","",COUNTIFS('30_NGAN_HANG'!$B:$B,A99,'30_NGAN_HANG'!$Y:$Y,"Approved"))</f>
        <v/>
      </c>
    </row>
    <row r="100">
      <c r="P100">
        <f>IF(A100="","",COUNTIF('30_NGAN_HANG'!$B:$B,A100))</f>
        <v/>
      </c>
      <c r="Q100">
        <f>IF(A100="","",COUNTIFS('30_NGAN_HANG'!$B:$B,A100,'30_NGAN_HANG'!$Y:$Y,"Approved"))</f>
        <v/>
      </c>
    </row>
    <row r="101">
      <c r="P101">
        <f>IF(A101="","",COUNTIF('30_NGAN_HANG'!$B:$B,A101))</f>
        <v/>
      </c>
      <c r="Q101">
        <f>IF(A101="","",COUNTIFS('30_NGAN_HANG'!$B:$B,A101,'30_NGAN_HANG'!$Y:$Y,"Approved"))</f>
        <v/>
      </c>
    </row>
    <row r="102">
      <c r="P102">
        <f>IF(A102="","",COUNTIF('30_NGAN_HANG'!$B:$B,A102))</f>
        <v/>
      </c>
      <c r="Q102">
        <f>IF(A102="","",COUNTIFS('30_NGAN_HANG'!$B:$B,A102,'30_NGAN_HANG'!$Y:$Y,"Approved"))</f>
        <v/>
      </c>
    </row>
    <row r="103">
      <c r="P103">
        <f>IF(A103="","",COUNTIF('30_NGAN_HANG'!$B:$B,A103))</f>
        <v/>
      </c>
      <c r="Q103">
        <f>IF(A103="","",COUNTIFS('30_NGAN_HANG'!$B:$B,A103,'30_NGAN_HANG'!$Y:$Y,"Approved"))</f>
        <v/>
      </c>
    </row>
    <row r="104">
      <c r="P104">
        <f>IF(A104="","",COUNTIF('30_NGAN_HANG'!$B:$B,A104))</f>
        <v/>
      </c>
      <c r="Q104">
        <f>IF(A104="","",COUNTIFS('30_NGAN_HANG'!$B:$B,A104,'30_NGAN_HANG'!$Y:$Y,"Approved"))</f>
        <v/>
      </c>
    </row>
    <row r="105">
      <c r="P105">
        <f>IF(A105="","",COUNTIF('30_NGAN_HANG'!$B:$B,A105))</f>
        <v/>
      </c>
      <c r="Q105">
        <f>IF(A105="","",COUNTIFS('30_NGAN_HANG'!$B:$B,A105,'30_NGAN_HANG'!$Y:$Y,"Approved"))</f>
        <v/>
      </c>
    </row>
    <row r="106">
      <c r="P106">
        <f>IF(A106="","",COUNTIF('30_NGAN_HANG'!$B:$B,A106))</f>
        <v/>
      </c>
      <c r="Q106">
        <f>IF(A106="","",COUNTIFS('30_NGAN_HANG'!$B:$B,A106,'30_NGAN_HANG'!$Y:$Y,"Approved"))</f>
        <v/>
      </c>
    </row>
    <row r="107">
      <c r="P107">
        <f>IF(A107="","",COUNTIF('30_NGAN_HANG'!$B:$B,A107))</f>
        <v/>
      </c>
      <c r="Q107">
        <f>IF(A107="","",COUNTIFS('30_NGAN_HANG'!$B:$B,A107,'30_NGAN_HANG'!$Y:$Y,"Approved"))</f>
        <v/>
      </c>
    </row>
    <row r="108">
      <c r="P108">
        <f>IF(A108="","",COUNTIF('30_NGAN_HANG'!$B:$B,A108))</f>
        <v/>
      </c>
      <c r="Q108">
        <f>IF(A108="","",COUNTIFS('30_NGAN_HANG'!$B:$B,A108,'30_NGAN_HANG'!$Y:$Y,"Approved"))</f>
        <v/>
      </c>
    </row>
    <row r="109">
      <c r="P109">
        <f>IF(A109="","",COUNTIF('30_NGAN_HANG'!$B:$B,A109))</f>
        <v/>
      </c>
      <c r="Q109">
        <f>IF(A109="","",COUNTIFS('30_NGAN_HANG'!$B:$B,A109,'30_NGAN_HANG'!$Y:$Y,"Approved"))</f>
        <v/>
      </c>
    </row>
    <row r="110">
      <c r="P110">
        <f>IF(A110="","",COUNTIF('30_NGAN_HANG'!$B:$B,A110))</f>
        <v/>
      </c>
      <c r="Q110">
        <f>IF(A110="","",COUNTIFS('30_NGAN_HANG'!$B:$B,A110,'30_NGAN_HANG'!$Y:$Y,"Approved"))</f>
        <v/>
      </c>
    </row>
    <row r="111">
      <c r="P111">
        <f>IF(A111="","",COUNTIF('30_NGAN_HANG'!$B:$B,A111))</f>
        <v/>
      </c>
      <c r="Q111">
        <f>IF(A111="","",COUNTIFS('30_NGAN_HANG'!$B:$B,A111,'30_NGAN_HANG'!$Y:$Y,"Approved"))</f>
        <v/>
      </c>
    </row>
    <row r="112">
      <c r="P112">
        <f>IF(A112="","",COUNTIF('30_NGAN_HANG'!$B:$B,A112))</f>
        <v/>
      </c>
      <c r="Q112">
        <f>IF(A112="","",COUNTIFS('30_NGAN_HANG'!$B:$B,A112,'30_NGAN_HANG'!$Y:$Y,"Approved"))</f>
        <v/>
      </c>
    </row>
    <row r="113">
      <c r="P113">
        <f>IF(A113="","",COUNTIF('30_NGAN_HANG'!$B:$B,A113))</f>
        <v/>
      </c>
      <c r="Q113">
        <f>IF(A113="","",COUNTIFS('30_NGAN_HANG'!$B:$B,A113,'30_NGAN_HANG'!$Y:$Y,"Approved"))</f>
        <v/>
      </c>
    </row>
    <row r="114">
      <c r="P114">
        <f>IF(A114="","",COUNTIF('30_NGAN_HANG'!$B:$B,A114))</f>
        <v/>
      </c>
      <c r="Q114">
        <f>IF(A114="","",COUNTIFS('30_NGAN_HANG'!$B:$B,A114,'30_NGAN_HANG'!$Y:$Y,"Approved"))</f>
        <v/>
      </c>
    </row>
    <row r="115">
      <c r="P115">
        <f>IF(A115="","",COUNTIF('30_NGAN_HANG'!$B:$B,A115))</f>
        <v/>
      </c>
      <c r="Q115">
        <f>IF(A115="","",COUNTIFS('30_NGAN_HANG'!$B:$B,A115,'30_NGAN_HANG'!$Y:$Y,"Approved"))</f>
        <v/>
      </c>
    </row>
    <row r="116">
      <c r="P116">
        <f>IF(A116="","",COUNTIF('30_NGAN_HANG'!$B:$B,A116))</f>
        <v/>
      </c>
      <c r="Q116">
        <f>IF(A116="","",COUNTIFS('30_NGAN_HANG'!$B:$B,A116,'30_NGAN_HANG'!$Y:$Y,"Approved"))</f>
        <v/>
      </c>
    </row>
    <row r="117">
      <c r="P117">
        <f>IF(A117="","",COUNTIF('30_NGAN_HANG'!$B:$B,A117))</f>
        <v/>
      </c>
      <c r="Q117">
        <f>IF(A117="","",COUNTIFS('30_NGAN_HANG'!$B:$B,A117,'30_NGAN_HANG'!$Y:$Y,"Approved"))</f>
        <v/>
      </c>
    </row>
    <row r="118">
      <c r="P118">
        <f>IF(A118="","",COUNTIF('30_NGAN_HANG'!$B:$B,A118))</f>
        <v/>
      </c>
      <c r="Q118">
        <f>IF(A118="","",COUNTIFS('30_NGAN_HANG'!$B:$B,A118,'30_NGAN_HANG'!$Y:$Y,"Approved"))</f>
        <v/>
      </c>
    </row>
    <row r="119">
      <c r="P119">
        <f>IF(A119="","",COUNTIF('30_NGAN_HANG'!$B:$B,A119))</f>
        <v/>
      </c>
      <c r="Q119">
        <f>IF(A119="","",COUNTIFS('30_NGAN_HANG'!$B:$B,A119,'30_NGAN_HANG'!$Y:$Y,"Approved"))</f>
        <v/>
      </c>
    </row>
    <row r="120">
      <c r="P120">
        <f>IF(A120="","",COUNTIF('30_NGAN_HANG'!$B:$B,A120))</f>
        <v/>
      </c>
      <c r="Q120">
        <f>IF(A120="","",COUNTIFS('30_NGAN_HANG'!$B:$B,A120,'30_NGAN_HANG'!$Y:$Y,"Approved"))</f>
        <v/>
      </c>
    </row>
    <row r="121">
      <c r="P121">
        <f>IF(A121="","",COUNTIF('30_NGAN_HANG'!$B:$B,A121))</f>
        <v/>
      </c>
      <c r="Q121">
        <f>IF(A121="","",COUNTIFS('30_NGAN_HANG'!$B:$B,A121,'30_NGAN_HANG'!$Y:$Y,"Approved"))</f>
        <v/>
      </c>
    </row>
    <row r="122">
      <c r="P122">
        <f>IF(A122="","",COUNTIF('30_NGAN_HANG'!$B:$B,A122))</f>
        <v/>
      </c>
      <c r="Q122">
        <f>IF(A122="","",COUNTIFS('30_NGAN_HANG'!$B:$B,A122,'30_NGAN_HANG'!$Y:$Y,"Approved"))</f>
        <v/>
      </c>
    </row>
    <row r="123">
      <c r="P123">
        <f>IF(A123="","",COUNTIF('30_NGAN_HANG'!$B:$B,A123))</f>
        <v/>
      </c>
      <c r="Q123">
        <f>IF(A123="","",COUNTIFS('30_NGAN_HANG'!$B:$B,A123,'30_NGAN_HANG'!$Y:$Y,"Approved"))</f>
        <v/>
      </c>
    </row>
    <row r="124">
      <c r="P124">
        <f>IF(A124="","",COUNTIF('30_NGAN_HANG'!$B:$B,A124))</f>
        <v/>
      </c>
      <c r="Q124">
        <f>IF(A124="","",COUNTIFS('30_NGAN_HANG'!$B:$B,A124,'30_NGAN_HANG'!$Y:$Y,"Approved"))</f>
        <v/>
      </c>
    </row>
    <row r="125">
      <c r="P125">
        <f>IF(A125="","",COUNTIF('30_NGAN_HANG'!$B:$B,A125))</f>
        <v/>
      </c>
      <c r="Q125">
        <f>IF(A125="","",COUNTIFS('30_NGAN_HANG'!$B:$B,A125,'30_NGAN_HANG'!$Y:$Y,"Approved"))</f>
        <v/>
      </c>
    </row>
    <row r="126">
      <c r="P126">
        <f>IF(A126="","",COUNTIF('30_NGAN_HANG'!$B:$B,A126))</f>
        <v/>
      </c>
      <c r="Q126">
        <f>IF(A126="","",COUNTIFS('30_NGAN_HANG'!$B:$B,A126,'30_NGAN_HANG'!$Y:$Y,"Approved"))</f>
        <v/>
      </c>
    </row>
    <row r="127">
      <c r="P127">
        <f>IF(A127="","",COUNTIF('30_NGAN_HANG'!$B:$B,A127))</f>
        <v/>
      </c>
      <c r="Q127">
        <f>IF(A127="","",COUNTIFS('30_NGAN_HANG'!$B:$B,A127,'30_NGAN_HANG'!$Y:$Y,"Approved"))</f>
        <v/>
      </c>
    </row>
    <row r="128">
      <c r="P128">
        <f>IF(A128="","",COUNTIF('30_NGAN_HANG'!$B:$B,A128))</f>
        <v/>
      </c>
      <c r="Q128">
        <f>IF(A128="","",COUNTIFS('30_NGAN_HANG'!$B:$B,A128,'30_NGAN_HANG'!$Y:$Y,"Approved"))</f>
        <v/>
      </c>
    </row>
    <row r="129">
      <c r="P129">
        <f>IF(A129="","",COUNTIF('30_NGAN_HANG'!$B:$B,A129))</f>
        <v/>
      </c>
      <c r="Q129">
        <f>IF(A129="","",COUNTIFS('30_NGAN_HANG'!$B:$B,A129,'30_NGAN_HANG'!$Y:$Y,"Approved"))</f>
        <v/>
      </c>
    </row>
    <row r="130">
      <c r="P130">
        <f>IF(A130="","",COUNTIF('30_NGAN_HANG'!$B:$B,A130))</f>
        <v/>
      </c>
      <c r="Q130">
        <f>IF(A130="","",COUNTIFS('30_NGAN_HANG'!$B:$B,A130,'30_NGAN_HANG'!$Y:$Y,"Approved"))</f>
        <v/>
      </c>
    </row>
    <row r="131">
      <c r="P131">
        <f>IF(A131="","",COUNTIF('30_NGAN_HANG'!$B:$B,A131))</f>
        <v/>
      </c>
      <c r="Q131">
        <f>IF(A131="","",COUNTIFS('30_NGAN_HANG'!$B:$B,A131,'30_NGAN_HANG'!$Y:$Y,"Approved"))</f>
        <v/>
      </c>
    </row>
    <row r="132">
      <c r="P132">
        <f>IF(A132="","",COUNTIF('30_NGAN_HANG'!$B:$B,A132))</f>
        <v/>
      </c>
      <c r="Q132">
        <f>IF(A132="","",COUNTIFS('30_NGAN_HANG'!$B:$B,A132,'30_NGAN_HANG'!$Y:$Y,"Approved"))</f>
        <v/>
      </c>
    </row>
    <row r="133">
      <c r="P133">
        <f>IF(A133="","",COUNTIF('30_NGAN_HANG'!$B:$B,A133))</f>
        <v/>
      </c>
      <c r="Q133">
        <f>IF(A133="","",COUNTIFS('30_NGAN_HANG'!$B:$B,A133,'30_NGAN_HANG'!$Y:$Y,"Approved"))</f>
        <v/>
      </c>
    </row>
    <row r="134">
      <c r="P134">
        <f>IF(A134="","",COUNTIF('30_NGAN_HANG'!$B:$B,A134))</f>
        <v/>
      </c>
      <c r="Q134">
        <f>IF(A134="","",COUNTIFS('30_NGAN_HANG'!$B:$B,A134,'30_NGAN_HANG'!$Y:$Y,"Approved"))</f>
        <v/>
      </c>
    </row>
    <row r="135">
      <c r="P135">
        <f>IF(A135="","",COUNTIF('30_NGAN_HANG'!$B:$B,A135))</f>
        <v/>
      </c>
      <c r="Q135">
        <f>IF(A135="","",COUNTIFS('30_NGAN_HANG'!$B:$B,A135,'30_NGAN_HANG'!$Y:$Y,"Approved"))</f>
        <v/>
      </c>
    </row>
    <row r="136">
      <c r="P136">
        <f>IF(A136="","",COUNTIF('30_NGAN_HANG'!$B:$B,A136))</f>
        <v/>
      </c>
      <c r="Q136">
        <f>IF(A136="","",COUNTIFS('30_NGAN_HANG'!$B:$B,A136,'30_NGAN_HANG'!$Y:$Y,"Approved"))</f>
        <v/>
      </c>
    </row>
    <row r="137">
      <c r="P137">
        <f>IF(A137="","",COUNTIF('30_NGAN_HANG'!$B:$B,A137))</f>
        <v/>
      </c>
      <c r="Q137">
        <f>IF(A137="","",COUNTIFS('30_NGAN_HANG'!$B:$B,A137,'30_NGAN_HANG'!$Y:$Y,"Approved"))</f>
        <v/>
      </c>
    </row>
    <row r="138">
      <c r="P138">
        <f>IF(A138="","",COUNTIF('30_NGAN_HANG'!$B:$B,A138))</f>
        <v/>
      </c>
      <c r="Q138">
        <f>IF(A138="","",COUNTIFS('30_NGAN_HANG'!$B:$B,A138,'30_NGAN_HANG'!$Y:$Y,"Approved"))</f>
        <v/>
      </c>
    </row>
    <row r="139">
      <c r="P139">
        <f>IF(A139="","",COUNTIF('30_NGAN_HANG'!$B:$B,A139))</f>
        <v/>
      </c>
      <c r="Q139">
        <f>IF(A139="","",COUNTIFS('30_NGAN_HANG'!$B:$B,A139,'30_NGAN_HANG'!$Y:$Y,"Approved"))</f>
        <v/>
      </c>
    </row>
    <row r="140">
      <c r="P140">
        <f>IF(A140="","",COUNTIF('30_NGAN_HANG'!$B:$B,A140))</f>
        <v/>
      </c>
      <c r="Q140">
        <f>IF(A140="","",COUNTIFS('30_NGAN_HANG'!$B:$B,A140,'30_NGAN_HANG'!$Y:$Y,"Approved"))</f>
        <v/>
      </c>
    </row>
    <row r="141">
      <c r="P141">
        <f>IF(A141="","",COUNTIF('30_NGAN_HANG'!$B:$B,A141))</f>
        <v/>
      </c>
      <c r="Q141">
        <f>IF(A141="","",COUNTIFS('30_NGAN_HANG'!$B:$B,A141,'30_NGAN_HANG'!$Y:$Y,"Approved"))</f>
        <v/>
      </c>
    </row>
    <row r="142">
      <c r="P142">
        <f>IF(A142="","",COUNTIF('30_NGAN_HANG'!$B:$B,A142))</f>
        <v/>
      </c>
      <c r="Q142">
        <f>IF(A142="","",COUNTIFS('30_NGAN_HANG'!$B:$B,A142,'30_NGAN_HANG'!$Y:$Y,"Approved"))</f>
        <v/>
      </c>
    </row>
    <row r="143">
      <c r="P143">
        <f>IF(A143="","",COUNTIF('30_NGAN_HANG'!$B:$B,A143))</f>
        <v/>
      </c>
      <c r="Q143">
        <f>IF(A143="","",COUNTIFS('30_NGAN_HANG'!$B:$B,A143,'30_NGAN_HANG'!$Y:$Y,"Approved"))</f>
        <v/>
      </c>
    </row>
    <row r="144">
      <c r="P144">
        <f>IF(A144="","",COUNTIF('30_NGAN_HANG'!$B:$B,A144))</f>
        <v/>
      </c>
      <c r="Q144">
        <f>IF(A144="","",COUNTIFS('30_NGAN_HANG'!$B:$B,A144,'30_NGAN_HANG'!$Y:$Y,"Approved"))</f>
        <v/>
      </c>
    </row>
    <row r="145">
      <c r="P145">
        <f>IF(A145="","",COUNTIF('30_NGAN_HANG'!$B:$B,A145))</f>
        <v/>
      </c>
      <c r="Q145">
        <f>IF(A145="","",COUNTIFS('30_NGAN_HANG'!$B:$B,A145,'30_NGAN_HANG'!$Y:$Y,"Approved"))</f>
        <v/>
      </c>
    </row>
    <row r="146">
      <c r="P146">
        <f>IF(A146="","",COUNTIF('30_NGAN_HANG'!$B:$B,A146))</f>
        <v/>
      </c>
      <c r="Q146">
        <f>IF(A146="","",COUNTIFS('30_NGAN_HANG'!$B:$B,A146,'30_NGAN_HANG'!$Y:$Y,"Approved"))</f>
        <v/>
      </c>
    </row>
    <row r="147">
      <c r="P147">
        <f>IF(A147="","",COUNTIF('30_NGAN_HANG'!$B:$B,A147))</f>
        <v/>
      </c>
      <c r="Q147">
        <f>IF(A147="","",COUNTIFS('30_NGAN_HANG'!$B:$B,A147,'30_NGAN_HANG'!$Y:$Y,"Approved"))</f>
        <v/>
      </c>
    </row>
    <row r="148">
      <c r="P148">
        <f>IF(A148="","",COUNTIF('30_NGAN_HANG'!$B:$B,A148))</f>
        <v/>
      </c>
      <c r="Q148">
        <f>IF(A148="","",COUNTIFS('30_NGAN_HANG'!$B:$B,A148,'30_NGAN_HANG'!$Y:$Y,"Approved"))</f>
        <v/>
      </c>
    </row>
    <row r="149">
      <c r="P149">
        <f>IF(A149="","",COUNTIF('30_NGAN_HANG'!$B:$B,A149))</f>
        <v/>
      </c>
      <c r="Q149">
        <f>IF(A149="","",COUNTIFS('30_NGAN_HANG'!$B:$B,A149,'30_NGAN_HANG'!$Y:$Y,"Approved"))</f>
        <v/>
      </c>
    </row>
    <row r="150">
      <c r="P150">
        <f>IF(A150="","",COUNTIF('30_NGAN_HANG'!$B:$B,A150))</f>
        <v/>
      </c>
      <c r="Q150">
        <f>IF(A150="","",COUNTIFS('30_NGAN_HANG'!$B:$B,A150,'30_NGAN_HANG'!$Y:$Y,"Approved"))</f>
        <v/>
      </c>
    </row>
    <row r="151">
      <c r="P151">
        <f>IF(A151="","",COUNTIF('30_NGAN_HANG'!$B:$B,A151))</f>
        <v/>
      </c>
      <c r="Q151">
        <f>IF(A151="","",COUNTIFS('30_NGAN_HANG'!$B:$B,A151,'30_NGAN_HANG'!$Y:$Y,"Approved"))</f>
        <v/>
      </c>
    </row>
    <row r="152">
      <c r="P152">
        <f>IF(A152="","",COUNTIF('30_NGAN_HANG'!$B:$B,A152))</f>
        <v/>
      </c>
      <c r="Q152">
        <f>IF(A152="","",COUNTIFS('30_NGAN_HANG'!$B:$B,A152,'30_NGAN_HANG'!$Y:$Y,"Approved"))</f>
        <v/>
      </c>
    </row>
    <row r="153">
      <c r="P153">
        <f>IF(A153="","",COUNTIF('30_NGAN_HANG'!$B:$B,A153))</f>
        <v/>
      </c>
      <c r="Q153">
        <f>IF(A153="","",COUNTIFS('30_NGAN_HANG'!$B:$B,A153,'30_NGAN_HANG'!$Y:$Y,"Approved"))</f>
        <v/>
      </c>
    </row>
    <row r="154">
      <c r="P154">
        <f>IF(A154="","",COUNTIF('30_NGAN_HANG'!$B:$B,A154))</f>
        <v/>
      </c>
      <c r="Q154">
        <f>IF(A154="","",COUNTIFS('30_NGAN_HANG'!$B:$B,A154,'30_NGAN_HANG'!$Y:$Y,"Approved"))</f>
        <v/>
      </c>
    </row>
    <row r="155">
      <c r="P155">
        <f>IF(A155="","",COUNTIF('30_NGAN_HANG'!$B:$B,A155))</f>
        <v/>
      </c>
      <c r="Q155">
        <f>IF(A155="","",COUNTIFS('30_NGAN_HANG'!$B:$B,A155,'30_NGAN_HANG'!$Y:$Y,"Approved"))</f>
        <v/>
      </c>
    </row>
    <row r="156">
      <c r="P156">
        <f>IF(A156="","",COUNTIF('30_NGAN_HANG'!$B:$B,A156))</f>
        <v/>
      </c>
      <c r="Q156">
        <f>IF(A156="","",COUNTIFS('30_NGAN_HANG'!$B:$B,A156,'30_NGAN_HANG'!$Y:$Y,"Approved"))</f>
        <v/>
      </c>
    </row>
    <row r="157">
      <c r="P157">
        <f>IF(A157="","",COUNTIF('30_NGAN_HANG'!$B:$B,A157))</f>
        <v/>
      </c>
      <c r="Q157">
        <f>IF(A157="","",COUNTIFS('30_NGAN_HANG'!$B:$B,A157,'30_NGAN_HANG'!$Y:$Y,"Approved"))</f>
        <v/>
      </c>
    </row>
    <row r="158">
      <c r="P158">
        <f>IF(A158="","",COUNTIF('30_NGAN_HANG'!$B:$B,A158))</f>
        <v/>
      </c>
      <c r="Q158">
        <f>IF(A158="","",COUNTIFS('30_NGAN_HANG'!$B:$B,A158,'30_NGAN_HANG'!$Y:$Y,"Approved"))</f>
        <v/>
      </c>
    </row>
    <row r="159">
      <c r="P159">
        <f>IF(A159="","",COUNTIF('30_NGAN_HANG'!$B:$B,A159))</f>
        <v/>
      </c>
      <c r="Q159">
        <f>IF(A159="","",COUNTIFS('30_NGAN_HANG'!$B:$B,A159,'30_NGAN_HANG'!$Y:$Y,"Approved"))</f>
        <v/>
      </c>
    </row>
    <row r="160">
      <c r="P160">
        <f>IF(A160="","",COUNTIF('30_NGAN_HANG'!$B:$B,A160))</f>
        <v/>
      </c>
      <c r="Q160">
        <f>IF(A160="","",COUNTIFS('30_NGAN_HANG'!$B:$B,A160,'30_NGAN_HANG'!$Y:$Y,"Approved"))</f>
        <v/>
      </c>
    </row>
    <row r="161">
      <c r="P161">
        <f>IF(A161="","",COUNTIF('30_NGAN_HANG'!$B:$B,A161))</f>
        <v/>
      </c>
      <c r="Q161">
        <f>IF(A161="","",COUNTIFS('30_NGAN_HANG'!$B:$B,A161,'30_NGAN_HANG'!$Y:$Y,"Approved"))</f>
        <v/>
      </c>
    </row>
    <row r="162">
      <c r="P162">
        <f>IF(A162="","",COUNTIF('30_NGAN_HANG'!$B:$B,A162))</f>
        <v/>
      </c>
      <c r="Q162">
        <f>IF(A162="","",COUNTIFS('30_NGAN_HANG'!$B:$B,A162,'30_NGAN_HANG'!$Y:$Y,"Approved"))</f>
        <v/>
      </c>
    </row>
    <row r="163">
      <c r="P163">
        <f>IF(A163="","",COUNTIF('30_NGAN_HANG'!$B:$B,A163))</f>
        <v/>
      </c>
      <c r="Q163">
        <f>IF(A163="","",COUNTIFS('30_NGAN_HANG'!$B:$B,A163,'30_NGAN_HANG'!$Y:$Y,"Approved"))</f>
        <v/>
      </c>
    </row>
    <row r="164">
      <c r="P164">
        <f>IF(A164="","",COUNTIF('30_NGAN_HANG'!$B:$B,A164))</f>
        <v/>
      </c>
      <c r="Q164">
        <f>IF(A164="","",COUNTIFS('30_NGAN_HANG'!$B:$B,A164,'30_NGAN_HANG'!$Y:$Y,"Approved"))</f>
        <v/>
      </c>
    </row>
    <row r="165">
      <c r="P165">
        <f>IF(A165="","",COUNTIF('30_NGAN_HANG'!$B:$B,A165))</f>
        <v/>
      </c>
      <c r="Q165">
        <f>IF(A165="","",COUNTIFS('30_NGAN_HANG'!$B:$B,A165,'30_NGAN_HANG'!$Y:$Y,"Approved"))</f>
        <v/>
      </c>
    </row>
    <row r="166">
      <c r="P166">
        <f>IF(A166="","",COUNTIF('30_NGAN_HANG'!$B:$B,A166))</f>
        <v/>
      </c>
      <c r="Q166">
        <f>IF(A166="","",COUNTIFS('30_NGAN_HANG'!$B:$B,A166,'30_NGAN_HANG'!$Y:$Y,"Approved"))</f>
        <v/>
      </c>
    </row>
    <row r="167">
      <c r="P167">
        <f>IF(A167="","",COUNTIF('30_NGAN_HANG'!$B:$B,A167))</f>
        <v/>
      </c>
      <c r="Q167">
        <f>IF(A167="","",COUNTIFS('30_NGAN_HANG'!$B:$B,A167,'30_NGAN_HANG'!$Y:$Y,"Approved"))</f>
        <v/>
      </c>
    </row>
    <row r="168">
      <c r="P168">
        <f>IF(A168="","",COUNTIF('30_NGAN_HANG'!$B:$B,A168))</f>
        <v/>
      </c>
      <c r="Q168">
        <f>IF(A168="","",COUNTIFS('30_NGAN_HANG'!$B:$B,A168,'30_NGAN_HANG'!$Y:$Y,"Approved"))</f>
        <v/>
      </c>
    </row>
    <row r="169">
      <c r="P169">
        <f>IF(A169="","",COUNTIF('30_NGAN_HANG'!$B:$B,A169))</f>
        <v/>
      </c>
      <c r="Q169">
        <f>IF(A169="","",COUNTIFS('30_NGAN_HANG'!$B:$B,A169,'30_NGAN_HANG'!$Y:$Y,"Approved"))</f>
        <v/>
      </c>
    </row>
    <row r="170">
      <c r="P170">
        <f>IF(A170="","",COUNTIF('30_NGAN_HANG'!$B:$B,A170))</f>
        <v/>
      </c>
      <c r="Q170">
        <f>IF(A170="","",COUNTIFS('30_NGAN_HANG'!$B:$B,A170,'30_NGAN_HANG'!$Y:$Y,"Approved"))</f>
        <v/>
      </c>
    </row>
    <row r="171">
      <c r="P171">
        <f>IF(A171="","",COUNTIF('30_NGAN_HANG'!$B:$B,A171))</f>
        <v/>
      </c>
      <c r="Q171">
        <f>IF(A171="","",COUNTIFS('30_NGAN_HANG'!$B:$B,A171,'30_NGAN_HANG'!$Y:$Y,"Approved"))</f>
        <v/>
      </c>
    </row>
    <row r="172">
      <c r="P172">
        <f>IF(A172="","",COUNTIF('30_NGAN_HANG'!$B:$B,A172))</f>
        <v/>
      </c>
      <c r="Q172">
        <f>IF(A172="","",COUNTIFS('30_NGAN_HANG'!$B:$B,A172,'30_NGAN_HANG'!$Y:$Y,"Approved"))</f>
        <v/>
      </c>
    </row>
    <row r="173">
      <c r="P173">
        <f>IF(A173="","",COUNTIF('30_NGAN_HANG'!$B:$B,A173))</f>
        <v/>
      </c>
      <c r="Q173">
        <f>IF(A173="","",COUNTIFS('30_NGAN_HANG'!$B:$B,A173,'30_NGAN_HANG'!$Y:$Y,"Approved"))</f>
        <v/>
      </c>
    </row>
    <row r="174">
      <c r="P174">
        <f>IF(A174="","",COUNTIF('30_NGAN_HANG'!$B:$B,A174))</f>
        <v/>
      </c>
      <c r="Q174">
        <f>IF(A174="","",COUNTIFS('30_NGAN_HANG'!$B:$B,A174,'30_NGAN_HANG'!$Y:$Y,"Approved"))</f>
        <v/>
      </c>
    </row>
    <row r="175">
      <c r="P175">
        <f>IF(A175="","",COUNTIF('30_NGAN_HANG'!$B:$B,A175))</f>
        <v/>
      </c>
      <c r="Q175">
        <f>IF(A175="","",COUNTIFS('30_NGAN_HANG'!$B:$B,A175,'30_NGAN_HANG'!$Y:$Y,"Approved"))</f>
        <v/>
      </c>
    </row>
    <row r="176">
      <c r="P176">
        <f>IF(A176="","",COUNTIF('30_NGAN_HANG'!$B:$B,A176))</f>
        <v/>
      </c>
      <c r="Q176">
        <f>IF(A176="","",COUNTIFS('30_NGAN_HANG'!$B:$B,A176,'30_NGAN_HANG'!$Y:$Y,"Approved"))</f>
        <v/>
      </c>
    </row>
    <row r="177">
      <c r="P177">
        <f>IF(A177="","",COUNTIF('30_NGAN_HANG'!$B:$B,A177))</f>
        <v/>
      </c>
      <c r="Q177">
        <f>IF(A177="","",COUNTIFS('30_NGAN_HANG'!$B:$B,A177,'30_NGAN_HANG'!$Y:$Y,"Approved"))</f>
        <v/>
      </c>
    </row>
    <row r="178">
      <c r="P178">
        <f>IF(A178="","",COUNTIF('30_NGAN_HANG'!$B:$B,A178))</f>
        <v/>
      </c>
      <c r="Q178">
        <f>IF(A178="","",COUNTIFS('30_NGAN_HANG'!$B:$B,A178,'30_NGAN_HANG'!$Y:$Y,"Approved"))</f>
        <v/>
      </c>
    </row>
    <row r="179">
      <c r="P179">
        <f>IF(A179="","",COUNTIF('30_NGAN_HANG'!$B:$B,A179))</f>
        <v/>
      </c>
      <c r="Q179">
        <f>IF(A179="","",COUNTIFS('30_NGAN_HANG'!$B:$B,A179,'30_NGAN_HANG'!$Y:$Y,"Approved"))</f>
        <v/>
      </c>
    </row>
    <row r="180">
      <c r="P180">
        <f>IF(A180="","",COUNTIF('30_NGAN_HANG'!$B:$B,A180))</f>
        <v/>
      </c>
      <c r="Q180">
        <f>IF(A180="","",COUNTIFS('30_NGAN_HANG'!$B:$B,A180,'30_NGAN_HANG'!$Y:$Y,"Approved"))</f>
        <v/>
      </c>
    </row>
    <row r="181">
      <c r="P181">
        <f>IF(A181="","",COUNTIF('30_NGAN_HANG'!$B:$B,A181))</f>
        <v/>
      </c>
      <c r="Q181">
        <f>IF(A181="","",COUNTIFS('30_NGAN_HANG'!$B:$B,A181,'30_NGAN_HANG'!$Y:$Y,"Approved"))</f>
        <v/>
      </c>
    </row>
    <row r="182">
      <c r="P182">
        <f>IF(A182="","",COUNTIF('30_NGAN_HANG'!$B:$B,A182))</f>
        <v/>
      </c>
      <c r="Q182">
        <f>IF(A182="","",COUNTIFS('30_NGAN_HANG'!$B:$B,A182,'30_NGAN_HANG'!$Y:$Y,"Approved"))</f>
        <v/>
      </c>
    </row>
    <row r="183">
      <c r="P183">
        <f>IF(A183="","",COUNTIF('30_NGAN_HANG'!$B:$B,A183))</f>
        <v/>
      </c>
      <c r="Q183">
        <f>IF(A183="","",COUNTIFS('30_NGAN_HANG'!$B:$B,A183,'30_NGAN_HANG'!$Y:$Y,"Approved"))</f>
        <v/>
      </c>
    </row>
    <row r="184">
      <c r="P184">
        <f>IF(A184="","",COUNTIF('30_NGAN_HANG'!$B:$B,A184))</f>
        <v/>
      </c>
      <c r="Q184">
        <f>IF(A184="","",COUNTIFS('30_NGAN_HANG'!$B:$B,A184,'30_NGAN_HANG'!$Y:$Y,"Approved"))</f>
        <v/>
      </c>
    </row>
    <row r="185">
      <c r="P185">
        <f>IF(A185="","",COUNTIF('30_NGAN_HANG'!$B:$B,A185))</f>
        <v/>
      </c>
      <c r="Q185">
        <f>IF(A185="","",COUNTIFS('30_NGAN_HANG'!$B:$B,A185,'30_NGAN_HANG'!$Y:$Y,"Approved"))</f>
        <v/>
      </c>
    </row>
    <row r="186">
      <c r="P186">
        <f>IF(A186="","",COUNTIF('30_NGAN_HANG'!$B:$B,A186))</f>
        <v/>
      </c>
      <c r="Q186">
        <f>IF(A186="","",COUNTIFS('30_NGAN_HANG'!$B:$B,A186,'30_NGAN_HANG'!$Y:$Y,"Approved"))</f>
        <v/>
      </c>
    </row>
    <row r="187">
      <c r="P187">
        <f>IF(A187="","",COUNTIF('30_NGAN_HANG'!$B:$B,A187))</f>
        <v/>
      </c>
      <c r="Q187">
        <f>IF(A187="","",COUNTIFS('30_NGAN_HANG'!$B:$B,A187,'30_NGAN_HANG'!$Y:$Y,"Approved"))</f>
        <v/>
      </c>
    </row>
    <row r="188">
      <c r="P188">
        <f>IF(A188="","",COUNTIF('30_NGAN_HANG'!$B:$B,A188))</f>
        <v/>
      </c>
      <c r="Q188">
        <f>IF(A188="","",COUNTIFS('30_NGAN_HANG'!$B:$B,A188,'30_NGAN_HANG'!$Y:$Y,"Approved"))</f>
        <v/>
      </c>
    </row>
    <row r="189">
      <c r="P189">
        <f>IF(A189="","",COUNTIF('30_NGAN_HANG'!$B:$B,A189))</f>
        <v/>
      </c>
      <c r="Q189">
        <f>IF(A189="","",COUNTIFS('30_NGAN_HANG'!$B:$B,A189,'30_NGAN_HANG'!$Y:$Y,"Approved"))</f>
        <v/>
      </c>
    </row>
    <row r="190">
      <c r="P190">
        <f>IF(A190="","",COUNTIF('30_NGAN_HANG'!$B:$B,A190))</f>
        <v/>
      </c>
      <c r="Q190">
        <f>IF(A190="","",COUNTIFS('30_NGAN_HANG'!$B:$B,A190,'30_NGAN_HANG'!$Y:$Y,"Approved"))</f>
        <v/>
      </c>
    </row>
    <row r="191">
      <c r="P191">
        <f>IF(A191="","",COUNTIF('30_NGAN_HANG'!$B:$B,A191))</f>
        <v/>
      </c>
      <c r="Q191">
        <f>IF(A191="","",COUNTIFS('30_NGAN_HANG'!$B:$B,A191,'30_NGAN_HANG'!$Y:$Y,"Approved"))</f>
        <v/>
      </c>
    </row>
    <row r="192">
      <c r="P192">
        <f>IF(A192="","",COUNTIF('30_NGAN_HANG'!$B:$B,A192))</f>
        <v/>
      </c>
      <c r="Q192">
        <f>IF(A192="","",COUNTIFS('30_NGAN_HANG'!$B:$B,A192,'30_NGAN_HANG'!$Y:$Y,"Approved"))</f>
        <v/>
      </c>
    </row>
    <row r="193">
      <c r="P193">
        <f>IF(A193="","",COUNTIF('30_NGAN_HANG'!$B:$B,A193))</f>
        <v/>
      </c>
      <c r="Q193">
        <f>IF(A193="","",COUNTIFS('30_NGAN_HANG'!$B:$B,A193,'30_NGAN_HANG'!$Y:$Y,"Approved"))</f>
        <v/>
      </c>
    </row>
    <row r="194">
      <c r="P194">
        <f>IF(A194="","",COUNTIF('30_NGAN_HANG'!$B:$B,A194))</f>
        <v/>
      </c>
      <c r="Q194">
        <f>IF(A194="","",COUNTIFS('30_NGAN_HANG'!$B:$B,A194,'30_NGAN_HANG'!$Y:$Y,"Approved"))</f>
        <v/>
      </c>
    </row>
    <row r="195">
      <c r="P195">
        <f>IF(A195="","",COUNTIF('30_NGAN_HANG'!$B:$B,A195))</f>
        <v/>
      </c>
      <c r="Q195">
        <f>IF(A195="","",COUNTIFS('30_NGAN_HANG'!$B:$B,A195,'30_NGAN_HANG'!$Y:$Y,"Approved"))</f>
        <v/>
      </c>
    </row>
    <row r="196">
      <c r="P196">
        <f>IF(A196="","",COUNTIF('30_NGAN_HANG'!$B:$B,A196))</f>
        <v/>
      </c>
      <c r="Q196">
        <f>IF(A196="","",COUNTIFS('30_NGAN_HANG'!$B:$B,A196,'30_NGAN_HANG'!$Y:$Y,"Approved"))</f>
        <v/>
      </c>
    </row>
    <row r="197">
      <c r="P197">
        <f>IF(A197="","",COUNTIF('30_NGAN_HANG'!$B:$B,A197))</f>
        <v/>
      </c>
      <c r="Q197">
        <f>IF(A197="","",COUNTIFS('30_NGAN_HANG'!$B:$B,A197,'30_NGAN_HANG'!$Y:$Y,"Approved"))</f>
        <v/>
      </c>
    </row>
    <row r="198">
      <c r="P198">
        <f>IF(A198="","",COUNTIF('30_NGAN_HANG'!$B:$B,A198))</f>
        <v/>
      </c>
      <c r="Q198">
        <f>IF(A198="","",COUNTIFS('30_NGAN_HANG'!$B:$B,A198,'30_NGAN_HANG'!$Y:$Y,"Approved"))</f>
        <v/>
      </c>
    </row>
    <row r="199">
      <c r="P199">
        <f>IF(A199="","",COUNTIF('30_NGAN_HANG'!$B:$B,A199))</f>
        <v/>
      </c>
      <c r="Q199">
        <f>IF(A199="","",COUNTIFS('30_NGAN_HANG'!$B:$B,A199,'30_NGAN_HANG'!$Y:$Y,"Approved"))</f>
        <v/>
      </c>
    </row>
    <row r="200">
      <c r="P200">
        <f>IF(A200="","",COUNTIF('30_NGAN_HANG'!$B:$B,A200))</f>
        <v/>
      </c>
      <c r="Q200">
        <f>IF(A200="","",COUNTIFS('30_NGAN_HANG'!$B:$B,A200,'30_NGAN_HANG'!$Y:$Y,"Approved"))</f>
        <v/>
      </c>
    </row>
    <row r="201">
      <c r="P201">
        <f>IF(A201="","",COUNTIF('30_NGAN_HANG'!$B:$B,A201))</f>
        <v/>
      </c>
      <c r="Q201">
        <f>IF(A201="","",COUNTIFS('30_NGAN_HANG'!$B:$B,A201,'30_NGAN_HANG'!$Y:$Y,"Approved"))</f>
        <v/>
      </c>
    </row>
    <row r="202">
      <c r="P202">
        <f>IF(A202="","",COUNTIF('30_NGAN_HANG'!$B:$B,A202))</f>
        <v/>
      </c>
      <c r="Q202">
        <f>IF(A202="","",COUNTIFS('30_NGAN_HANG'!$B:$B,A202,'30_NGAN_HANG'!$Y:$Y,"Approved"))</f>
        <v/>
      </c>
    </row>
    <row r="203">
      <c r="P203">
        <f>IF(A203="","",COUNTIF('30_NGAN_HANG'!$B:$B,A203))</f>
        <v/>
      </c>
      <c r="Q203">
        <f>IF(A203="","",COUNTIFS('30_NGAN_HANG'!$B:$B,A203,'30_NGAN_HANG'!$Y:$Y,"Approved"))</f>
        <v/>
      </c>
    </row>
    <row r="204">
      <c r="P204">
        <f>IF(A204="","",COUNTIF('30_NGAN_HANG'!$B:$B,A204))</f>
        <v/>
      </c>
      <c r="Q204">
        <f>IF(A204="","",COUNTIFS('30_NGAN_HANG'!$B:$B,A204,'30_NGAN_HANG'!$Y:$Y,"Approved"))</f>
        <v/>
      </c>
    </row>
    <row r="205">
      <c r="P205">
        <f>IF(A205="","",COUNTIF('30_NGAN_HANG'!$B:$B,A205))</f>
        <v/>
      </c>
      <c r="Q205">
        <f>IF(A205="","",COUNTIFS('30_NGAN_HANG'!$B:$B,A205,'30_NGAN_HANG'!$Y:$Y,"Approved"))</f>
        <v/>
      </c>
    </row>
    <row r="206">
      <c r="P206">
        <f>IF(A206="","",COUNTIF('30_NGAN_HANG'!$B:$B,A206))</f>
        <v/>
      </c>
      <c r="Q206">
        <f>IF(A206="","",COUNTIFS('30_NGAN_HANG'!$B:$B,A206,'30_NGAN_HANG'!$Y:$Y,"Approved"))</f>
        <v/>
      </c>
    </row>
    <row r="207">
      <c r="P207">
        <f>IF(A207="","",COUNTIF('30_NGAN_HANG'!$B:$B,A207))</f>
        <v/>
      </c>
      <c r="Q207">
        <f>IF(A207="","",COUNTIFS('30_NGAN_HANG'!$B:$B,A207,'30_NGAN_HANG'!$Y:$Y,"Approved"))</f>
        <v/>
      </c>
    </row>
    <row r="208">
      <c r="P208">
        <f>IF(A208="","",COUNTIF('30_NGAN_HANG'!$B:$B,A208))</f>
        <v/>
      </c>
      <c r="Q208">
        <f>IF(A208="","",COUNTIFS('30_NGAN_HANG'!$B:$B,A208,'30_NGAN_HANG'!$Y:$Y,"Approved"))</f>
        <v/>
      </c>
    </row>
    <row r="209">
      <c r="P209">
        <f>IF(A209="","",COUNTIF('30_NGAN_HANG'!$B:$B,A209))</f>
        <v/>
      </c>
      <c r="Q209">
        <f>IF(A209="","",COUNTIFS('30_NGAN_HANG'!$B:$B,A209,'30_NGAN_HANG'!$Y:$Y,"Approved"))</f>
        <v/>
      </c>
    </row>
    <row r="210">
      <c r="P210">
        <f>IF(A210="","",COUNTIF('30_NGAN_HANG'!$B:$B,A210))</f>
        <v/>
      </c>
      <c r="Q210">
        <f>IF(A210="","",COUNTIFS('30_NGAN_HANG'!$B:$B,A210,'30_NGAN_HANG'!$Y:$Y,"Approved"))</f>
        <v/>
      </c>
    </row>
    <row r="211">
      <c r="P211">
        <f>IF(A211="","",COUNTIF('30_NGAN_HANG'!$B:$B,A211))</f>
        <v/>
      </c>
      <c r="Q211">
        <f>IF(A211="","",COUNTIFS('30_NGAN_HANG'!$B:$B,A211,'30_NGAN_HANG'!$Y:$Y,"Approved"))</f>
        <v/>
      </c>
    </row>
    <row r="212">
      <c r="P212">
        <f>IF(A212="","",COUNTIF('30_NGAN_HANG'!$B:$B,A212))</f>
        <v/>
      </c>
      <c r="Q212">
        <f>IF(A212="","",COUNTIFS('30_NGAN_HANG'!$B:$B,A212,'30_NGAN_HANG'!$Y:$Y,"Approved"))</f>
        <v/>
      </c>
    </row>
    <row r="213">
      <c r="P213">
        <f>IF(A213="","",COUNTIF('30_NGAN_HANG'!$B:$B,A213))</f>
        <v/>
      </c>
      <c r="Q213">
        <f>IF(A213="","",COUNTIFS('30_NGAN_HANG'!$B:$B,A213,'30_NGAN_HANG'!$Y:$Y,"Approved"))</f>
        <v/>
      </c>
    </row>
    <row r="214">
      <c r="P214">
        <f>IF(A214="","",COUNTIF('30_NGAN_HANG'!$B:$B,A214))</f>
        <v/>
      </c>
      <c r="Q214">
        <f>IF(A214="","",COUNTIFS('30_NGAN_HANG'!$B:$B,A214,'30_NGAN_HANG'!$Y:$Y,"Approved"))</f>
        <v/>
      </c>
    </row>
    <row r="215">
      <c r="P215">
        <f>IF(A215="","",COUNTIF('30_NGAN_HANG'!$B:$B,A215))</f>
        <v/>
      </c>
      <c r="Q215">
        <f>IF(A215="","",COUNTIFS('30_NGAN_HANG'!$B:$B,A215,'30_NGAN_HANG'!$Y:$Y,"Approved"))</f>
        <v/>
      </c>
    </row>
    <row r="216">
      <c r="P216">
        <f>IF(A216="","",COUNTIF('30_NGAN_HANG'!$B:$B,A216))</f>
        <v/>
      </c>
      <c r="Q216">
        <f>IF(A216="","",COUNTIFS('30_NGAN_HANG'!$B:$B,A216,'30_NGAN_HANG'!$Y:$Y,"Approved"))</f>
        <v/>
      </c>
    </row>
    <row r="217">
      <c r="P217">
        <f>IF(A217="","",COUNTIF('30_NGAN_HANG'!$B:$B,A217))</f>
        <v/>
      </c>
      <c r="Q217">
        <f>IF(A217="","",COUNTIFS('30_NGAN_HANG'!$B:$B,A217,'30_NGAN_HANG'!$Y:$Y,"Approved"))</f>
        <v/>
      </c>
    </row>
    <row r="218">
      <c r="P218">
        <f>IF(A218="","",COUNTIF('30_NGAN_HANG'!$B:$B,A218))</f>
        <v/>
      </c>
      <c r="Q218">
        <f>IF(A218="","",COUNTIFS('30_NGAN_HANG'!$B:$B,A218,'30_NGAN_HANG'!$Y:$Y,"Approved"))</f>
        <v/>
      </c>
    </row>
    <row r="219">
      <c r="P219">
        <f>IF(A219="","",COUNTIF('30_NGAN_HANG'!$B:$B,A219))</f>
        <v/>
      </c>
      <c r="Q219">
        <f>IF(A219="","",COUNTIFS('30_NGAN_HANG'!$B:$B,A219,'30_NGAN_HANG'!$Y:$Y,"Approved"))</f>
        <v/>
      </c>
    </row>
    <row r="220">
      <c r="P220">
        <f>IF(A220="","",COUNTIF('30_NGAN_HANG'!$B:$B,A220))</f>
        <v/>
      </c>
      <c r="Q220">
        <f>IF(A220="","",COUNTIFS('30_NGAN_HANG'!$B:$B,A220,'30_NGAN_HANG'!$Y:$Y,"Approved"))</f>
        <v/>
      </c>
    </row>
    <row r="221">
      <c r="P221">
        <f>IF(A221="","",COUNTIF('30_NGAN_HANG'!$B:$B,A221))</f>
        <v/>
      </c>
      <c r="Q221">
        <f>IF(A221="","",COUNTIFS('30_NGAN_HANG'!$B:$B,A221,'30_NGAN_HANG'!$Y:$Y,"Approved"))</f>
        <v/>
      </c>
    </row>
    <row r="222">
      <c r="P222">
        <f>IF(A222="","",COUNTIF('30_NGAN_HANG'!$B:$B,A222))</f>
        <v/>
      </c>
      <c r="Q222">
        <f>IF(A222="","",COUNTIFS('30_NGAN_HANG'!$B:$B,A222,'30_NGAN_HANG'!$Y:$Y,"Approved"))</f>
        <v/>
      </c>
    </row>
    <row r="223">
      <c r="P223">
        <f>IF(A223="","",COUNTIF('30_NGAN_HANG'!$B:$B,A223))</f>
        <v/>
      </c>
      <c r="Q223">
        <f>IF(A223="","",COUNTIFS('30_NGAN_HANG'!$B:$B,A223,'30_NGAN_HANG'!$Y:$Y,"Approved"))</f>
        <v/>
      </c>
    </row>
    <row r="224">
      <c r="P224">
        <f>IF(A224="","",COUNTIF('30_NGAN_HANG'!$B:$B,A224))</f>
        <v/>
      </c>
      <c r="Q224">
        <f>IF(A224="","",COUNTIFS('30_NGAN_HANG'!$B:$B,A224,'30_NGAN_HANG'!$Y:$Y,"Approved"))</f>
        <v/>
      </c>
    </row>
    <row r="225">
      <c r="P225">
        <f>IF(A225="","",COUNTIF('30_NGAN_HANG'!$B:$B,A225))</f>
        <v/>
      </c>
      <c r="Q225">
        <f>IF(A225="","",COUNTIFS('30_NGAN_HANG'!$B:$B,A225,'30_NGAN_HANG'!$Y:$Y,"Approved"))</f>
        <v/>
      </c>
    </row>
    <row r="226">
      <c r="P226">
        <f>IF(A226="","",COUNTIF('30_NGAN_HANG'!$B:$B,A226))</f>
        <v/>
      </c>
      <c r="Q226">
        <f>IF(A226="","",COUNTIFS('30_NGAN_HANG'!$B:$B,A226,'30_NGAN_HANG'!$Y:$Y,"Approved"))</f>
        <v/>
      </c>
    </row>
    <row r="227">
      <c r="P227">
        <f>IF(A227="","",COUNTIF('30_NGAN_HANG'!$B:$B,A227))</f>
        <v/>
      </c>
      <c r="Q227">
        <f>IF(A227="","",COUNTIFS('30_NGAN_HANG'!$B:$B,A227,'30_NGAN_HANG'!$Y:$Y,"Approved"))</f>
        <v/>
      </c>
    </row>
    <row r="228">
      <c r="P228">
        <f>IF(A228="","",COUNTIF('30_NGAN_HANG'!$B:$B,A228))</f>
        <v/>
      </c>
      <c r="Q228">
        <f>IF(A228="","",COUNTIFS('30_NGAN_HANG'!$B:$B,A228,'30_NGAN_HANG'!$Y:$Y,"Approved"))</f>
        <v/>
      </c>
    </row>
    <row r="229">
      <c r="P229">
        <f>IF(A229="","",COUNTIF('30_NGAN_HANG'!$B:$B,A229))</f>
        <v/>
      </c>
      <c r="Q229">
        <f>IF(A229="","",COUNTIFS('30_NGAN_HANG'!$B:$B,A229,'30_NGAN_HANG'!$Y:$Y,"Approved"))</f>
        <v/>
      </c>
    </row>
    <row r="230">
      <c r="P230">
        <f>IF(A230="","",COUNTIF('30_NGAN_HANG'!$B:$B,A230))</f>
        <v/>
      </c>
      <c r="Q230">
        <f>IF(A230="","",COUNTIFS('30_NGAN_HANG'!$B:$B,A230,'30_NGAN_HANG'!$Y:$Y,"Approved"))</f>
        <v/>
      </c>
    </row>
    <row r="231">
      <c r="P231">
        <f>IF(A231="","",COUNTIF('30_NGAN_HANG'!$B:$B,A231))</f>
        <v/>
      </c>
      <c r="Q231">
        <f>IF(A231="","",COUNTIFS('30_NGAN_HANG'!$B:$B,A231,'30_NGAN_HANG'!$Y:$Y,"Approved"))</f>
        <v/>
      </c>
    </row>
    <row r="232">
      <c r="P232">
        <f>IF(A232="","",COUNTIF('30_NGAN_HANG'!$B:$B,A232))</f>
        <v/>
      </c>
      <c r="Q232">
        <f>IF(A232="","",COUNTIFS('30_NGAN_HANG'!$B:$B,A232,'30_NGAN_HANG'!$Y:$Y,"Approved"))</f>
        <v/>
      </c>
    </row>
    <row r="233">
      <c r="P233">
        <f>IF(A233="","",COUNTIF('30_NGAN_HANG'!$B:$B,A233))</f>
        <v/>
      </c>
      <c r="Q233">
        <f>IF(A233="","",COUNTIFS('30_NGAN_HANG'!$B:$B,A233,'30_NGAN_HANG'!$Y:$Y,"Approved"))</f>
        <v/>
      </c>
    </row>
    <row r="234">
      <c r="P234">
        <f>IF(A234="","",COUNTIF('30_NGAN_HANG'!$B:$B,A234))</f>
        <v/>
      </c>
      <c r="Q234">
        <f>IF(A234="","",COUNTIFS('30_NGAN_HANG'!$B:$B,A234,'30_NGAN_HANG'!$Y:$Y,"Approved"))</f>
        <v/>
      </c>
    </row>
    <row r="235">
      <c r="P235">
        <f>IF(A235="","",COUNTIF('30_NGAN_HANG'!$B:$B,A235))</f>
        <v/>
      </c>
      <c r="Q235">
        <f>IF(A235="","",COUNTIFS('30_NGAN_HANG'!$B:$B,A235,'30_NGAN_HANG'!$Y:$Y,"Approved"))</f>
        <v/>
      </c>
    </row>
    <row r="236">
      <c r="P236">
        <f>IF(A236="","",COUNTIF('30_NGAN_HANG'!$B:$B,A236))</f>
        <v/>
      </c>
      <c r="Q236">
        <f>IF(A236="","",COUNTIFS('30_NGAN_HANG'!$B:$B,A236,'30_NGAN_HANG'!$Y:$Y,"Approved"))</f>
        <v/>
      </c>
    </row>
    <row r="237">
      <c r="P237">
        <f>IF(A237="","",COUNTIF('30_NGAN_HANG'!$B:$B,A237))</f>
        <v/>
      </c>
      <c r="Q237">
        <f>IF(A237="","",COUNTIFS('30_NGAN_HANG'!$B:$B,A237,'30_NGAN_HANG'!$Y:$Y,"Approved"))</f>
        <v/>
      </c>
    </row>
    <row r="238">
      <c r="P238">
        <f>IF(A238="","",COUNTIF('30_NGAN_HANG'!$B:$B,A238))</f>
        <v/>
      </c>
      <c r="Q238">
        <f>IF(A238="","",COUNTIFS('30_NGAN_HANG'!$B:$B,A238,'30_NGAN_HANG'!$Y:$Y,"Approved"))</f>
        <v/>
      </c>
    </row>
    <row r="239">
      <c r="P239">
        <f>IF(A239="","",COUNTIF('30_NGAN_HANG'!$B:$B,A239))</f>
        <v/>
      </c>
      <c r="Q239">
        <f>IF(A239="","",COUNTIFS('30_NGAN_HANG'!$B:$B,A239,'30_NGAN_HANG'!$Y:$Y,"Approved"))</f>
        <v/>
      </c>
    </row>
    <row r="240">
      <c r="P240">
        <f>IF(A240="","",COUNTIF('30_NGAN_HANG'!$B:$B,A240))</f>
        <v/>
      </c>
      <c r="Q240">
        <f>IF(A240="","",COUNTIFS('30_NGAN_HANG'!$B:$B,A240,'30_NGAN_HANG'!$Y:$Y,"Approved"))</f>
        <v/>
      </c>
    </row>
    <row r="241">
      <c r="P241">
        <f>IF(A241="","",COUNTIF('30_NGAN_HANG'!$B:$B,A241))</f>
        <v/>
      </c>
      <c r="Q241">
        <f>IF(A241="","",COUNTIFS('30_NGAN_HANG'!$B:$B,A241,'30_NGAN_HANG'!$Y:$Y,"Approved"))</f>
        <v/>
      </c>
    </row>
    <row r="242">
      <c r="P242">
        <f>IF(A242="","",COUNTIF('30_NGAN_HANG'!$B:$B,A242))</f>
        <v/>
      </c>
      <c r="Q242">
        <f>IF(A242="","",COUNTIFS('30_NGAN_HANG'!$B:$B,A242,'30_NGAN_HANG'!$Y:$Y,"Approved"))</f>
        <v/>
      </c>
    </row>
    <row r="243">
      <c r="P243">
        <f>IF(A243="","",COUNTIF('30_NGAN_HANG'!$B:$B,A243))</f>
        <v/>
      </c>
      <c r="Q243">
        <f>IF(A243="","",COUNTIFS('30_NGAN_HANG'!$B:$B,A243,'30_NGAN_HANG'!$Y:$Y,"Approved"))</f>
        <v/>
      </c>
    </row>
    <row r="244">
      <c r="P244">
        <f>IF(A244="","",COUNTIF('30_NGAN_HANG'!$B:$B,A244))</f>
        <v/>
      </c>
      <c r="Q244">
        <f>IF(A244="","",COUNTIFS('30_NGAN_HANG'!$B:$B,A244,'30_NGAN_HANG'!$Y:$Y,"Approved"))</f>
        <v/>
      </c>
    </row>
    <row r="245">
      <c r="P245">
        <f>IF(A245="","",COUNTIF('30_NGAN_HANG'!$B:$B,A245))</f>
        <v/>
      </c>
      <c r="Q245">
        <f>IF(A245="","",COUNTIFS('30_NGAN_HANG'!$B:$B,A245,'30_NGAN_HANG'!$Y:$Y,"Approved"))</f>
        <v/>
      </c>
    </row>
    <row r="246">
      <c r="P246">
        <f>IF(A246="","",COUNTIF('30_NGAN_HANG'!$B:$B,A246))</f>
        <v/>
      </c>
      <c r="Q246">
        <f>IF(A246="","",COUNTIFS('30_NGAN_HANG'!$B:$B,A246,'30_NGAN_HANG'!$Y:$Y,"Approved"))</f>
        <v/>
      </c>
    </row>
    <row r="247">
      <c r="P247">
        <f>IF(A247="","",COUNTIF('30_NGAN_HANG'!$B:$B,A247))</f>
        <v/>
      </c>
      <c r="Q247">
        <f>IF(A247="","",COUNTIFS('30_NGAN_HANG'!$B:$B,A247,'30_NGAN_HANG'!$Y:$Y,"Approved"))</f>
        <v/>
      </c>
    </row>
    <row r="248">
      <c r="P248">
        <f>IF(A248="","",COUNTIF('30_NGAN_HANG'!$B:$B,A248))</f>
        <v/>
      </c>
      <c r="Q248">
        <f>IF(A248="","",COUNTIFS('30_NGAN_HANG'!$B:$B,A248,'30_NGAN_HANG'!$Y:$Y,"Approved"))</f>
        <v/>
      </c>
    </row>
    <row r="249">
      <c r="P249">
        <f>IF(A249="","",COUNTIF('30_NGAN_HANG'!$B:$B,A249))</f>
        <v/>
      </c>
      <c r="Q249">
        <f>IF(A249="","",COUNTIFS('30_NGAN_HANG'!$B:$B,A249,'30_NGAN_HANG'!$Y:$Y,"Approved"))</f>
        <v/>
      </c>
    </row>
    <row r="250">
      <c r="P250">
        <f>IF(A250="","",COUNTIF('30_NGAN_HANG'!$B:$B,A250))</f>
        <v/>
      </c>
      <c r="Q250">
        <f>IF(A250="","",COUNTIFS('30_NGAN_HANG'!$B:$B,A250,'30_NGAN_HANG'!$Y:$Y,"Approved"))</f>
        <v/>
      </c>
    </row>
    <row r="251">
      <c r="P251">
        <f>IF(A251="","",COUNTIF('30_NGAN_HANG'!$B:$B,A251))</f>
        <v/>
      </c>
      <c r="Q251">
        <f>IF(A251="","",COUNTIFS('30_NGAN_HANG'!$B:$B,A251,'30_NGAN_HANG'!$Y:$Y,"Approved"))</f>
        <v/>
      </c>
    </row>
    <row r="252">
      <c r="P252">
        <f>IF(A252="","",COUNTIF('30_NGAN_HANG'!$B:$B,A252))</f>
        <v/>
      </c>
      <c r="Q252">
        <f>IF(A252="","",COUNTIFS('30_NGAN_HANG'!$B:$B,A252,'30_NGAN_HANG'!$Y:$Y,"Approved"))</f>
        <v/>
      </c>
    </row>
    <row r="253">
      <c r="P253">
        <f>IF(A253="","",COUNTIF('30_NGAN_HANG'!$B:$B,A253))</f>
        <v/>
      </c>
      <c r="Q253">
        <f>IF(A253="","",COUNTIFS('30_NGAN_HANG'!$B:$B,A253,'30_NGAN_HANG'!$Y:$Y,"Approved"))</f>
        <v/>
      </c>
    </row>
    <row r="254">
      <c r="P254">
        <f>IF(A254="","",COUNTIF('30_NGAN_HANG'!$B:$B,A254))</f>
        <v/>
      </c>
      <c r="Q254">
        <f>IF(A254="","",COUNTIFS('30_NGAN_HANG'!$B:$B,A254,'30_NGAN_HANG'!$Y:$Y,"Approved"))</f>
        <v/>
      </c>
    </row>
    <row r="255">
      <c r="P255">
        <f>IF(A255="","",COUNTIF('30_NGAN_HANG'!$B:$B,A255))</f>
        <v/>
      </c>
      <c r="Q255">
        <f>IF(A255="","",COUNTIFS('30_NGAN_HANG'!$B:$B,A255,'30_NGAN_HANG'!$Y:$Y,"Approved"))</f>
        <v/>
      </c>
    </row>
    <row r="256">
      <c r="P256">
        <f>IF(A256="","",COUNTIF('30_NGAN_HANG'!$B:$B,A256))</f>
        <v/>
      </c>
      <c r="Q256">
        <f>IF(A256="","",COUNTIFS('30_NGAN_HANG'!$B:$B,A256,'30_NGAN_HANG'!$Y:$Y,"Approved"))</f>
        <v/>
      </c>
    </row>
    <row r="257">
      <c r="P257">
        <f>IF(A257="","",COUNTIF('30_NGAN_HANG'!$B:$B,A257))</f>
        <v/>
      </c>
      <c r="Q257">
        <f>IF(A257="","",COUNTIFS('30_NGAN_HANG'!$B:$B,A257,'30_NGAN_HANG'!$Y:$Y,"Approved"))</f>
        <v/>
      </c>
    </row>
    <row r="258">
      <c r="P258">
        <f>IF(A258="","",COUNTIF('30_NGAN_HANG'!$B:$B,A258))</f>
        <v/>
      </c>
      <c r="Q258">
        <f>IF(A258="","",COUNTIFS('30_NGAN_HANG'!$B:$B,A258,'30_NGAN_HANG'!$Y:$Y,"Approved"))</f>
        <v/>
      </c>
    </row>
    <row r="259">
      <c r="P259">
        <f>IF(A259="","",COUNTIF('30_NGAN_HANG'!$B:$B,A259))</f>
        <v/>
      </c>
      <c r="Q259">
        <f>IF(A259="","",COUNTIFS('30_NGAN_HANG'!$B:$B,A259,'30_NGAN_HANG'!$Y:$Y,"Approved"))</f>
        <v/>
      </c>
    </row>
    <row r="260">
      <c r="P260">
        <f>IF(A260="","",COUNTIF('30_NGAN_HANG'!$B:$B,A260))</f>
        <v/>
      </c>
      <c r="Q260">
        <f>IF(A260="","",COUNTIFS('30_NGAN_HANG'!$B:$B,A260,'30_NGAN_HANG'!$Y:$Y,"Approved"))</f>
        <v/>
      </c>
    </row>
    <row r="261">
      <c r="P261">
        <f>IF(A261="","",COUNTIF('30_NGAN_HANG'!$B:$B,A261))</f>
        <v/>
      </c>
      <c r="Q261">
        <f>IF(A261="","",COUNTIFS('30_NGAN_HANG'!$B:$B,A261,'30_NGAN_HANG'!$Y:$Y,"Approved"))</f>
        <v/>
      </c>
    </row>
    <row r="262">
      <c r="P262">
        <f>IF(A262="","",COUNTIF('30_NGAN_HANG'!$B:$B,A262))</f>
        <v/>
      </c>
      <c r="Q262">
        <f>IF(A262="","",COUNTIFS('30_NGAN_HANG'!$B:$B,A262,'30_NGAN_HANG'!$Y:$Y,"Approved"))</f>
        <v/>
      </c>
    </row>
    <row r="263">
      <c r="P263">
        <f>IF(A263="","",COUNTIF('30_NGAN_HANG'!$B:$B,A263))</f>
        <v/>
      </c>
      <c r="Q263">
        <f>IF(A263="","",COUNTIFS('30_NGAN_HANG'!$B:$B,A263,'30_NGAN_HANG'!$Y:$Y,"Approved"))</f>
        <v/>
      </c>
    </row>
    <row r="264">
      <c r="P264">
        <f>IF(A264="","",COUNTIF('30_NGAN_HANG'!$B:$B,A264))</f>
        <v/>
      </c>
      <c r="Q264">
        <f>IF(A264="","",COUNTIFS('30_NGAN_HANG'!$B:$B,A264,'30_NGAN_HANG'!$Y:$Y,"Approved"))</f>
        <v/>
      </c>
    </row>
    <row r="265">
      <c r="P265">
        <f>IF(A265="","",COUNTIF('30_NGAN_HANG'!$B:$B,A265))</f>
        <v/>
      </c>
      <c r="Q265">
        <f>IF(A265="","",COUNTIFS('30_NGAN_HANG'!$B:$B,A265,'30_NGAN_HANG'!$Y:$Y,"Approved"))</f>
        <v/>
      </c>
    </row>
    <row r="266">
      <c r="P266">
        <f>IF(A266="","",COUNTIF('30_NGAN_HANG'!$B:$B,A266))</f>
        <v/>
      </c>
      <c r="Q266">
        <f>IF(A266="","",COUNTIFS('30_NGAN_HANG'!$B:$B,A266,'30_NGAN_HANG'!$Y:$Y,"Approved"))</f>
        <v/>
      </c>
    </row>
    <row r="267">
      <c r="P267">
        <f>IF(A267="","",COUNTIF('30_NGAN_HANG'!$B:$B,A267))</f>
        <v/>
      </c>
      <c r="Q267">
        <f>IF(A267="","",COUNTIFS('30_NGAN_HANG'!$B:$B,A267,'30_NGAN_HANG'!$Y:$Y,"Approved"))</f>
        <v/>
      </c>
    </row>
    <row r="268">
      <c r="P268">
        <f>IF(A268="","",COUNTIF('30_NGAN_HANG'!$B:$B,A268))</f>
        <v/>
      </c>
      <c r="Q268">
        <f>IF(A268="","",COUNTIFS('30_NGAN_HANG'!$B:$B,A268,'30_NGAN_HANG'!$Y:$Y,"Approved"))</f>
        <v/>
      </c>
    </row>
    <row r="269">
      <c r="P269">
        <f>IF(A269="","",COUNTIF('30_NGAN_HANG'!$B:$B,A269))</f>
        <v/>
      </c>
      <c r="Q269">
        <f>IF(A269="","",COUNTIFS('30_NGAN_HANG'!$B:$B,A269,'30_NGAN_HANG'!$Y:$Y,"Approved"))</f>
        <v/>
      </c>
    </row>
    <row r="270">
      <c r="P270">
        <f>IF(A270="","",COUNTIF('30_NGAN_HANG'!$B:$B,A270))</f>
        <v/>
      </c>
      <c r="Q270">
        <f>IF(A270="","",COUNTIFS('30_NGAN_HANG'!$B:$B,A270,'30_NGAN_HANG'!$Y:$Y,"Approved"))</f>
        <v/>
      </c>
    </row>
    <row r="271">
      <c r="P271">
        <f>IF(A271="","",COUNTIF('30_NGAN_HANG'!$B:$B,A271))</f>
        <v/>
      </c>
      <c r="Q271">
        <f>IF(A271="","",COUNTIFS('30_NGAN_HANG'!$B:$B,A271,'30_NGAN_HANG'!$Y:$Y,"Approved"))</f>
        <v/>
      </c>
    </row>
    <row r="272">
      <c r="P272">
        <f>IF(A272="","",COUNTIF('30_NGAN_HANG'!$B:$B,A272))</f>
        <v/>
      </c>
      <c r="Q272">
        <f>IF(A272="","",COUNTIFS('30_NGAN_HANG'!$B:$B,A272,'30_NGAN_HANG'!$Y:$Y,"Approved"))</f>
        <v/>
      </c>
    </row>
    <row r="273">
      <c r="P273">
        <f>IF(A273="","",COUNTIF('30_NGAN_HANG'!$B:$B,A273))</f>
        <v/>
      </c>
      <c r="Q273">
        <f>IF(A273="","",COUNTIFS('30_NGAN_HANG'!$B:$B,A273,'30_NGAN_HANG'!$Y:$Y,"Approved"))</f>
        <v/>
      </c>
    </row>
    <row r="274">
      <c r="P274">
        <f>IF(A274="","",COUNTIF('30_NGAN_HANG'!$B:$B,A274))</f>
        <v/>
      </c>
      <c r="Q274">
        <f>IF(A274="","",COUNTIFS('30_NGAN_HANG'!$B:$B,A274,'30_NGAN_HANG'!$Y:$Y,"Approved"))</f>
        <v/>
      </c>
    </row>
    <row r="275">
      <c r="P275">
        <f>IF(A275="","",COUNTIF('30_NGAN_HANG'!$B:$B,A275))</f>
        <v/>
      </c>
      <c r="Q275">
        <f>IF(A275="","",COUNTIFS('30_NGAN_HANG'!$B:$B,A275,'30_NGAN_HANG'!$Y:$Y,"Approved"))</f>
        <v/>
      </c>
    </row>
    <row r="276">
      <c r="P276">
        <f>IF(A276="","",COUNTIF('30_NGAN_HANG'!$B:$B,A276))</f>
        <v/>
      </c>
      <c r="Q276">
        <f>IF(A276="","",COUNTIFS('30_NGAN_HANG'!$B:$B,A276,'30_NGAN_HANG'!$Y:$Y,"Approved"))</f>
        <v/>
      </c>
    </row>
    <row r="277">
      <c r="P277">
        <f>IF(A277="","",COUNTIF('30_NGAN_HANG'!$B:$B,A277))</f>
        <v/>
      </c>
      <c r="Q277">
        <f>IF(A277="","",COUNTIFS('30_NGAN_HANG'!$B:$B,A277,'30_NGAN_HANG'!$Y:$Y,"Approved"))</f>
        <v/>
      </c>
    </row>
    <row r="278">
      <c r="P278">
        <f>IF(A278="","",COUNTIF('30_NGAN_HANG'!$B:$B,A278))</f>
        <v/>
      </c>
      <c r="Q278">
        <f>IF(A278="","",COUNTIFS('30_NGAN_HANG'!$B:$B,A278,'30_NGAN_HANG'!$Y:$Y,"Approved"))</f>
        <v/>
      </c>
    </row>
    <row r="279">
      <c r="P279">
        <f>IF(A279="","",COUNTIF('30_NGAN_HANG'!$B:$B,A279))</f>
        <v/>
      </c>
      <c r="Q279">
        <f>IF(A279="","",COUNTIFS('30_NGAN_HANG'!$B:$B,A279,'30_NGAN_HANG'!$Y:$Y,"Approved"))</f>
        <v/>
      </c>
    </row>
    <row r="280">
      <c r="P280">
        <f>IF(A280="","",COUNTIF('30_NGAN_HANG'!$B:$B,A280))</f>
        <v/>
      </c>
      <c r="Q280">
        <f>IF(A280="","",COUNTIFS('30_NGAN_HANG'!$B:$B,A280,'30_NGAN_HANG'!$Y:$Y,"Approved"))</f>
        <v/>
      </c>
    </row>
    <row r="281">
      <c r="P281">
        <f>IF(A281="","",COUNTIF('30_NGAN_HANG'!$B:$B,A281))</f>
        <v/>
      </c>
      <c r="Q281">
        <f>IF(A281="","",COUNTIFS('30_NGAN_HANG'!$B:$B,A281,'30_NGAN_HANG'!$Y:$Y,"Approved"))</f>
        <v/>
      </c>
    </row>
    <row r="282">
      <c r="P282">
        <f>IF(A282="","",COUNTIF('30_NGAN_HANG'!$B:$B,A282))</f>
        <v/>
      </c>
      <c r="Q282">
        <f>IF(A282="","",COUNTIFS('30_NGAN_HANG'!$B:$B,A282,'30_NGAN_HANG'!$Y:$Y,"Approved"))</f>
        <v/>
      </c>
    </row>
    <row r="283">
      <c r="P283">
        <f>IF(A283="","",COUNTIF('30_NGAN_HANG'!$B:$B,A283))</f>
        <v/>
      </c>
      <c r="Q283">
        <f>IF(A283="","",COUNTIFS('30_NGAN_HANG'!$B:$B,A283,'30_NGAN_HANG'!$Y:$Y,"Approved"))</f>
        <v/>
      </c>
    </row>
    <row r="284">
      <c r="P284">
        <f>IF(A284="","",COUNTIF('30_NGAN_HANG'!$B:$B,A284))</f>
        <v/>
      </c>
      <c r="Q284">
        <f>IF(A284="","",COUNTIFS('30_NGAN_HANG'!$B:$B,A284,'30_NGAN_HANG'!$Y:$Y,"Approved"))</f>
        <v/>
      </c>
    </row>
    <row r="285">
      <c r="P285">
        <f>IF(A285="","",COUNTIF('30_NGAN_HANG'!$B:$B,A285))</f>
        <v/>
      </c>
      <c r="Q285">
        <f>IF(A285="","",COUNTIFS('30_NGAN_HANG'!$B:$B,A285,'30_NGAN_HANG'!$Y:$Y,"Approved"))</f>
        <v/>
      </c>
    </row>
    <row r="286">
      <c r="P286">
        <f>IF(A286="","",COUNTIF('30_NGAN_HANG'!$B:$B,A286))</f>
        <v/>
      </c>
      <c r="Q286">
        <f>IF(A286="","",COUNTIFS('30_NGAN_HANG'!$B:$B,A286,'30_NGAN_HANG'!$Y:$Y,"Approved"))</f>
        <v/>
      </c>
    </row>
    <row r="287">
      <c r="P287">
        <f>IF(A287="","",COUNTIF('30_NGAN_HANG'!$B:$B,A287))</f>
        <v/>
      </c>
      <c r="Q287">
        <f>IF(A287="","",COUNTIFS('30_NGAN_HANG'!$B:$B,A287,'30_NGAN_HANG'!$Y:$Y,"Approved"))</f>
        <v/>
      </c>
    </row>
    <row r="288">
      <c r="P288">
        <f>IF(A288="","",COUNTIF('30_NGAN_HANG'!$B:$B,A288))</f>
        <v/>
      </c>
      <c r="Q288">
        <f>IF(A288="","",COUNTIFS('30_NGAN_HANG'!$B:$B,A288,'30_NGAN_HANG'!$Y:$Y,"Approved"))</f>
        <v/>
      </c>
    </row>
    <row r="289">
      <c r="P289">
        <f>IF(A289="","",COUNTIF('30_NGAN_HANG'!$B:$B,A289))</f>
        <v/>
      </c>
      <c r="Q289">
        <f>IF(A289="","",COUNTIFS('30_NGAN_HANG'!$B:$B,A289,'30_NGAN_HANG'!$Y:$Y,"Approved"))</f>
        <v/>
      </c>
    </row>
    <row r="290">
      <c r="P290">
        <f>IF(A290="","",COUNTIF('30_NGAN_HANG'!$B:$B,A290))</f>
        <v/>
      </c>
      <c r="Q290">
        <f>IF(A290="","",COUNTIFS('30_NGAN_HANG'!$B:$B,A290,'30_NGAN_HANG'!$Y:$Y,"Approved"))</f>
        <v/>
      </c>
    </row>
    <row r="291">
      <c r="P291">
        <f>IF(A291="","",COUNTIF('30_NGAN_HANG'!$B:$B,A291))</f>
        <v/>
      </c>
      <c r="Q291">
        <f>IF(A291="","",COUNTIFS('30_NGAN_HANG'!$B:$B,A291,'30_NGAN_HANG'!$Y:$Y,"Approved"))</f>
        <v/>
      </c>
    </row>
    <row r="292">
      <c r="P292">
        <f>IF(A292="","",COUNTIF('30_NGAN_HANG'!$B:$B,A292))</f>
        <v/>
      </c>
      <c r="Q292">
        <f>IF(A292="","",COUNTIFS('30_NGAN_HANG'!$B:$B,A292,'30_NGAN_HANG'!$Y:$Y,"Approved"))</f>
        <v/>
      </c>
    </row>
    <row r="293">
      <c r="P293">
        <f>IF(A293="","",COUNTIF('30_NGAN_HANG'!$B:$B,A293))</f>
        <v/>
      </c>
      <c r="Q293">
        <f>IF(A293="","",COUNTIFS('30_NGAN_HANG'!$B:$B,A293,'30_NGAN_HANG'!$Y:$Y,"Approved"))</f>
        <v/>
      </c>
    </row>
    <row r="294">
      <c r="P294">
        <f>IF(A294="","",COUNTIF('30_NGAN_HANG'!$B:$B,A294))</f>
        <v/>
      </c>
      <c r="Q294">
        <f>IF(A294="","",COUNTIFS('30_NGAN_HANG'!$B:$B,A294,'30_NGAN_HANG'!$Y:$Y,"Approved"))</f>
        <v/>
      </c>
    </row>
    <row r="295">
      <c r="P295">
        <f>IF(A295="","",COUNTIF('30_NGAN_HANG'!$B:$B,A295))</f>
        <v/>
      </c>
      <c r="Q295">
        <f>IF(A295="","",COUNTIFS('30_NGAN_HANG'!$B:$B,A295,'30_NGAN_HANG'!$Y:$Y,"Approved"))</f>
        <v/>
      </c>
    </row>
    <row r="296">
      <c r="P296">
        <f>IF(A296="","",COUNTIF('30_NGAN_HANG'!$B:$B,A296))</f>
        <v/>
      </c>
      <c r="Q296">
        <f>IF(A296="","",COUNTIFS('30_NGAN_HANG'!$B:$B,A296,'30_NGAN_HANG'!$Y:$Y,"Approved"))</f>
        <v/>
      </c>
    </row>
    <row r="297">
      <c r="P297">
        <f>IF(A297="","",COUNTIF('30_NGAN_HANG'!$B:$B,A297))</f>
        <v/>
      </c>
      <c r="Q297">
        <f>IF(A297="","",COUNTIFS('30_NGAN_HANG'!$B:$B,A297,'30_NGAN_HANG'!$Y:$Y,"Approved"))</f>
        <v/>
      </c>
    </row>
    <row r="298">
      <c r="P298">
        <f>IF(A298="","",COUNTIF('30_NGAN_HANG'!$B:$B,A298))</f>
        <v/>
      </c>
      <c r="Q298">
        <f>IF(A298="","",COUNTIFS('30_NGAN_HANG'!$B:$B,A298,'30_NGAN_HANG'!$Y:$Y,"Approved"))</f>
        <v/>
      </c>
    </row>
    <row r="299">
      <c r="P299">
        <f>IF(A299="","",COUNTIF('30_NGAN_HANG'!$B:$B,A299))</f>
        <v/>
      </c>
      <c r="Q299">
        <f>IF(A299="","",COUNTIFS('30_NGAN_HANG'!$B:$B,A299,'30_NGAN_HANG'!$Y:$Y,"Approved"))</f>
        <v/>
      </c>
    </row>
    <row r="300">
      <c r="P300">
        <f>IF(A300="","",COUNTIF('30_NGAN_HANG'!$B:$B,A300))</f>
        <v/>
      </c>
      <c r="Q300">
        <f>IF(A300="","",COUNTIFS('30_NGAN_HANG'!$B:$B,A300,'30_NGAN_HANG'!$Y:$Y,"Approved"))</f>
        <v/>
      </c>
    </row>
  </sheetData>
  <dataValidations count="3">
    <dataValidation sqref="C3:C300" showDropDown="0" showInputMessage="0" showErrorMessage="0" allowBlank="1" type="list">
      <formula1>='99_DANH_MUC'!$A$2:$A$4</formula1>
    </dataValidation>
    <dataValidation sqref="M3:M300" showDropDown="0" showInputMessage="0" showErrorMessage="0" allowBlank="1" type="list">
      <formula1>='99_DANH_MUC'!$G$2:$G$4</formula1>
    </dataValidation>
    <dataValidation sqref="O3:O300" showDropDown="0" showInputMessage="0" showErrorMessage="0" allowBlank="1" type="list">
      <formula1>='99_DANH_MUC'!$E$2:$E$5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BF8F00"/>
    <outlinePr summaryBelow="1" summaryRight="1"/>
    <pageSetUpPr/>
  </sheetPr>
  <dimension ref="A1:F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  <col width="80" customWidth="1" min="3" max="3"/>
    <col width="60" customWidth="1" min="4" max="4"/>
    <col width="22" customWidth="1" min="5" max="5"/>
    <col width="36" customWidth="1" min="6" max="6"/>
  </cols>
  <sheetData>
    <row r="1" ht="42" customHeight="1">
      <c r="A1" s="14" t="inlineStr">
        <is>
          <t>Dạng bài</t>
        </is>
      </c>
      <c r="B1" s="14" t="inlineStr">
        <is>
          <t>Prompt chung (system)</t>
        </is>
      </c>
      <c r="C1" s="14" t="inlineStr">
        <is>
          <t>Prompt riêng (user) — {biến} = tên cột IN_xx</t>
        </is>
      </c>
      <c r="D1" s="14" t="inlineStr">
        <is>
          <t>Định dạng JSON đầu ra</t>
        </is>
      </c>
      <c r="E1" s="14" t="inlineStr">
        <is>
          <t>Phiên bản</t>
        </is>
      </c>
      <c r="F1" s="14" t="inlineStr">
        <is>
          <t>Ghi chú cải tiến</t>
        </is>
      </c>
    </row>
    <row r="2">
      <c r="A2" s="15" t="inlineStr">
        <is>
          <t>語の意味</t>
        </is>
      </c>
      <c r="B2" s="15" t="inlineStr">
        <is>
          <t>あなたはJFT-Basicの作問者です。出題範囲は『いろどり』{Quyển} 第{Bài}課まで。範囲外の語彙・漢字・文法は使わない。4択・正答1つ。正答位置はばらつかせる。解説はベトナム語で、正答の理由と各誤答の理由を書く。出力はJSON配列のみ。</t>
        </is>
      </c>
      <c r="C2" s="15" t="inlineStr">
        <is>
          <t>「{Từ đích}」（{Nghĩa tiếng Việt}）の意味を問う問題を{Số câu cần sinh}問。形式: {Kiểu đáp án}。文脈: {Ngữ cảnh câu hỏi}。誤答候補: {Từ nhiễu gợi ý}</t>
        </is>
      </c>
      <c r="D2" s="15" t="inlineStr">
        <is>
          <t>[{"Stem":"","Script":"","Option1":"","Option2":"","Option3":"","Option4":"","Answer":1,"Explanation_VI":"","ImagePrompt":""}]</t>
        </is>
      </c>
      <c r="E2" s="15" t="inlineStr">
        <is>
          <t>v1</t>
        </is>
      </c>
      <c r="F2" s="15" t="inlineStr"/>
    </row>
    <row r="3">
      <c r="A3" s="15" t="inlineStr">
        <is>
          <t>語の使い方</t>
        </is>
      </c>
      <c r="B3" s="15" t="inlineStr">
        <is>
          <t>あなたはJFT-Basicの作問者です。出題範囲は『いろどり』{Quyển} 第{Bài}課まで。範囲外の語彙・漢字・文法は使わない。4択・正答1つ。正答位置はばらつかせる。解説はベトナム語で、正答の理由と各誤答の理由を書く。出力はJSON配列のみ。</t>
        </is>
      </c>
      <c r="C3" s="15" t="inlineStr">
        <is>
          <t>「{Từ đích}」を正しく使えるか問う問題。文: {Câu ngữ cảnh (có ___)}。正しいコロケーション: {Collocation đúng}。狙う誤用: {Lỗi dùng từ muốn bẫy}</t>
        </is>
      </c>
      <c r="D3" s="15" t="inlineStr">
        <is>
          <t>[{"Stem":"","Script":"","Option1":"","Option2":"","Option3":"","Option4":"","Answer":1,"Explanation_VI":"","ImagePrompt":""}]</t>
        </is>
      </c>
      <c r="E3" s="15" t="inlineStr">
        <is>
          <t>v1</t>
        </is>
      </c>
      <c r="F3" s="15" t="inlineStr"/>
    </row>
    <row r="4">
      <c r="A4" s="15" t="inlineStr">
        <is>
          <t>漢字の読み</t>
        </is>
      </c>
      <c r="B4" s="15" t="inlineStr">
        <is>
          <t>あなたはJFT-Basicの作問者です。出題範囲は『いろどり』{Quyển} 第{Bài}課まで。範囲外の語彙・漢字・文法は使わない。4択・正答1つ。正答位置はばらつかせる。解説はベトナム語で、正答の理由と各誤答の理由を書く。出力はJSON配列のみ。</t>
        </is>
      </c>
      <c r="C4" s="15" t="inlineStr">
        <is>
          <t>下線部「{Từ chứa kanji (gạch chân)}」の読み（正答: {Cách đọc đúng}）を問う。文: {Câu ngữ cảnh}。誤答の作り方: {Kiểu nhiễu}</t>
        </is>
      </c>
      <c r="D4" s="15" t="inlineStr">
        <is>
          <t>[{"Stem":"","Script":"","Option1":"","Option2":"","Option3":"","Option4":"","Answer":1,"Explanation_VI":"","ImagePrompt":""}]</t>
        </is>
      </c>
      <c r="E4" s="15" t="inlineStr">
        <is>
          <t>v1</t>
        </is>
      </c>
      <c r="F4" s="15" t="inlineStr"/>
    </row>
    <row r="5">
      <c r="A5" s="15" t="inlineStr">
        <is>
          <t>漢字の表記</t>
        </is>
      </c>
      <c r="B5" s="15" t="inlineStr">
        <is>
          <t>あなたはJFT-Basicの作問者です。出題範囲は『いろどり』{Quyển} 第{Bài}課まで。範囲外の語彙・漢字・文法は使わない。4択・正答1つ。正答位置はばらつかせる。解説はベトナム語で、正答の理由と各誤答の理由を書く。出力はJSON配列のみ。</t>
        </is>
      </c>
      <c r="C5" s="15" t="inlineStr">
        <is>
          <t>下線部「{Từ viết hiragana (gạch chân)}」の漢字（正答: {Kanji đúng}）を問う。文: {Câu ngữ cảnh}。誤答候補: {Kanji nhiễu}</t>
        </is>
      </c>
      <c r="D5" s="15" t="inlineStr">
        <is>
          <t>[{"Stem":"","Script":"","Option1":"","Option2":"","Option3":"","Option4":"","Answer":1,"Explanation_VI":"","ImagePrompt":""}]</t>
        </is>
      </c>
      <c r="E5" s="15" t="inlineStr">
        <is>
          <t>v1</t>
        </is>
      </c>
      <c r="F5" s="15" t="inlineStr"/>
    </row>
    <row r="6">
      <c r="A6" s="15" t="inlineStr">
        <is>
          <t>表現</t>
        </is>
      </c>
      <c r="B6" s="15" t="inlineStr">
        <is>
          <t>あなたはJFT-Basicの作問者です。出題範囲は『いろどり』{Quyển} 第{Bài}課まで。範囲外の語彙・漢字・文法は使わない。4択・正答1つ。正答位置はばらつかせる。解説はベトナム語で、正答の理由と各誤答の理由を書く。出力はJSON配列のみ。</t>
        </is>
      </c>
      <c r="C6" s="15" t="inlineStr">
        <is>
          <t>場面: {Mô tả tình huống (VN hoặc JP)}。{Người nói → người nghe}、機能: {Chức năng giao tiếp}、丁寧さ: {Mức lịch sự}。適切な発話を選ぶ問題。正答例: {Câu đúng mong muốn}。誤答候補: {Câu nhiễu gợi ý}</t>
        </is>
      </c>
      <c r="D6" s="15" t="inlineStr">
        <is>
          <t>[{"Stem":"","Script":"","Option1":"","Option2":"","Option3":"","Option4":"","Answer":1,"Explanation_VI":"","ImagePrompt":""}]</t>
        </is>
      </c>
      <c r="E6" s="15" t="inlineStr">
        <is>
          <t>v1</t>
        </is>
      </c>
      <c r="F6" s="15" t="inlineStr"/>
    </row>
    <row r="7">
      <c r="A7" s="15" t="inlineStr">
        <is>
          <t>文法</t>
        </is>
      </c>
      <c r="B7" s="15" t="inlineStr">
        <is>
          <t>あなたはJFT-Basicの作問者です。出題範囲は『いろどり』{Quyển} 第{Bài}課まで。範囲外の語彙・漢字・文法は使わない。4択・正答1つ。正答位置はばらつかせる。解説はベトナム語で、正答の理由と各誤答の理由を書く。出力はJSON配列のみ。</t>
        </is>
      </c>
      <c r="C7" s="15" t="inlineStr">
        <is>
          <t>文法項目「{Mẫu ngữ pháp đích}」。形式: {Dạng câu}。場面: {Ngữ cảnh}。空欄位置: {Vị trí ô trống}。誤答に使う項目: {Mẫu dễ nhầm làm nhiễu}</t>
        </is>
      </c>
      <c r="D7" s="15" t="inlineStr">
        <is>
          <t>[{"Stem":"","Script":"","Option1":"","Option2":"","Option3":"","Option4":"","Answer":1,"Explanation_VI":"","ImagePrompt":""}]</t>
        </is>
      </c>
      <c r="E7" s="15" t="inlineStr">
        <is>
          <t>v1</t>
        </is>
      </c>
      <c r="F7" s="15" t="inlineStr"/>
    </row>
    <row r="8">
      <c r="A8" s="15" t="inlineStr">
        <is>
          <t>会話の聴解</t>
        </is>
      </c>
      <c r="B8" s="15" t="inlineStr">
        <is>
          <t>あなたはJFT-Basicの作問者です。出題範囲は『いろどり』{Quyển} 第{Bài}課まで。範囲外の語彙・漢字・文法は使わない。4択・正答1つ。正答位置はばらつかせる。解説はベトナム語で、正答の理由と各誤答の理由を書く。出力はJSON配列のみ。</t>
        </is>
      </c>
      <c r="C8" s="15" t="inlineStr">
        <is>
          <t>聴解スクリプトを書く（話者ラベル F:/M:/N:）。場所: {Địa điểm}。話者: {Người nói}。質問: {Câu hỏi trọng tâm}。形式: {Kiểu đáp án}。ひっかけ: {Thông tin bẫy}。{Số lượt thoại}ターン程度。必ず使う語: {Từ vựng/ngữ pháp bắt buộc dùng}</t>
        </is>
      </c>
      <c r="D8" s="15" t="inlineStr">
        <is>
          <t>[{"Stem":"","Script":"","Option1":"","Option2":"","Option3":"","Option4":"","Answer":1,"Explanation_VI":"","ImagePrompt":""}]</t>
        </is>
      </c>
      <c r="E8" s="15" t="inlineStr">
        <is>
          <t>v1</t>
        </is>
      </c>
      <c r="F8" s="15" t="inlineStr"/>
    </row>
    <row r="9">
      <c r="A9" s="15" t="inlineStr">
        <is>
          <t>アナウンス</t>
        </is>
      </c>
      <c r="B9" s="15" t="inlineStr">
        <is>
          <t>あなたはJFT-Basicの作問者です。出題範囲は『いろどり』{Quyển} 第{Bài}課まで。範囲外の語彙・漢字・文法は使わない。4択・正答1つ。正答位置はばらつかせる。解説はベトナム語で、正答の理由と各誤答の理由を書く。出力はJSON配列のみ。</t>
        </is>
      </c>
      <c r="C9" s="15" t="inlineStr">
        <is>
          <t>{Địa điểm}での{Loại thông báo}のアナウンス（N:）を{Độ dài (giây)}秒程度で書く。聞き取らせる情報: {Thông tin cần nghe}。ひっかけ: {Thông tin bẫy}</t>
        </is>
      </c>
      <c r="D9" s="15" t="inlineStr">
        <is>
          <t>[{"Stem":"","Script":"","Option1":"","Option2":"","Option3":"","Option4":"","Answer":1,"Explanation_VI":"","ImagePrompt":""}]</t>
        </is>
      </c>
      <c r="E9" s="15" t="inlineStr">
        <is>
          <t>v1</t>
        </is>
      </c>
      <c r="F9" s="15" t="inlineStr"/>
    </row>
    <row r="10">
      <c r="A10" s="15" t="inlineStr">
        <is>
          <t>指示の聴解</t>
        </is>
      </c>
      <c r="B10" s="15" t="inlineStr">
        <is>
          <t>あなたはJFT-Basicの作問者です。出題範囲は『いろどり』{Quyển} 第{Bài}課まで。範囲外の語彙・漢字・文法は使わない。4択・正答1つ。正答位置はばらつかせる。解説はベトナム語で、正答の理由と各誤答の理由を書く。出力はJSON配列のみ。</t>
        </is>
      </c>
      <c r="C10" s="15" t="inlineStr">
        <is>
          <t>{Người chỉ thị → người nhận}への指示の会話。タスク: {Nhiệm vụ}。手順{Số bước trong chỉ thị}つ。質問: {Câu hỏi}。ひっかけ: {Thông tin bẫy}。形式: {Kiểu đáp án}</t>
        </is>
      </c>
      <c r="D10" s="15" t="inlineStr">
        <is>
          <t>[{"Stem":"","Script":"","Option1":"","Option2":"","Option3":"","Option4":"","Answer":1,"Explanation_VI":"","ImagePrompt":""}]</t>
        </is>
      </c>
      <c r="E10" s="15" t="inlineStr">
        <is>
          <t>v1</t>
        </is>
      </c>
      <c r="F10" s="15" t="inlineStr"/>
    </row>
    <row r="11">
      <c r="A11" s="15" t="inlineStr">
        <is>
          <t>掲示の読解</t>
        </is>
      </c>
      <c r="B11" s="15" t="inlineStr">
        <is>
          <t>あなたはJFT-Basicの作問者です。出題範囲は『いろどり』{Quyển} 第{Bài}課まで。範囲外の語彙・漢字・文法は使わない。4択・正答1つ。正答位置はばらつかせる。解説はベトナム語で、正答の理由と各誤答の理由を書く。出力はJSON配列のみ。</t>
        </is>
      </c>
      <c r="C11" s="15" t="inlineStr">
        <is>
          <t>{Bối cảnh}の{Loại văn bản}を作成し、読解問題を作る。必要情報: {Thông tin chính cần có}。紛らわしい情報: {Thông tin nhiễu}。質問: {Câu hỏi}。画像化する場合はImagePromptに英語で指示</t>
        </is>
      </c>
      <c r="D11" s="15" t="inlineStr">
        <is>
          <t>[{"Stem":"","Script":"","Option1":"","Option2":"","Option3":"","Option4":"","Answer":1,"Explanation_VI":"","ImagePrompt":""}]</t>
        </is>
      </c>
      <c r="E11" s="15" t="inlineStr">
        <is>
          <t>v1</t>
        </is>
      </c>
      <c r="F11" s="15" t="inlineStr"/>
    </row>
    <row r="12">
      <c r="A12" s="15" t="inlineStr">
        <is>
          <t>文章の読解</t>
        </is>
      </c>
      <c r="B12" s="15" t="inlineStr">
        <is>
          <t>あなたはJFT-Basicの作問者です。出題範囲は『いろどり』{Quyển} 第{Bài}課まで。範囲外の語彙・漢字・文法は使わない。4択・正答1つ。正答位置はばらつかせる。解説はベトナム語で、正答の理由と各誤答の理由を書く。出力はJSON配列のみ。</t>
        </is>
      </c>
      <c r="C12" s="15" t="inlineStr">
        <is>
          <t>{Người viết → người đọc}の{Thể loại}（約{Độ dài (字)}字、テーマ: {Chủ đề}）を書き、{Số câu hỏi con}問作る。問う内容: {Ý chính cần hỏi}。各問は同じ本文を共有する</t>
        </is>
      </c>
      <c r="D12" s="15" t="inlineStr">
        <is>
          <t>[{"Stem":"","Script":"","Option1":"","Option2":"","Option3":"","Option4":"","Answer":1,"Explanation_VI":"","ImagePrompt":""}]</t>
        </is>
      </c>
      <c r="E12" s="15" t="inlineStr">
        <is>
          <t>v1</t>
        </is>
      </c>
      <c r="F12" s="1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030A0"/>
    <outlinePr summaryBelow="1" summaryRight="1"/>
    <pageSetUpPr/>
  </sheetPr>
  <dimension ref="A1:AA2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20" customWidth="1" min="4" max="4"/>
    <col width="14" customWidth="1" min="5" max="5"/>
    <col width="12" customWidth="1" min="6" max="6"/>
    <col width="40" customWidth="1" min="7" max="7"/>
    <col width="45" customWidth="1" min="8" max="8"/>
    <col width="20" customWidth="1" min="9" max="9"/>
    <col width="20" customWidth="1" min="10" max="10"/>
    <col width="20" customWidth="1" min="11" max="11"/>
    <col width="20" customWidth="1" min="12" max="12"/>
    <col width="28" customWidth="1" min="13" max="13"/>
    <col width="45" customWidth="1" min="14" max="14"/>
    <col width="28" customWidth="1" min="15" max="15"/>
    <col width="22" customWidth="1" min="16" max="16"/>
    <col width="22" customWidth="1" min="17" max="17"/>
    <col width="28" customWidth="1" min="18" max="18"/>
    <col width="22" customWidth="1" min="19" max="19"/>
    <col width="32" customWidth="1" min="20" max="20"/>
    <col width="26" customWidth="1" min="21" max="21"/>
    <col width="32" customWidth="1" min="22" max="22"/>
    <col width="26" customWidth="1" min="23" max="23"/>
    <col width="20" customWidth="1" min="24" max="24"/>
    <col width="24" customWidth="1" min="25" max="25"/>
    <col width="34" customWidth="1" min="26" max="26"/>
    <col width="18" customWidth="1" min="27" max="27"/>
  </cols>
  <sheetData>
    <row r="1" ht="42" customHeight="1">
      <c r="A1" s="10" t="inlineStr">
        <is>
          <t>Mã câu</t>
        </is>
      </c>
      <c r="B1" s="10" t="inlineStr">
        <is>
          <t>Mã yêu cầu</t>
        </is>
      </c>
      <c r="C1" s="8" t="inlineStr">
        <is>
          <t>Phần thi</t>
        </is>
      </c>
      <c r="D1" s="8" t="inlineStr">
        <is>
          <t>Dạng bài</t>
        </is>
      </c>
      <c r="E1" s="8" t="inlineStr">
        <is>
          <t>Quyển</t>
        </is>
      </c>
      <c r="F1" s="8" t="inlineStr">
        <is>
          <t>Bài</t>
        </is>
      </c>
      <c r="G1" s="13" t="inlineStr">
        <is>
          <t>Nội dung câu hỏi (Content)</t>
        </is>
      </c>
      <c r="H1" s="13" t="inlineStr">
        <is>
          <t>Đoạn văn / Script nghe</t>
        </is>
      </c>
      <c r="I1" s="13" t="inlineStr">
        <is>
          <t>Option 1</t>
        </is>
      </c>
      <c r="J1" s="13" t="inlineStr">
        <is>
          <t>Option 2</t>
        </is>
      </c>
      <c r="K1" s="13" t="inlineStr">
        <is>
          <t>Option 3</t>
        </is>
      </c>
      <c r="L1" s="13" t="inlineStr">
        <is>
          <t>Option 4</t>
        </is>
      </c>
      <c r="M1" s="13" t="inlineStr">
        <is>
          <t>Đáp án (1–4)</t>
        </is>
      </c>
      <c r="N1" s="13" t="inlineStr">
        <is>
          <t>Giải thích (VI)</t>
        </is>
      </c>
      <c r="O1" s="13" t="inlineStr">
        <is>
          <t>Image prompt</t>
        </is>
      </c>
      <c r="P1" s="13" t="inlineStr">
        <is>
          <t>Image Url</t>
        </is>
      </c>
      <c r="Q1" s="13" t="inlineStr">
        <is>
          <t>Audio Url</t>
        </is>
      </c>
      <c r="R1" s="10" t="inlineStr">
        <is>
          <t>Công cụ sinh</t>
        </is>
      </c>
      <c r="S1" s="10" t="inlineStr">
        <is>
          <t>Ngày sinh</t>
        </is>
      </c>
      <c r="T1" s="8" t="inlineStr">
        <is>
          <t>Người duyệt VN</t>
        </is>
      </c>
      <c r="U1" s="8" t="inlineStr">
        <is>
          <t>Nhận xét VN</t>
        </is>
      </c>
      <c r="V1" s="8" t="inlineStr">
        <is>
          <t>Người duyệt JP</t>
        </is>
      </c>
      <c r="W1" s="8" t="inlineStr">
        <is>
          <t>Nhận xét JP</t>
        </is>
      </c>
      <c r="X1" s="8" t="inlineStr">
        <is>
          <t>Loại lỗi</t>
        </is>
      </c>
      <c r="Y1" s="8" t="inlineStr">
        <is>
          <t>Trạng thái</t>
        </is>
      </c>
      <c r="Z1" s="10" t="inlineStr">
        <is>
          <t>Số lần đã ra đề</t>
        </is>
      </c>
      <c r="AA1" s="10" t="inlineStr">
        <is>
          <t>Tag LMS</t>
        </is>
      </c>
    </row>
    <row r="2">
      <c r="Z2">
        <f>IF(A2="","",COUNTIF('40_RAP_DE'!$C:$C,A2))</f>
        <v/>
      </c>
      <c r="AA2">
        <f>IF(A2="","","JFT|"&amp;C2&amp;"|"&amp;D2&amp;"|"&amp;E2&amp;"L"&amp;F2)</f>
        <v/>
      </c>
    </row>
    <row r="3">
      <c r="Z3">
        <f>IF(A3="","",COUNTIF('40_RAP_DE'!$C:$C,A3))</f>
        <v/>
      </c>
      <c r="AA3">
        <f>IF(A3="","","JFT|"&amp;C3&amp;"|"&amp;D3&amp;"|"&amp;E3&amp;"L"&amp;F3)</f>
        <v/>
      </c>
    </row>
    <row r="4">
      <c r="Z4">
        <f>IF(A4="","",COUNTIF('40_RAP_DE'!$C:$C,A4))</f>
        <v/>
      </c>
      <c r="AA4">
        <f>IF(A4="","","JFT|"&amp;C4&amp;"|"&amp;D4&amp;"|"&amp;E4&amp;"L"&amp;F4)</f>
        <v/>
      </c>
    </row>
    <row r="5">
      <c r="Z5">
        <f>IF(A5="","",COUNTIF('40_RAP_DE'!$C:$C,A5))</f>
        <v/>
      </c>
      <c r="AA5">
        <f>IF(A5="","","JFT|"&amp;C5&amp;"|"&amp;D5&amp;"|"&amp;E5&amp;"L"&amp;F5)</f>
        <v/>
      </c>
    </row>
    <row r="6">
      <c r="Z6">
        <f>IF(A6="","",COUNTIF('40_RAP_DE'!$C:$C,A6))</f>
        <v/>
      </c>
      <c r="AA6">
        <f>IF(A6="","","JFT|"&amp;C6&amp;"|"&amp;D6&amp;"|"&amp;E6&amp;"L"&amp;F6)</f>
        <v/>
      </c>
    </row>
    <row r="7">
      <c r="Z7">
        <f>IF(A7="","",COUNTIF('40_RAP_DE'!$C:$C,A7))</f>
        <v/>
      </c>
      <c r="AA7">
        <f>IF(A7="","","JFT|"&amp;C7&amp;"|"&amp;D7&amp;"|"&amp;E7&amp;"L"&amp;F7)</f>
        <v/>
      </c>
    </row>
    <row r="8">
      <c r="Z8">
        <f>IF(A8="","",COUNTIF('40_RAP_DE'!$C:$C,A8))</f>
        <v/>
      </c>
      <c r="AA8">
        <f>IF(A8="","","JFT|"&amp;C8&amp;"|"&amp;D8&amp;"|"&amp;E8&amp;"L"&amp;F8)</f>
        <v/>
      </c>
    </row>
    <row r="9">
      <c r="Z9">
        <f>IF(A9="","",COUNTIF('40_RAP_DE'!$C:$C,A9))</f>
        <v/>
      </c>
      <c r="AA9">
        <f>IF(A9="","","JFT|"&amp;C9&amp;"|"&amp;D9&amp;"|"&amp;E9&amp;"L"&amp;F9)</f>
        <v/>
      </c>
    </row>
    <row r="10">
      <c r="Z10">
        <f>IF(A10="","",COUNTIF('40_RAP_DE'!$C:$C,A10))</f>
        <v/>
      </c>
      <c r="AA10">
        <f>IF(A10="","","JFT|"&amp;C10&amp;"|"&amp;D10&amp;"|"&amp;E10&amp;"L"&amp;F10)</f>
        <v/>
      </c>
    </row>
    <row r="11">
      <c r="Z11">
        <f>IF(A11="","",COUNTIF('40_RAP_DE'!$C:$C,A11))</f>
        <v/>
      </c>
      <c r="AA11">
        <f>IF(A11="","","JFT|"&amp;C11&amp;"|"&amp;D11&amp;"|"&amp;E11&amp;"L"&amp;F11)</f>
        <v/>
      </c>
    </row>
    <row r="12">
      <c r="Z12">
        <f>IF(A12="","",COUNTIF('40_RAP_DE'!$C:$C,A12))</f>
        <v/>
      </c>
      <c r="AA12">
        <f>IF(A12="","","JFT|"&amp;C12&amp;"|"&amp;D12&amp;"|"&amp;E12&amp;"L"&amp;F12)</f>
        <v/>
      </c>
    </row>
    <row r="13">
      <c r="Z13">
        <f>IF(A13="","",COUNTIF('40_RAP_DE'!$C:$C,A13))</f>
        <v/>
      </c>
      <c r="AA13">
        <f>IF(A13="","","JFT|"&amp;C13&amp;"|"&amp;D13&amp;"|"&amp;E13&amp;"L"&amp;F13)</f>
        <v/>
      </c>
    </row>
    <row r="14">
      <c r="Z14">
        <f>IF(A14="","",COUNTIF('40_RAP_DE'!$C:$C,A14))</f>
        <v/>
      </c>
      <c r="AA14">
        <f>IF(A14="","","JFT|"&amp;C14&amp;"|"&amp;D14&amp;"|"&amp;E14&amp;"L"&amp;F14)</f>
        <v/>
      </c>
    </row>
    <row r="15">
      <c r="Z15">
        <f>IF(A15="","",COUNTIF('40_RAP_DE'!$C:$C,A15))</f>
        <v/>
      </c>
      <c r="AA15">
        <f>IF(A15="","","JFT|"&amp;C15&amp;"|"&amp;D15&amp;"|"&amp;E15&amp;"L"&amp;F15)</f>
        <v/>
      </c>
    </row>
    <row r="16">
      <c r="Z16">
        <f>IF(A16="","",COUNTIF('40_RAP_DE'!$C:$C,A16))</f>
        <v/>
      </c>
      <c r="AA16">
        <f>IF(A16="","","JFT|"&amp;C16&amp;"|"&amp;D16&amp;"|"&amp;E16&amp;"L"&amp;F16)</f>
        <v/>
      </c>
    </row>
    <row r="17">
      <c r="Z17">
        <f>IF(A17="","",COUNTIF('40_RAP_DE'!$C:$C,A17))</f>
        <v/>
      </c>
      <c r="AA17">
        <f>IF(A17="","","JFT|"&amp;C17&amp;"|"&amp;D17&amp;"|"&amp;E17&amp;"L"&amp;F17)</f>
        <v/>
      </c>
    </row>
    <row r="18">
      <c r="Z18">
        <f>IF(A18="","",COUNTIF('40_RAP_DE'!$C:$C,A18))</f>
        <v/>
      </c>
      <c r="AA18">
        <f>IF(A18="","","JFT|"&amp;C18&amp;"|"&amp;D18&amp;"|"&amp;E18&amp;"L"&amp;F18)</f>
        <v/>
      </c>
    </row>
    <row r="19">
      <c r="Z19">
        <f>IF(A19="","",COUNTIF('40_RAP_DE'!$C:$C,A19))</f>
        <v/>
      </c>
      <c r="AA19">
        <f>IF(A19="","","JFT|"&amp;C19&amp;"|"&amp;D19&amp;"|"&amp;E19&amp;"L"&amp;F19)</f>
        <v/>
      </c>
    </row>
    <row r="20">
      <c r="Z20">
        <f>IF(A20="","",COUNTIF('40_RAP_DE'!$C:$C,A20))</f>
        <v/>
      </c>
      <c r="AA20">
        <f>IF(A20="","","JFT|"&amp;C20&amp;"|"&amp;D20&amp;"|"&amp;E20&amp;"L"&amp;F20)</f>
        <v/>
      </c>
    </row>
    <row r="21">
      <c r="Z21">
        <f>IF(A21="","",COUNTIF('40_RAP_DE'!$C:$C,A21))</f>
        <v/>
      </c>
      <c r="AA21">
        <f>IF(A21="","","JFT|"&amp;C21&amp;"|"&amp;D21&amp;"|"&amp;E21&amp;"L"&amp;F21)</f>
        <v/>
      </c>
    </row>
    <row r="22">
      <c r="Z22">
        <f>IF(A22="","",COUNTIF('40_RAP_DE'!$C:$C,A22))</f>
        <v/>
      </c>
      <c r="AA22">
        <f>IF(A22="","","JFT|"&amp;C22&amp;"|"&amp;D22&amp;"|"&amp;E22&amp;"L"&amp;F22)</f>
        <v/>
      </c>
    </row>
    <row r="23">
      <c r="Z23">
        <f>IF(A23="","",COUNTIF('40_RAP_DE'!$C:$C,A23))</f>
        <v/>
      </c>
      <c r="AA23">
        <f>IF(A23="","","JFT|"&amp;C23&amp;"|"&amp;D23&amp;"|"&amp;E23&amp;"L"&amp;F23)</f>
        <v/>
      </c>
    </row>
    <row r="24">
      <c r="Z24">
        <f>IF(A24="","",COUNTIF('40_RAP_DE'!$C:$C,A24))</f>
        <v/>
      </c>
      <c r="AA24">
        <f>IF(A24="","","JFT|"&amp;C24&amp;"|"&amp;D24&amp;"|"&amp;E24&amp;"L"&amp;F24)</f>
        <v/>
      </c>
    </row>
    <row r="25">
      <c r="Z25">
        <f>IF(A25="","",COUNTIF('40_RAP_DE'!$C:$C,A25))</f>
        <v/>
      </c>
      <c r="AA25">
        <f>IF(A25="","","JFT|"&amp;C25&amp;"|"&amp;D25&amp;"|"&amp;E25&amp;"L"&amp;F25)</f>
        <v/>
      </c>
    </row>
    <row r="26">
      <c r="Z26">
        <f>IF(A26="","",COUNTIF('40_RAP_DE'!$C:$C,A26))</f>
        <v/>
      </c>
      <c r="AA26">
        <f>IF(A26="","","JFT|"&amp;C26&amp;"|"&amp;D26&amp;"|"&amp;E26&amp;"L"&amp;F26)</f>
        <v/>
      </c>
    </row>
    <row r="27">
      <c r="Z27">
        <f>IF(A27="","",COUNTIF('40_RAP_DE'!$C:$C,A27))</f>
        <v/>
      </c>
      <c r="AA27">
        <f>IF(A27="","","JFT|"&amp;C27&amp;"|"&amp;D27&amp;"|"&amp;E27&amp;"L"&amp;F27)</f>
        <v/>
      </c>
    </row>
    <row r="28">
      <c r="Z28">
        <f>IF(A28="","",COUNTIF('40_RAP_DE'!$C:$C,A28))</f>
        <v/>
      </c>
      <c r="AA28">
        <f>IF(A28="","","JFT|"&amp;C28&amp;"|"&amp;D28&amp;"|"&amp;E28&amp;"L"&amp;F28)</f>
        <v/>
      </c>
    </row>
    <row r="29">
      <c r="Z29">
        <f>IF(A29="","",COUNTIF('40_RAP_DE'!$C:$C,A29))</f>
        <v/>
      </c>
      <c r="AA29">
        <f>IF(A29="","","JFT|"&amp;C29&amp;"|"&amp;D29&amp;"|"&amp;E29&amp;"L"&amp;F29)</f>
        <v/>
      </c>
    </row>
    <row r="30">
      <c r="Z30">
        <f>IF(A30="","",COUNTIF('40_RAP_DE'!$C:$C,A30))</f>
        <v/>
      </c>
      <c r="AA30">
        <f>IF(A30="","","JFT|"&amp;C30&amp;"|"&amp;D30&amp;"|"&amp;E30&amp;"L"&amp;F30)</f>
        <v/>
      </c>
    </row>
    <row r="31">
      <c r="Z31">
        <f>IF(A31="","",COUNTIF('40_RAP_DE'!$C:$C,A31))</f>
        <v/>
      </c>
      <c r="AA31">
        <f>IF(A31="","","JFT|"&amp;C31&amp;"|"&amp;D31&amp;"|"&amp;E31&amp;"L"&amp;F31)</f>
        <v/>
      </c>
    </row>
    <row r="32">
      <c r="Z32">
        <f>IF(A32="","",COUNTIF('40_RAP_DE'!$C:$C,A32))</f>
        <v/>
      </c>
      <c r="AA32">
        <f>IF(A32="","","JFT|"&amp;C32&amp;"|"&amp;D32&amp;"|"&amp;E32&amp;"L"&amp;F32)</f>
        <v/>
      </c>
    </row>
    <row r="33">
      <c r="Z33">
        <f>IF(A33="","",COUNTIF('40_RAP_DE'!$C:$C,A33))</f>
        <v/>
      </c>
      <c r="AA33">
        <f>IF(A33="","","JFT|"&amp;C33&amp;"|"&amp;D33&amp;"|"&amp;E33&amp;"L"&amp;F33)</f>
        <v/>
      </c>
    </row>
    <row r="34">
      <c r="Z34">
        <f>IF(A34="","",COUNTIF('40_RAP_DE'!$C:$C,A34))</f>
        <v/>
      </c>
      <c r="AA34">
        <f>IF(A34="","","JFT|"&amp;C34&amp;"|"&amp;D34&amp;"|"&amp;E34&amp;"L"&amp;F34)</f>
        <v/>
      </c>
    </row>
    <row r="35">
      <c r="Z35">
        <f>IF(A35="","",COUNTIF('40_RAP_DE'!$C:$C,A35))</f>
        <v/>
      </c>
      <c r="AA35">
        <f>IF(A35="","","JFT|"&amp;C35&amp;"|"&amp;D35&amp;"|"&amp;E35&amp;"L"&amp;F35)</f>
        <v/>
      </c>
    </row>
    <row r="36">
      <c r="Z36">
        <f>IF(A36="","",COUNTIF('40_RAP_DE'!$C:$C,A36))</f>
        <v/>
      </c>
      <c r="AA36">
        <f>IF(A36="","","JFT|"&amp;C36&amp;"|"&amp;D36&amp;"|"&amp;E36&amp;"L"&amp;F36)</f>
        <v/>
      </c>
    </row>
    <row r="37">
      <c r="Z37">
        <f>IF(A37="","",COUNTIF('40_RAP_DE'!$C:$C,A37))</f>
        <v/>
      </c>
      <c r="AA37">
        <f>IF(A37="","","JFT|"&amp;C37&amp;"|"&amp;D37&amp;"|"&amp;E37&amp;"L"&amp;F37)</f>
        <v/>
      </c>
    </row>
    <row r="38">
      <c r="Z38">
        <f>IF(A38="","",COUNTIF('40_RAP_DE'!$C:$C,A38))</f>
        <v/>
      </c>
      <c r="AA38">
        <f>IF(A38="","","JFT|"&amp;C38&amp;"|"&amp;D38&amp;"|"&amp;E38&amp;"L"&amp;F38)</f>
        <v/>
      </c>
    </row>
    <row r="39">
      <c r="Z39">
        <f>IF(A39="","",COUNTIF('40_RAP_DE'!$C:$C,A39))</f>
        <v/>
      </c>
      <c r="AA39">
        <f>IF(A39="","","JFT|"&amp;C39&amp;"|"&amp;D39&amp;"|"&amp;E39&amp;"L"&amp;F39)</f>
        <v/>
      </c>
    </row>
    <row r="40">
      <c r="Z40">
        <f>IF(A40="","",COUNTIF('40_RAP_DE'!$C:$C,A40))</f>
        <v/>
      </c>
      <c r="AA40">
        <f>IF(A40="","","JFT|"&amp;C40&amp;"|"&amp;D40&amp;"|"&amp;E40&amp;"L"&amp;F40)</f>
        <v/>
      </c>
    </row>
    <row r="41">
      <c r="Z41">
        <f>IF(A41="","",COUNTIF('40_RAP_DE'!$C:$C,A41))</f>
        <v/>
      </c>
      <c r="AA41">
        <f>IF(A41="","","JFT|"&amp;C41&amp;"|"&amp;D41&amp;"|"&amp;E41&amp;"L"&amp;F41)</f>
        <v/>
      </c>
    </row>
    <row r="42">
      <c r="Z42">
        <f>IF(A42="","",COUNTIF('40_RAP_DE'!$C:$C,A42))</f>
        <v/>
      </c>
      <c r="AA42">
        <f>IF(A42="","","JFT|"&amp;C42&amp;"|"&amp;D42&amp;"|"&amp;E42&amp;"L"&amp;F42)</f>
        <v/>
      </c>
    </row>
    <row r="43">
      <c r="Z43">
        <f>IF(A43="","",COUNTIF('40_RAP_DE'!$C:$C,A43))</f>
        <v/>
      </c>
      <c r="AA43">
        <f>IF(A43="","","JFT|"&amp;C43&amp;"|"&amp;D43&amp;"|"&amp;E43&amp;"L"&amp;F43)</f>
        <v/>
      </c>
    </row>
    <row r="44">
      <c r="Z44">
        <f>IF(A44="","",COUNTIF('40_RAP_DE'!$C:$C,A44))</f>
        <v/>
      </c>
      <c r="AA44">
        <f>IF(A44="","","JFT|"&amp;C44&amp;"|"&amp;D44&amp;"|"&amp;E44&amp;"L"&amp;F44)</f>
        <v/>
      </c>
    </row>
    <row r="45">
      <c r="Z45">
        <f>IF(A45="","",COUNTIF('40_RAP_DE'!$C:$C,A45))</f>
        <v/>
      </c>
      <c r="AA45">
        <f>IF(A45="","","JFT|"&amp;C45&amp;"|"&amp;D45&amp;"|"&amp;E45&amp;"L"&amp;F45)</f>
        <v/>
      </c>
    </row>
    <row r="46">
      <c r="Z46">
        <f>IF(A46="","",COUNTIF('40_RAP_DE'!$C:$C,A46))</f>
        <v/>
      </c>
      <c r="AA46">
        <f>IF(A46="","","JFT|"&amp;C46&amp;"|"&amp;D46&amp;"|"&amp;E46&amp;"L"&amp;F46)</f>
        <v/>
      </c>
    </row>
    <row r="47">
      <c r="Z47">
        <f>IF(A47="","",COUNTIF('40_RAP_DE'!$C:$C,A47))</f>
        <v/>
      </c>
      <c r="AA47">
        <f>IF(A47="","","JFT|"&amp;C47&amp;"|"&amp;D47&amp;"|"&amp;E47&amp;"L"&amp;F47)</f>
        <v/>
      </c>
    </row>
    <row r="48">
      <c r="Z48">
        <f>IF(A48="","",COUNTIF('40_RAP_DE'!$C:$C,A48))</f>
        <v/>
      </c>
      <c r="AA48">
        <f>IF(A48="","","JFT|"&amp;C48&amp;"|"&amp;D48&amp;"|"&amp;E48&amp;"L"&amp;F48)</f>
        <v/>
      </c>
    </row>
    <row r="49">
      <c r="Z49">
        <f>IF(A49="","",COUNTIF('40_RAP_DE'!$C:$C,A49))</f>
        <v/>
      </c>
      <c r="AA49">
        <f>IF(A49="","","JFT|"&amp;C49&amp;"|"&amp;D49&amp;"|"&amp;E49&amp;"L"&amp;F49)</f>
        <v/>
      </c>
    </row>
    <row r="50">
      <c r="Z50">
        <f>IF(A50="","",COUNTIF('40_RAP_DE'!$C:$C,A50))</f>
        <v/>
      </c>
      <c r="AA50">
        <f>IF(A50="","","JFT|"&amp;C50&amp;"|"&amp;D50&amp;"|"&amp;E50&amp;"L"&amp;F50)</f>
        <v/>
      </c>
    </row>
    <row r="51">
      <c r="Z51">
        <f>IF(A51="","",COUNTIF('40_RAP_DE'!$C:$C,A51))</f>
        <v/>
      </c>
      <c r="AA51">
        <f>IF(A51="","","JFT|"&amp;C51&amp;"|"&amp;D51&amp;"|"&amp;E51&amp;"L"&amp;F51)</f>
        <v/>
      </c>
    </row>
    <row r="52">
      <c r="Z52">
        <f>IF(A52="","",COUNTIF('40_RAP_DE'!$C:$C,A52))</f>
        <v/>
      </c>
      <c r="AA52">
        <f>IF(A52="","","JFT|"&amp;C52&amp;"|"&amp;D52&amp;"|"&amp;E52&amp;"L"&amp;F52)</f>
        <v/>
      </c>
    </row>
    <row r="53">
      <c r="Z53">
        <f>IF(A53="","",COUNTIF('40_RAP_DE'!$C:$C,A53))</f>
        <v/>
      </c>
      <c r="AA53">
        <f>IF(A53="","","JFT|"&amp;C53&amp;"|"&amp;D53&amp;"|"&amp;E53&amp;"L"&amp;F53)</f>
        <v/>
      </c>
    </row>
    <row r="54">
      <c r="Z54">
        <f>IF(A54="","",COUNTIF('40_RAP_DE'!$C:$C,A54))</f>
        <v/>
      </c>
      <c r="AA54">
        <f>IF(A54="","","JFT|"&amp;C54&amp;"|"&amp;D54&amp;"|"&amp;E54&amp;"L"&amp;F54)</f>
        <v/>
      </c>
    </row>
    <row r="55">
      <c r="Z55">
        <f>IF(A55="","",COUNTIF('40_RAP_DE'!$C:$C,A55))</f>
        <v/>
      </c>
      <c r="AA55">
        <f>IF(A55="","","JFT|"&amp;C55&amp;"|"&amp;D55&amp;"|"&amp;E55&amp;"L"&amp;F55)</f>
        <v/>
      </c>
    </row>
    <row r="56">
      <c r="Z56">
        <f>IF(A56="","",COUNTIF('40_RAP_DE'!$C:$C,A56))</f>
        <v/>
      </c>
      <c r="AA56">
        <f>IF(A56="","","JFT|"&amp;C56&amp;"|"&amp;D56&amp;"|"&amp;E56&amp;"L"&amp;F56)</f>
        <v/>
      </c>
    </row>
    <row r="57">
      <c r="Z57">
        <f>IF(A57="","",COUNTIF('40_RAP_DE'!$C:$C,A57))</f>
        <v/>
      </c>
      <c r="AA57">
        <f>IF(A57="","","JFT|"&amp;C57&amp;"|"&amp;D57&amp;"|"&amp;E57&amp;"L"&amp;F57)</f>
        <v/>
      </c>
    </row>
    <row r="58">
      <c r="Z58">
        <f>IF(A58="","",COUNTIF('40_RAP_DE'!$C:$C,A58))</f>
        <v/>
      </c>
      <c r="AA58">
        <f>IF(A58="","","JFT|"&amp;C58&amp;"|"&amp;D58&amp;"|"&amp;E58&amp;"L"&amp;F58)</f>
        <v/>
      </c>
    </row>
    <row r="59">
      <c r="Z59">
        <f>IF(A59="","",COUNTIF('40_RAP_DE'!$C:$C,A59))</f>
        <v/>
      </c>
      <c r="AA59">
        <f>IF(A59="","","JFT|"&amp;C59&amp;"|"&amp;D59&amp;"|"&amp;E59&amp;"L"&amp;F59)</f>
        <v/>
      </c>
    </row>
    <row r="60">
      <c r="Z60">
        <f>IF(A60="","",COUNTIF('40_RAP_DE'!$C:$C,A60))</f>
        <v/>
      </c>
      <c r="AA60">
        <f>IF(A60="","","JFT|"&amp;C60&amp;"|"&amp;D60&amp;"|"&amp;E60&amp;"L"&amp;F60)</f>
        <v/>
      </c>
    </row>
    <row r="61">
      <c r="Z61">
        <f>IF(A61="","",COUNTIF('40_RAP_DE'!$C:$C,A61))</f>
        <v/>
      </c>
      <c r="AA61">
        <f>IF(A61="","","JFT|"&amp;C61&amp;"|"&amp;D61&amp;"|"&amp;E61&amp;"L"&amp;F61)</f>
        <v/>
      </c>
    </row>
    <row r="62">
      <c r="Z62">
        <f>IF(A62="","",COUNTIF('40_RAP_DE'!$C:$C,A62))</f>
        <v/>
      </c>
      <c r="AA62">
        <f>IF(A62="","","JFT|"&amp;C62&amp;"|"&amp;D62&amp;"|"&amp;E62&amp;"L"&amp;F62)</f>
        <v/>
      </c>
    </row>
    <row r="63">
      <c r="Z63">
        <f>IF(A63="","",COUNTIF('40_RAP_DE'!$C:$C,A63))</f>
        <v/>
      </c>
      <c r="AA63">
        <f>IF(A63="","","JFT|"&amp;C63&amp;"|"&amp;D63&amp;"|"&amp;E63&amp;"L"&amp;F63)</f>
        <v/>
      </c>
    </row>
    <row r="64">
      <c r="Z64">
        <f>IF(A64="","",COUNTIF('40_RAP_DE'!$C:$C,A64))</f>
        <v/>
      </c>
      <c r="AA64">
        <f>IF(A64="","","JFT|"&amp;C64&amp;"|"&amp;D64&amp;"|"&amp;E64&amp;"L"&amp;F64)</f>
        <v/>
      </c>
    </row>
    <row r="65">
      <c r="Z65">
        <f>IF(A65="","",COUNTIF('40_RAP_DE'!$C:$C,A65))</f>
        <v/>
      </c>
      <c r="AA65">
        <f>IF(A65="","","JFT|"&amp;C65&amp;"|"&amp;D65&amp;"|"&amp;E65&amp;"L"&amp;F65)</f>
        <v/>
      </c>
    </row>
    <row r="66">
      <c r="Z66">
        <f>IF(A66="","",COUNTIF('40_RAP_DE'!$C:$C,A66))</f>
        <v/>
      </c>
      <c r="AA66">
        <f>IF(A66="","","JFT|"&amp;C66&amp;"|"&amp;D66&amp;"|"&amp;E66&amp;"L"&amp;F66)</f>
        <v/>
      </c>
    </row>
    <row r="67">
      <c r="Z67">
        <f>IF(A67="","",COUNTIF('40_RAP_DE'!$C:$C,A67))</f>
        <v/>
      </c>
      <c r="AA67">
        <f>IF(A67="","","JFT|"&amp;C67&amp;"|"&amp;D67&amp;"|"&amp;E67&amp;"L"&amp;F67)</f>
        <v/>
      </c>
    </row>
    <row r="68">
      <c r="Z68">
        <f>IF(A68="","",COUNTIF('40_RAP_DE'!$C:$C,A68))</f>
        <v/>
      </c>
      <c r="AA68">
        <f>IF(A68="","","JFT|"&amp;C68&amp;"|"&amp;D68&amp;"|"&amp;E68&amp;"L"&amp;F68)</f>
        <v/>
      </c>
    </row>
    <row r="69">
      <c r="Z69">
        <f>IF(A69="","",COUNTIF('40_RAP_DE'!$C:$C,A69))</f>
        <v/>
      </c>
      <c r="AA69">
        <f>IF(A69="","","JFT|"&amp;C69&amp;"|"&amp;D69&amp;"|"&amp;E69&amp;"L"&amp;F69)</f>
        <v/>
      </c>
    </row>
    <row r="70">
      <c r="Z70">
        <f>IF(A70="","",COUNTIF('40_RAP_DE'!$C:$C,A70))</f>
        <v/>
      </c>
      <c r="AA70">
        <f>IF(A70="","","JFT|"&amp;C70&amp;"|"&amp;D70&amp;"|"&amp;E70&amp;"L"&amp;F70)</f>
        <v/>
      </c>
    </row>
    <row r="71">
      <c r="Z71">
        <f>IF(A71="","",COUNTIF('40_RAP_DE'!$C:$C,A71))</f>
        <v/>
      </c>
      <c r="AA71">
        <f>IF(A71="","","JFT|"&amp;C71&amp;"|"&amp;D71&amp;"|"&amp;E71&amp;"L"&amp;F71)</f>
        <v/>
      </c>
    </row>
    <row r="72">
      <c r="Z72">
        <f>IF(A72="","",COUNTIF('40_RAP_DE'!$C:$C,A72))</f>
        <v/>
      </c>
      <c r="AA72">
        <f>IF(A72="","","JFT|"&amp;C72&amp;"|"&amp;D72&amp;"|"&amp;E72&amp;"L"&amp;F72)</f>
        <v/>
      </c>
    </row>
    <row r="73">
      <c r="Z73">
        <f>IF(A73="","",COUNTIF('40_RAP_DE'!$C:$C,A73))</f>
        <v/>
      </c>
      <c r="AA73">
        <f>IF(A73="","","JFT|"&amp;C73&amp;"|"&amp;D73&amp;"|"&amp;E73&amp;"L"&amp;F73)</f>
        <v/>
      </c>
    </row>
    <row r="74">
      <c r="Z74">
        <f>IF(A74="","",COUNTIF('40_RAP_DE'!$C:$C,A74))</f>
        <v/>
      </c>
      <c r="AA74">
        <f>IF(A74="","","JFT|"&amp;C74&amp;"|"&amp;D74&amp;"|"&amp;E74&amp;"L"&amp;F74)</f>
        <v/>
      </c>
    </row>
    <row r="75">
      <c r="Z75">
        <f>IF(A75="","",COUNTIF('40_RAP_DE'!$C:$C,A75))</f>
        <v/>
      </c>
      <c r="AA75">
        <f>IF(A75="","","JFT|"&amp;C75&amp;"|"&amp;D75&amp;"|"&amp;E75&amp;"L"&amp;F75)</f>
        <v/>
      </c>
    </row>
    <row r="76">
      <c r="Z76">
        <f>IF(A76="","",COUNTIF('40_RAP_DE'!$C:$C,A76))</f>
        <v/>
      </c>
      <c r="AA76">
        <f>IF(A76="","","JFT|"&amp;C76&amp;"|"&amp;D76&amp;"|"&amp;E76&amp;"L"&amp;F76)</f>
        <v/>
      </c>
    </row>
    <row r="77">
      <c r="Z77">
        <f>IF(A77="","",COUNTIF('40_RAP_DE'!$C:$C,A77))</f>
        <v/>
      </c>
      <c r="AA77">
        <f>IF(A77="","","JFT|"&amp;C77&amp;"|"&amp;D77&amp;"|"&amp;E77&amp;"L"&amp;F77)</f>
        <v/>
      </c>
    </row>
    <row r="78">
      <c r="Z78">
        <f>IF(A78="","",COUNTIF('40_RAP_DE'!$C:$C,A78))</f>
        <v/>
      </c>
      <c r="AA78">
        <f>IF(A78="","","JFT|"&amp;C78&amp;"|"&amp;D78&amp;"|"&amp;E78&amp;"L"&amp;F78)</f>
        <v/>
      </c>
    </row>
    <row r="79">
      <c r="Z79">
        <f>IF(A79="","",COUNTIF('40_RAP_DE'!$C:$C,A79))</f>
        <v/>
      </c>
      <c r="AA79">
        <f>IF(A79="","","JFT|"&amp;C79&amp;"|"&amp;D79&amp;"|"&amp;E79&amp;"L"&amp;F79)</f>
        <v/>
      </c>
    </row>
    <row r="80">
      <c r="Z80">
        <f>IF(A80="","",COUNTIF('40_RAP_DE'!$C:$C,A80))</f>
        <v/>
      </c>
      <c r="AA80">
        <f>IF(A80="","","JFT|"&amp;C80&amp;"|"&amp;D80&amp;"|"&amp;E80&amp;"L"&amp;F80)</f>
        <v/>
      </c>
    </row>
    <row r="81">
      <c r="Z81">
        <f>IF(A81="","",COUNTIF('40_RAP_DE'!$C:$C,A81))</f>
        <v/>
      </c>
      <c r="AA81">
        <f>IF(A81="","","JFT|"&amp;C81&amp;"|"&amp;D81&amp;"|"&amp;E81&amp;"L"&amp;F81)</f>
        <v/>
      </c>
    </row>
    <row r="82">
      <c r="Z82">
        <f>IF(A82="","",COUNTIF('40_RAP_DE'!$C:$C,A82))</f>
        <v/>
      </c>
      <c r="AA82">
        <f>IF(A82="","","JFT|"&amp;C82&amp;"|"&amp;D82&amp;"|"&amp;E82&amp;"L"&amp;F82)</f>
        <v/>
      </c>
    </row>
    <row r="83">
      <c r="Z83">
        <f>IF(A83="","",COUNTIF('40_RAP_DE'!$C:$C,A83))</f>
        <v/>
      </c>
      <c r="AA83">
        <f>IF(A83="","","JFT|"&amp;C83&amp;"|"&amp;D83&amp;"|"&amp;E83&amp;"L"&amp;F83)</f>
        <v/>
      </c>
    </row>
    <row r="84">
      <c r="Z84">
        <f>IF(A84="","",COUNTIF('40_RAP_DE'!$C:$C,A84))</f>
        <v/>
      </c>
      <c r="AA84">
        <f>IF(A84="","","JFT|"&amp;C84&amp;"|"&amp;D84&amp;"|"&amp;E84&amp;"L"&amp;F84)</f>
        <v/>
      </c>
    </row>
    <row r="85">
      <c r="Z85">
        <f>IF(A85="","",COUNTIF('40_RAP_DE'!$C:$C,A85))</f>
        <v/>
      </c>
      <c r="AA85">
        <f>IF(A85="","","JFT|"&amp;C85&amp;"|"&amp;D85&amp;"|"&amp;E85&amp;"L"&amp;F85)</f>
        <v/>
      </c>
    </row>
    <row r="86">
      <c r="Z86">
        <f>IF(A86="","",COUNTIF('40_RAP_DE'!$C:$C,A86))</f>
        <v/>
      </c>
      <c r="AA86">
        <f>IF(A86="","","JFT|"&amp;C86&amp;"|"&amp;D86&amp;"|"&amp;E86&amp;"L"&amp;F86)</f>
        <v/>
      </c>
    </row>
    <row r="87">
      <c r="Z87">
        <f>IF(A87="","",COUNTIF('40_RAP_DE'!$C:$C,A87))</f>
        <v/>
      </c>
      <c r="AA87">
        <f>IF(A87="","","JFT|"&amp;C87&amp;"|"&amp;D87&amp;"|"&amp;E87&amp;"L"&amp;F87)</f>
        <v/>
      </c>
    </row>
    <row r="88">
      <c r="Z88">
        <f>IF(A88="","",COUNTIF('40_RAP_DE'!$C:$C,A88))</f>
        <v/>
      </c>
      <c r="AA88">
        <f>IF(A88="","","JFT|"&amp;C88&amp;"|"&amp;D88&amp;"|"&amp;E88&amp;"L"&amp;F88)</f>
        <v/>
      </c>
    </row>
    <row r="89">
      <c r="Z89">
        <f>IF(A89="","",COUNTIF('40_RAP_DE'!$C:$C,A89))</f>
        <v/>
      </c>
      <c r="AA89">
        <f>IF(A89="","","JFT|"&amp;C89&amp;"|"&amp;D89&amp;"|"&amp;E89&amp;"L"&amp;F89)</f>
        <v/>
      </c>
    </row>
    <row r="90">
      <c r="Z90">
        <f>IF(A90="","",COUNTIF('40_RAP_DE'!$C:$C,A90))</f>
        <v/>
      </c>
      <c r="AA90">
        <f>IF(A90="","","JFT|"&amp;C90&amp;"|"&amp;D90&amp;"|"&amp;E90&amp;"L"&amp;F90)</f>
        <v/>
      </c>
    </row>
    <row r="91">
      <c r="Z91">
        <f>IF(A91="","",COUNTIF('40_RAP_DE'!$C:$C,A91))</f>
        <v/>
      </c>
      <c r="AA91">
        <f>IF(A91="","","JFT|"&amp;C91&amp;"|"&amp;D91&amp;"|"&amp;E91&amp;"L"&amp;F91)</f>
        <v/>
      </c>
    </row>
    <row r="92">
      <c r="Z92">
        <f>IF(A92="","",COUNTIF('40_RAP_DE'!$C:$C,A92))</f>
        <v/>
      </c>
      <c r="AA92">
        <f>IF(A92="","","JFT|"&amp;C92&amp;"|"&amp;D92&amp;"|"&amp;E92&amp;"L"&amp;F92)</f>
        <v/>
      </c>
    </row>
    <row r="93">
      <c r="Z93">
        <f>IF(A93="","",COUNTIF('40_RAP_DE'!$C:$C,A93))</f>
        <v/>
      </c>
      <c r="AA93">
        <f>IF(A93="","","JFT|"&amp;C93&amp;"|"&amp;D93&amp;"|"&amp;E93&amp;"L"&amp;F93)</f>
        <v/>
      </c>
    </row>
    <row r="94">
      <c r="Z94">
        <f>IF(A94="","",COUNTIF('40_RAP_DE'!$C:$C,A94))</f>
        <v/>
      </c>
      <c r="AA94">
        <f>IF(A94="","","JFT|"&amp;C94&amp;"|"&amp;D94&amp;"|"&amp;E94&amp;"L"&amp;F94)</f>
        <v/>
      </c>
    </row>
    <row r="95">
      <c r="Z95">
        <f>IF(A95="","",COUNTIF('40_RAP_DE'!$C:$C,A95))</f>
        <v/>
      </c>
      <c r="AA95">
        <f>IF(A95="","","JFT|"&amp;C95&amp;"|"&amp;D95&amp;"|"&amp;E95&amp;"L"&amp;F95)</f>
        <v/>
      </c>
    </row>
    <row r="96">
      <c r="Z96">
        <f>IF(A96="","",COUNTIF('40_RAP_DE'!$C:$C,A96))</f>
        <v/>
      </c>
      <c r="AA96">
        <f>IF(A96="","","JFT|"&amp;C96&amp;"|"&amp;D96&amp;"|"&amp;E96&amp;"L"&amp;F96)</f>
        <v/>
      </c>
    </row>
    <row r="97">
      <c r="Z97">
        <f>IF(A97="","",COUNTIF('40_RAP_DE'!$C:$C,A97))</f>
        <v/>
      </c>
      <c r="AA97">
        <f>IF(A97="","","JFT|"&amp;C97&amp;"|"&amp;D97&amp;"|"&amp;E97&amp;"L"&amp;F97)</f>
        <v/>
      </c>
    </row>
    <row r="98">
      <c r="Z98">
        <f>IF(A98="","",COUNTIF('40_RAP_DE'!$C:$C,A98))</f>
        <v/>
      </c>
      <c r="AA98">
        <f>IF(A98="","","JFT|"&amp;C98&amp;"|"&amp;D98&amp;"|"&amp;E98&amp;"L"&amp;F98)</f>
        <v/>
      </c>
    </row>
    <row r="99">
      <c r="Z99">
        <f>IF(A99="","",COUNTIF('40_RAP_DE'!$C:$C,A99))</f>
        <v/>
      </c>
      <c r="AA99">
        <f>IF(A99="","","JFT|"&amp;C99&amp;"|"&amp;D99&amp;"|"&amp;E99&amp;"L"&amp;F99)</f>
        <v/>
      </c>
    </row>
    <row r="100">
      <c r="Z100">
        <f>IF(A100="","",COUNTIF('40_RAP_DE'!$C:$C,A100))</f>
        <v/>
      </c>
      <c r="AA100">
        <f>IF(A100="","","JFT|"&amp;C100&amp;"|"&amp;D100&amp;"|"&amp;E100&amp;"L"&amp;F100)</f>
        <v/>
      </c>
    </row>
    <row r="101">
      <c r="Z101">
        <f>IF(A101="","",COUNTIF('40_RAP_DE'!$C:$C,A101))</f>
        <v/>
      </c>
      <c r="AA101">
        <f>IF(A101="","","JFT|"&amp;C101&amp;"|"&amp;D101&amp;"|"&amp;E101&amp;"L"&amp;F101)</f>
        <v/>
      </c>
    </row>
    <row r="102">
      <c r="Z102">
        <f>IF(A102="","",COUNTIF('40_RAP_DE'!$C:$C,A102))</f>
        <v/>
      </c>
      <c r="AA102">
        <f>IF(A102="","","JFT|"&amp;C102&amp;"|"&amp;D102&amp;"|"&amp;E102&amp;"L"&amp;F102)</f>
        <v/>
      </c>
    </row>
    <row r="103">
      <c r="Z103">
        <f>IF(A103="","",COUNTIF('40_RAP_DE'!$C:$C,A103))</f>
        <v/>
      </c>
      <c r="AA103">
        <f>IF(A103="","","JFT|"&amp;C103&amp;"|"&amp;D103&amp;"|"&amp;E103&amp;"L"&amp;F103)</f>
        <v/>
      </c>
    </row>
    <row r="104">
      <c r="Z104">
        <f>IF(A104="","",COUNTIF('40_RAP_DE'!$C:$C,A104))</f>
        <v/>
      </c>
      <c r="AA104">
        <f>IF(A104="","","JFT|"&amp;C104&amp;"|"&amp;D104&amp;"|"&amp;E104&amp;"L"&amp;F104)</f>
        <v/>
      </c>
    </row>
    <row r="105">
      <c r="Z105">
        <f>IF(A105="","",COUNTIF('40_RAP_DE'!$C:$C,A105))</f>
        <v/>
      </c>
      <c r="AA105">
        <f>IF(A105="","","JFT|"&amp;C105&amp;"|"&amp;D105&amp;"|"&amp;E105&amp;"L"&amp;F105)</f>
        <v/>
      </c>
    </row>
    <row r="106">
      <c r="Z106">
        <f>IF(A106="","",COUNTIF('40_RAP_DE'!$C:$C,A106))</f>
        <v/>
      </c>
      <c r="AA106">
        <f>IF(A106="","","JFT|"&amp;C106&amp;"|"&amp;D106&amp;"|"&amp;E106&amp;"L"&amp;F106)</f>
        <v/>
      </c>
    </row>
    <row r="107">
      <c r="Z107">
        <f>IF(A107="","",COUNTIF('40_RAP_DE'!$C:$C,A107))</f>
        <v/>
      </c>
      <c r="AA107">
        <f>IF(A107="","","JFT|"&amp;C107&amp;"|"&amp;D107&amp;"|"&amp;E107&amp;"L"&amp;F107)</f>
        <v/>
      </c>
    </row>
    <row r="108">
      <c r="Z108">
        <f>IF(A108="","",COUNTIF('40_RAP_DE'!$C:$C,A108))</f>
        <v/>
      </c>
      <c r="AA108">
        <f>IF(A108="","","JFT|"&amp;C108&amp;"|"&amp;D108&amp;"|"&amp;E108&amp;"L"&amp;F108)</f>
        <v/>
      </c>
    </row>
    <row r="109">
      <c r="Z109">
        <f>IF(A109="","",COUNTIF('40_RAP_DE'!$C:$C,A109))</f>
        <v/>
      </c>
      <c r="AA109">
        <f>IF(A109="","","JFT|"&amp;C109&amp;"|"&amp;D109&amp;"|"&amp;E109&amp;"L"&amp;F109)</f>
        <v/>
      </c>
    </row>
    <row r="110">
      <c r="Z110">
        <f>IF(A110="","",COUNTIF('40_RAP_DE'!$C:$C,A110))</f>
        <v/>
      </c>
      <c r="AA110">
        <f>IF(A110="","","JFT|"&amp;C110&amp;"|"&amp;D110&amp;"|"&amp;E110&amp;"L"&amp;F110)</f>
        <v/>
      </c>
    </row>
    <row r="111">
      <c r="Z111">
        <f>IF(A111="","",COUNTIF('40_RAP_DE'!$C:$C,A111))</f>
        <v/>
      </c>
      <c r="AA111">
        <f>IF(A111="","","JFT|"&amp;C111&amp;"|"&amp;D111&amp;"|"&amp;E111&amp;"L"&amp;F111)</f>
        <v/>
      </c>
    </row>
    <row r="112">
      <c r="Z112">
        <f>IF(A112="","",COUNTIF('40_RAP_DE'!$C:$C,A112))</f>
        <v/>
      </c>
      <c r="AA112">
        <f>IF(A112="","","JFT|"&amp;C112&amp;"|"&amp;D112&amp;"|"&amp;E112&amp;"L"&amp;F112)</f>
        <v/>
      </c>
    </row>
    <row r="113">
      <c r="Z113">
        <f>IF(A113="","",COUNTIF('40_RAP_DE'!$C:$C,A113))</f>
        <v/>
      </c>
      <c r="AA113">
        <f>IF(A113="","","JFT|"&amp;C113&amp;"|"&amp;D113&amp;"|"&amp;E113&amp;"L"&amp;F113)</f>
        <v/>
      </c>
    </row>
    <row r="114">
      <c r="Z114">
        <f>IF(A114="","",COUNTIF('40_RAP_DE'!$C:$C,A114))</f>
        <v/>
      </c>
      <c r="AA114">
        <f>IF(A114="","","JFT|"&amp;C114&amp;"|"&amp;D114&amp;"|"&amp;E114&amp;"L"&amp;F114)</f>
        <v/>
      </c>
    </row>
    <row r="115">
      <c r="Z115">
        <f>IF(A115="","",COUNTIF('40_RAP_DE'!$C:$C,A115))</f>
        <v/>
      </c>
      <c r="AA115">
        <f>IF(A115="","","JFT|"&amp;C115&amp;"|"&amp;D115&amp;"|"&amp;E115&amp;"L"&amp;F115)</f>
        <v/>
      </c>
    </row>
    <row r="116">
      <c r="Z116">
        <f>IF(A116="","",COUNTIF('40_RAP_DE'!$C:$C,A116))</f>
        <v/>
      </c>
      <c r="AA116">
        <f>IF(A116="","","JFT|"&amp;C116&amp;"|"&amp;D116&amp;"|"&amp;E116&amp;"L"&amp;F116)</f>
        <v/>
      </c>
    </row>
    <row r="117">
      <c r="Z117">
        <f>IF(A117="","",COUNTIF('40_RAP_DE'!$C:$C,A117))</f>
        <v/>
      </c>
      <c r="AA117">
        <f>IF(A117="","","JFT|"&amp;C117&amp;"|"&amp;D117&amp;"|"&amp;E117&amp;"L"&amp;F117)</f>
        <v/>
      </c>
    </row>
    <row r="118">
      <c r="Z118">
        <f>IF(A118="","",COUNTIF('40_RAP_DE'!$C:$C,A118))</f>
        <v/>
      </c>
      <c r="AA118">
        <f>IF(A118="","","JFT|"&amp;C118&amp;"|"&amp;D118&amp;"|"&amp;E118&amp;"L"&amp;F118)</f>
        <v/>
      </c>
    </row>
    <row r="119">
      <c r="Z119">
        <f>IF(A119="","",COUNTIF('40_RAP_DE'!$C:$C,A119))</f>
        <v/>
      </c>
      <c r="AA119">
        <f>IF(A119="","","JFT|"&amp;C119&amp;"|"&amp;D119&amp;"|"&amp;E119&amp;"L"&amp;F119)</f>
        <v/>
      </c>
    </row>
    <row r="120">
      <c r="Z120">
        <f>IF(A120="","",COUNTIF('40_RAP_DE'!$C:$C,A120))</f>
        <v/>
      </c>
      <c r="AA120">
        <f>IF(A120="","","JFT|"&amp;C120&amp;"|"&amp;D120&amp;"|"&amp;E120&amp;"L"&amp;F120)</f>
        <v/>
      </c>
    </row>
    <row r="121">
      <c r="Z121">
        <f>IF(A121="","",COUNTIF('40_RAP_DE'!$C:$C,A121))</f>
        <v/>
      </c>
      <c r="AA121">
        <f>IF(A121="","","JFT|"&amp;C121&amp;"|"&amp;D121&amp;"|"&amp;E121&amp;"L"&amp;F121)</f>
        <v/>
      </c>
    </row>
    <row r="122">
      <c r="Z122">
        <f>IF(A122="","",COUNTIF('40_RAP_DE'!$C:$C,A122))</f>
        <v/>
      </c>
      <c r="AA122">
        <f>IF(A122="","","JFT|"&amp;C122&amp;"|"&amp;D122&amp;"|"&amp;E122&amp;"L"&amp;F122)</f>
        <v/>
      </c>
    </row>
    <row r="123">
      <c r="Z123">
        <f>IF(A123="","",COUNTIF('40_RAP_DE'!$C:$C,A123))</f>
        <v/>
      </c>
      <c r="AA123">
        <f>IF(A123="","","JFT|"&amp;C123&amp;"|"&amp;D123&amp;"|"&amp;E123&amp;"L"&amp;F123)</f>
        <v/>
      </c>
    </row>
    <row r="124">
      <c r="Z124">
        <f>IF(A124="","",COUNTIF('40_RAP_DE'!$C:$C,A124))</f>
        <v/>
      </c>
      <c r="AA124">
        <f>IF(A124="","","JFT|"&amp;C124&amp;"|"&amp;D124&amp;"|"&amp;E124&amp;"L"&amp;F124)</f>
        <v/>
      </c>
    </row>
    <row r="125">
      <c r="Z125">
        <f>IF(A125="","",COUNTIF('40_RAP_DE'!$C:$C,A125))</f>
        <v/>
      </c>
      <c r="AA125">
        <f>IF(A125="","","JFT|"&amp;C125&amp;"|"&amp;D125&amp;"|"&amp;E125&amp;"L"&amp;F125)</f>
        <v/>
      </c>
    </row>
    <row r="126">
      <c r="Z126">
        <f>IF(A126="","",COUNTIF('40_RAP_DE'!$C:$C,A126))</f>
        <v/>
      </c>
      <c r="AA126">
        <f>IF(A126="","","JFT|"&amp;C126&amp;"|"&amp;D126&amp;"|"&amp;E126&amp;"L"&amp;F126)</f>
        <v/>
      </c>
    </row>
    <row r="127">
      <c r="Z127">
        <f>IF(A127="","",COUNTIF('40_RAP_DE'!$C:$C,A127))</f>
        <v/>
      </c>
      <c r="AA127">
        <f>IF(A127="","","JFT|"&amp;C127&amp;"|"&amp;D127&amp;"|"&amp;E127&amp;"L"&amp;F127)</f>
        <v/>
      </c>
    </row>
    <row r="128">
      <c r="Z128">
        <f>IF(A128="","",COUNTIF('40_RAP_DE'!$C:$C,A128))</f>
        <v/>
      </c>
      <c r="AA128">
        <f>IF(A128="","","JFT|"&amp;C128&amp;"|"&amp;D128&amp;"|"&amp;E128&amp;"L"&amp;F128)</f>
        <v/>
      </c>
    </row>
    <row r="129">
      <c r="Z129">
        <f>IF(A129="","",COUNTIF('40_RAP_DE'!$C:$C,A129))</f>
        <v/>
      </c>
      <c r="AA129">
        <f>IF(A129="","","JFT|"&amp;C129&amp;"|"&amp;D129&amp;"|"&amp;E129&amp;"L"&amp;F129)</f>
        <v/>
      </c>
    </row>
    <row r="130">
      <c r="Z130">
        <f>IF(A130="","",COUNTIF('40_RAP_DE'!$C:$C,A130))</f>
        <v/>
      </c>
      <c r="AA130">
        <f>IF(A130="","","JFT|"&amp;C130&amp;"|"&amp;D130&amp;"|"&amp;E130&amp;"L"&amp;F130)</f>
        <v/>
      </c>
    </row>
    <row r="131">
      <c r="Z131">
        <f>IF(A131="","",COUNTIF('40_RAP_DE'!$C:$C,A131))</f>
        <v/>
      </c>
      <c r="AA131">
        <f>IF(A131="","","JFT|"&amp;C131&amp;"|"&amp;D131&amp;"|"&amp;E131&amp;"L"&amp;F131)</f>
        <v/>
      </c>
    </row>
    <row r="132">
      <c r="Z132">
        <f>IF(A132="","",COUNTIF('40_RAP_DE'!$C:$C,A132))</f>
        <v/>
      </c>
      <c r="AA132">
        <f>IF(A132="","","JFT|"&amp;C132&amp;"|"&amp;D132&amp;"|"&amp;E132&amp;"L"&amp;F132)</f>
        <v/>
      </c>
    </row>
    <row r="133">
      <c r="Z133">
        <f>IF(A133="","",COUNTIF('40_RAP_DE'!$C:$C,A133))</f>
        <v/>
      </c>
      <c r="AA133">
        <f>IF(A133="","","JFT|"&amp;C133&amp;"|"&amp;D133&amp;"|"&amp;E133&amp;"L"&amp;F133)</f>
        <v/>
      </c>
    </row>
    <row r="134">
      <c r="Z134">
        <f>IF(A134="","",COUNTIF('40_RAP_DE'!$C:$C,A134))</f>
        <v/>
      </c>
      <c r="AA134">
        <f>IF(A134="","","JFT|"&amp;C134&amp;"|"&amp;D134&amp;"|"&amp;E134&amp;"L"&amp;F134)</f>
        <v/>
      </c>
    </row>
    <row r="135">
      <c r="Z135">
        <f>IF(A135="","",COUNTIF('40_RAP_DE'!$C:$C,A135))</f>
        <v/>
      </c>
      <c r="AA135">
        <f>IF(A135="","","JFT|"&amp;C135&amp;"|"&amp;D135&amp;"|"&amp;E135&amp;"L"&amp;F135)</f>
        <v/>
      </c>
    </row>
    <row r="136">
      <c r="Z136">
        <f>IF(A136="","",COUNTIF('40_RAP_DE'!$C:$C,A136))</f>
        <v/>
      </c>
      <c r="AA136">
        <f>IF(A136="","","JFT|"&amp;C136&amp;"|"&amp;D136&amp;"|"&amp;E136&amp;"L"&amp;F136)</f>
        <v/>
      </c>
    </row>
    <row r="137">
      <c r="Z137">
        <f>IF(A137="","",COUNTIF('40_RAP_DE'!$C:$C,A137))</f>
        <v/>
      </c>
      <c r="AA137">
        <f>IF(A137="","","JFT|"&amp;C137&amp;"|"&amp;D137&amp;"|"&amp;E137&amp;"L"&amp;F137)</f>
        <v/>
      </c>
    </row>
    <row r="138">
      <c r="Z138">
        <f>IF(A138="","",COUNTIF('40_RAP_DE'!$C:$C,A138))</f>
        <v/>
      </c>
      <c r="AA138">
        <f>IF(A138="","","JFT|"&amp;C138&amp;"|"&amp;D138&amp;"|"&amp;E138&amp;"L"&amp;F138)</f>
        <v/>
      </c>
    </row>
    <row r="139">
      <c r="Z139">
        <f>IF(A139="","",COUNTIF('40_RAP_DE'!$C:$C,A139))</f>
        <v/>
      </c>
      <c r="AA139">
        <f>IF(A139="","","JFT|"&amp;C139&amp;"|"&amp;D139&amp;"|"&amp;E139&amp;"L"&amp;F139)</f>
        <v/>
      </c>
    </row>
    <row r="140">
      <c r="Z140">
        <f>IF(A140="","",COUNTIF('40_RAP_DE'!$C:$C,A140))</f>
        <v/>
      </c>
      <c r="AA140">
        <f>IF(A140="","","JFT|"&amp;C140&amp;"|"&amp;D140&amp;"|"&amp;E140&amp;"L"&amp;F140)</f>
        <v/>
      </c>
    </row>
    <row r="141">
      <c r="Z141">
        <f>IF(A141="","",COUNTIF('40_RAP_DE'!$C:$C,A141))</f>
        <v/>
      </c>
      <c r="AA141">
        <f>IF(A141="","","JFT|"&amp;C141&amp;"|"&amp;D141&amp;"|"&amp;E141&amp;"L"&amp;F141)</f>
        <v/>
      </c>
    </row>
    <row r="142">
      <c r="Z142">
        <f>IF(A142="","",COUNTIF('40_RAP_DE'!$C:$C,A142))</f>
        <v/>
      </c>
      <c r="AA142">
        <f>IF(A142="","","JFT|"&amp;C142&amp;"|"&amp;D142&amp;"|"&amp;E142&amp;"L"&amp;F142)</f>
        <v/>
      </c>
    </row>
    <row r="143">
      <c r="Z143">
        <f>IF(A143="","",COUNTIF('40_RAP_DE'!$C:$C,A143))</f>
        <v/>
      </c>
      <c r="AA143">
        <f>IF(A143="","","JFT|"&amp;C143&amp;"|"&amp;D143&amp;"|"&amp;E143&amp;"L"&amp;F143)</f>
        <v/>
      </c>
    </row>
    <row r="144">
      <c r="Z144">
        <f>IF(A144="","",COUNTIF('40_RAP_DE'!$C:$C,A144))</f>
        <v/>
      </c>
      <c r="AA144">
        <f>IF(A144="","","JFT|"&amp;C144&amp;"|"&amp;D144&amp;"|"&amp;E144&amp;"L"&amp;F144)</f>
        <v/>
      </c>
    </row>
    <row r="145">
      <c r="Z145">
        <f>IF(A145="","",COUNTIF('40_RAP_DE'!$C:$C,A145))</f>
        <v/>
      </c>
      <c r="AA145">
        <f>IF(A145="","","JFT|"&amp;C145&amp;"|"&amp;D145&amp;"|"&amp;E145&amp;"L"&amp;F145)</f>
        <v/>
      </c>
    </row>
    <row r="146">
      <c r="Z146">
        <f>IF(A146="","",COUNTIF('40_RAP_DE'!$C:$C,A146))</f>
        <v/>
      </c>
      <c r="AA146">
        <f>IF(A146="","","JFT|"&amp;C146&amp;"|"&amp;D146&amp;"|"&amp;E146&amp;"L"&amp;F146)</f>
        <v/>
      </c>
    </row>
    <row r="147">
      <c r="Z147">
        <f>IF(A147="","",COUNTIF('40_RAP_DE'!$C:$C,A147))</f>
        <v/>
      </c>
      <c r="AA147">
        <f>IF(A147="","","JFT|"&amp;C147&amp;"|"&amp;D147&amp;"|"&amp;E147&amp;"L"&amp;F147)</f>
        <v/>
      </c>
    </row>
    <row r="148">
      <c r="Z148">
        <f>IF(A148="","",COUNTIF('40_RAP_DE'!$C:$C,A148))</f>
        <v/>
      </c>
      <c r="AA148">
        <f>IF(A148="","","JFT|"&amp;C148&amp;"|"&amp;D148&amp;"|"&amp;E148&amp;"L"&amp;F148)</f>
        <v/>
      </c>
    </row>
    <row r="149">
      <c r="Z149">
        <f>IF(A149="","",COUNTIF('40_RAP_DE'!$C:$C,A149))</f>
        <v/>
      </c>
      <c r="AA149">
        <f>IF(A149="","","JFT|"&amp;C149&amp;"|"&amp;D149&amp;"|"&amp;E149&amp;"L"&amp;F149)</f>
        <v/>
      </c>
    </row>
    <row r="150">
      <c r="Z150">
        <f>IF(A150="","",COUNTIF('40_RAP_DE'!$C:$C,A150))</f>
        <v/>
      </c>
      <c r="AA150">
        <f>IF(A150="","","JFT|"&amp;C150&amp;"|"&amp;D150&amp;"|"&amp;E150&amp;"L"&amp;F150)</f>
        <v/>
      </c>
    </row>
    <row r="151">
      <c r="Z151">
        <f>IF(A151="","",COUNTIF('40_RAP_DE'!$C:$C,A151))</f>
        <v/>
      </c>
      <c r="AA151">
        <f>IF(A151="","","JFT|"&amp;C151&amp;"|"&amp;D151&amp;"|"&amp;E151&amp;"L"&amp;F151)</f>
        <v/>
      </c>
    </row>
    <row r="152">
      <c r="Z152">
        <f>IF(A152="","",COUNTIF('40_RAP_DE'!$C:$C,A152))</f>
        <v/>
      </c>
      <c r="AA152">
        <f>IF(A152="","","JFT|"&amp;C152&amp;"|"&amp;D152&amp;"|"&amp;E152&amp;"L"&amp;F152)</f>
        <v/>
      </c>
    </row>
    <row r="153">
      <c r="Z153">
        <f>IF(A153="","",COUNTIF('40_RAP_DE'!$C:$C,A153))</f>
        <v/>
      </c>
      <c r="AA153">
        <f>IF(A153="","","JFT|"&amp;C153&amp;"|"&amp;D153&amp;"|"&amp;E153&amp;"L"&amp;F153)</f>
        <v/>
      </c>
    </row>
    <row r="154">
      <c r="Z154">
        <f>IF(A154="","",COUNTIF('40_RAP_DE'!$C:$C,A154))</f>
        <v/>
      </c>
      <c r="AA154">
        <f>IF(A154="","","JFT|"&amp;C154&amp;"|"&amp;D154&amp;"|"&amp;E154&amp;"L"&amp;F154)</f>
        <v/>
      </c>
    </row>
    <row r="155">
      <c r="Z155">
        <f>IF(A155="","",COUNTIF('40_RAP_DE'!$C:$C,A155))</f>
        <v/>
      </c>
      <c r="AA155">
        <f>IF(A155="","","JFT|"&amp;C155&amp;"|"&amp;D155&amp;"|"&amp;E155&amp;"L"&amp;F155)</f>
        <v/>
      </c>
    </row>
    <row r="156">
      <c r="Z156">
        <f>IF(A156="","",COUNTIF('40_RAP_DE'!$C:$C,A156))</f>
        <v/>
      </c>
      <c r="AA156">
        <f>IF(A156="","","JFT|"&amp;C156&amp;"|"&amp;D156&amp;"|"&amp;E156&amp;"L"&amp;F156)</f>
        <v/>
      </c>
    </row>
    <row r="157">
      <c r="Z157">
        <f>IF(A157="","",COUNTIF('40_RAP_DE'!$C:$C,A157))</f>
        <v/>
      </c>
      <c r="AA157">
        <f>IF(A157="","","JFT|"&amp;C157&amp;"|"&amp;D157&amp;"|"&amp;E157&amp;"L"&amp;F157)</f>
        <v/>
      </c>
    </row>
    <row r="158">
      <c r="Z158">
        <f>IF(A158="","",COUNTIF('40_RAP_DE'!$C:$C,A158))</f>
        <v/>
      </c>
      <c r="AA158">
        <f>IF(A158="","","JFT|"&amp;C158&amp;"|"&amp;D158&amp;"|"&amp;E158&amp;"L"&amp;F158)</f>
        <v/>
      </c>
    </row>
    <row r="159">
      <c r="Z159">
        <f>IF(A159="","",COUNTIF('40_RAP_DE'!$C:$C,A159))</f>
        <v/>
      </c>
      <c r="AA159">
        <f>IF(A159="","","JFT|"&amp;C159&amp;"|"&amp;D159&amp;"|"&amp;E159&amp;"L"&amp;F159)</f>
        <v/>
      </c>
    </row>
    <row r="160">
      <c r="Z160">
        <f>IF(A160="","",COUNTIF('40_RAP_DE'!$C:$C,A160))</f>
        <v/>
      </c>
      <c r="AA160">
        <f>IF(A160="","","JFT|"&amp;C160&amp;"|"&amp;D160&amp;"|"&amp;E160&amp;"L"&amp;F160)</f>
        <v/>
      </c>
    </row>
    <row r="161">
      <c r="Z161">
        <f>IF(A161="","",COUNTIF('40_RAP_DE'!$C:$C,A161))</f>
        <v/>
      </c>
      <c r="AA161">
        <f>IF(A161="","","JFT|"&amp;C161&amp;"|"&amp;D161&amp;"|"&amp;E161&amp;"L"&amp;F161)</f>
        <v/>
      </c>
    </row>
    <row r="162">
      <c r="Z162">
        <f>IF(A162="","",COUNTIF('40_RAP_DE'!$C:$C,A162))</f>
        <v/>
      </c>
      <c r="AA162">
        <f>IF(A162="","","JFT|"&amp;C162&amp;"|"&amp;D162&amp;"|"&amp;E162&amp;"L"&amp;F162)</f>
        <v/>
      </c>
    </row>
    <row r="163">
      <c r="Z163">
        <f>IF(A163="","",COUNTIF('40_RAP_DE'!$C:$C,A163))</f>
        <v/>
      </c>
      <c r="AA163">
        <f>IF(A163="","","JFT|"&amp;C163&amp;"|"&amp;D163&amp;"|"&amp;E163&amp;"L"&amp;F163)</f>
        <v/>
      </c>
    </row>
    <row r="164">
      <c r="Z164">
        <f>IF(A164="","",COUNTIF('40_RAP_DE'!$C:$C,A164))</f>
        <v/>
      </c>
      <c r="AA164">
        <f>IF(A164="","","JFT|"&amp;C164&amp;"|"&amp;D164&amp;"|"&amp;E164&amp;"L"&amp;F164)</f>
        <v/>
      </c>
    </row>
    <row r="165">
      <c r="Z165">
        <f>IF(A165="","",COUNTIF('40_RAP_DE'!$C:$C,A165))</f>
        <v/>
      </c>
      <c r="AA165">
        <f>IF(A165="","","JFT|"&amp;C165&amp;"|"&amp;D165&amp;"|"&amp;E165&amp;"L"&amp;F165)</f>
        <v/>
      </c>
    </row>
    <row r="166">
      <c r="Z166">
        <f>IF(A166="","",COUNTIF('40_RAP_DE'!$C:$C,A166))</f>
        <v/>
      </c>
      <c r="AA166">
        <f>IF(A166="","","JFT|"&amp;C166&amp;"|"&amp;D166&amp;"|"&amp;E166&amp;"L"&amp;F166)</f>
        <v/>
      </c>
    </row>
    <row r="167">
      <c r="Z167">
        <f>IF(A167="","",COUNTIF('40_RAP_DE'!$C:$C,A167))</f>
        <v/>
      </c>
      <c r="AA167">
        <f>IF(A167="","","JFT|"&amp;C167&amp;"|"&amp;D167&amp;"|"&amp;E167&amp;"L"&amp;F167)</f>
        <v/>
      </c>
    </row>
    <row r="168">
      <c r="Z168">
        <f>IF(A168="","",COUNTIF('40_RAP_DE'!$C:$C,A168))</f>
        <v/>
      </c>
      <c r="AA168">
        <f>IF(A168="","","JFT|"&amp;C168&amp;"|"&amp;D168&amp;"|"&amp;E168&amp;"L"&amp;F168)</f>
        <v/>
      </c>
    </row>
    <row r="169">
      <c r="Z169">
        <f>IF(A169="","",COUNTIF('40_RAP_DE'!$C:$C,A169))</f>
        <v/>
      </c>
      <c r="AA169">
        <f>IF(A169="","","JFT|"&amp;C169&amp;"|"&amp;D169&amp;"|"&amp;E169&amp;"L"&amp;F169)</f>
        <v/>
      </c>
    </row>
    <row r="170">
      <c r="Z170">
        <f>IF(A170="","",COUNTIF('40_RAP_DE'!$C:$C,A170))</f>
        <v/>
      </c>
      <c r="AA170">
        <f>IF(A170="","","JFT|"&amp;C170&amp;"|"&amp;D170&amp;"|"&amp;E170&amp;"L"&amp;F170)</f>
        <v/>
      </c>
    </row>
    <row r="171">
      <c r="Z171">
        <f>IF(A171="","",COUNTIF('40_RAP_DE'!$C:$C,A171))</f>
        <v/>
      </c>
      <c r="AA171">
        <f>IF(A171="","","JFT|"&amp;C171&amp;"|"&amp;D171&amp;"|"&amp;E171&amp;"L"&amp;F171)</f>
        <v/>
      </c>
    </row>
    <row r="172">
      <c r="Z172">
        <f>IF(A172="","",COUNTIF('40_RAP_DE'!$C:$C,A172))</f>
        <v/>
      </c>
      <c r="AA172">
        <f>IF(A172="","","JFT|"&amp;C172&amp;"|"&amp;D172&amp;"|"&amp;E172&amp;"L"&amp;F172)</f>
        <v/>
      </c>
    </row>
    <row r="173">
      <c r="Z173">
        <f>IF(A173="","",COUNTIF('40_RAP_DE'!$C:$C,A173))</f>
        <v/>
      </c>
      <c r="AA173">
        <f>IF(A173="","","JFT|"&amp;C173&amp;"|"&amp;D173&amp;"|"&amp;E173&amp;"L"&amp;F173)</f>
        <v/>
      </c>
    </row>
    <row r="174">
      <c r="Z174">
        <f>IF(A174="","",COUNTIF('40_RAP_DE'!$C:$C,A174))</f>
        <v/>
      </c>
      <c r="AA174">
        <f>IF(A174="","","JFT|"&amp;C174&amp;"|"&amp;D174&amp;"|"&amp;E174&amp;"L"&amp;F174)</f>
        <v/>
      </c>
    </row>
    <row r="175">
      <c r="Z175">
        <f>IF(A175="","",COUNTIF('40_RAP_DE'!$C:$C,A175))</f>
        <v/>
      </c>
      <c r="AA175">
        <f>IF(A175="","","JFT|"&amp;C175&amp;"|"&amp;D175&amp;"|"&amp;E175&amp;"L"&amp;F175)</f>
        <v/>
      </c>
    </row>
    <row r="176">
      <c r="Z176">
        <f>IF(A176="","",COUNTIF('40_RAP_DE'!$C:$C,A176))</f>
        <v/>
      </c>
      <c r="AA176">
        <f>IF(A176="","","JFT|"&amp;C176&amp;"|"&amp;D176&amp;"|"&amp;E176&amp;"L"&amp;F176)</f>
        <v/>
      </c>
    </row>
    <row r="177">
      <c r="Z177">
        <f>IF(A177="","",COUNTIF('40_RAP_DE'!$C:$C,A177))</f>
        <v/>
      </c>
      <c r="AA177">
        <f>IF(A177="","","JFT|"&amp;C177&amp;"|"&amp;D177&amp;"|"&amp;E177&amp;"L"&amp;F177)</f>
        <v/>
      </c>
    </row>
    <row r="178">
      <c r="Z178">
        <f>IF(A178="","",COUNTIF('40_RAP_DE'!$C:$C,A178))</f>
        <v/>
      </c>
      <c r="AA178">
        <f>IF(A178="","","JFT|"&amp;C178&amp;"|"&amp;D178&amp;"|"&amp;E178&amp;"L"&amp;F178)</f>
        <v/>
      </c>
    </row>
    <row r="179">
      <c r="Z179">
        <f>IF(A179="","",COUNTIF('40_RAP_DE'!$C:$C,A179))</f>
        <v/>
      </c>
      <c r="AA179">
        <f>IF(A179="","","JFT|"&amp;C179&amp;"|"&amp;D179&amp;"|"&amp;E179&amp;"L"&amp;F179)</f>
        <v/>
      </c>
    </row>
    <row r="180">
      <c r="Z180">
        <f>IF(A180="","",COUNTIF('40_RAP_DE'!$C:$C,A180))</f>
        <v/>
      </c>
      <c r="AA180">
        <f>IF(A180="","","JFT|"&amp;C180&amp;"|"&amp;D180&amp;"|"&amp;E180&amp;"L"&amp;F180)</f>
        <v/>
      </c>
    </row>
    <row r="181">
      <c r="Z181">
        <f>IF(A181="","",COUNTIF('40_RAP_DE'!$C:$C,A181))</f>
        <v/>
      </c>
      <c r="AA181">
        <f>IF(A181="","","JFT|"&amp;C181&amp;"|"&amp;D181&amp;"|"&amp;E181&amp;"L"&amp;F181)</f>
        <v/>
      </c>
    </row>
    <row r="182">
      <c r="Z182">
        <f>IF(A182="","",COUNTIF('40_RAP_DE'!$C:$C,A182))</f>
        <v/>
      </c>
      <c r="AA182">
        <f>IF(A182="","","JFT|"&amp;C182&amp;"|"&amp;D182&amp;"|"&amp;E182&amp;"L"&amp;F182)</f>
        <v/>
      </c>
    </row>
    <row r="183">
      <c r="Z183">
        <f>IF(A183="","",COUNTIF('40_RAP_DE'!$C:$C,A183))</f>
        <v/>
      </c>
      <c r="AA183">
        <f>IF(A183="","","JFT|"&amp;C183&amp;"|"&amp;D183&amp;"|"&amp;E183&amp;"L"&amp;F183)</f>
        <v/>
      </c>
    </row>
    <row r="184">
      <c r="Z184">
        <f>IF(A184="","",COUNTIF('40_RAP_DE'!$C:$C,A184))</f>
        <v/>
      </c>
      <c r="AA184">
        <f>IF(A184="","","JFT|"&amp;C184&amp;"|"&amp;D184&amp;"|"&amp;E184&amp;"L"&amp;F184)</f>
        <v/>
      </c>
    </row>
    <row r="185">
      <c r="Z185">
        <f>IF(A185="","",COUNTIF('40_RAP_DE'!$C:$C,A185))</f>
        <v/>
      </c>
      <c r="AA185">
        <f>IF(A185="","","JFT|"&amp;C185&amp;"|"&amp;D185&amp;"|"&amp;E185&amp;"L"&amp;F185)</f>
        <v/>
      </c>
    </row>
    <row r="186">
      <c r="Z186">
        <f>IF(A186="","",COUNTIF('40_RAP_DE'!$C:$C,A186))</f>
        <v/>
      </c>
      <c r="AA186">
        <f>IF(A186="","","JFT|"&amp;C186&amp;"|"&amp;D186&amp;"|"&amp;E186&amp;"L"&amp;F186)</f>
        <v/>
      </c>
    </row>
    <row r="187">
      <c r="Z187">
        <f>IF(A187="","",COUNTIF('40_RAP_DE'!$C:$C,A187))</f>
        <v/>
      </c>
      <c r="AA187">
        <f>IF(A187="","","JFT|"&amp;C187&amp;"|"&amp;D187&amp;"|"&amp;E187&amp;"L"&amp;F187)</f>
        <v/>
      </c>
    </row>
    <row r="188">
      <c r="Z188">
        <f>IF(A188="","",COUNTIF('40_RAP_DE'!$C:$C,A188))</f>
        <v/>
      </c>
      <c r="AA188">
        <f>IF(A188="","","JFT|"&amp;C188&amp;"|"&amp;D188&amp;"|"&amp;E188&amp;"L"&amp;F188)</f>
        <v/>
      </c>
    </row>
    <row r="189">
      <c r="Z189">
        <f>IF(A189="","",COUNTIF('40_RAP_DE'!$C:$C,A189))</f>
        <v/>
      </c>
      <c r="AA189">
        <f>IF(A189="","","JFT|"&amp;C189&amp;"|"&amp;D189&amp;"|"&amp;E189&amp;"L"&amp;F189)</f>
        <v/>
      </c>
    </row>
    <row r="190">
      <c r="Z190">
        <f>IF(A190="","",COUNTIF('40_RAP_DE'!$C:$C,A190))</f>
        <v/>
      </c>
      <c r="AA190">
        <f>IF(A190="","","JFT|"&amp;C190&amp;"|"&amp;D190&amp;"|"&amp;E190&amp;"L"&amp;F190)</f>
        <v/>
      </c>
    </row>
    <row r="191">
      <c r="Z191">
        <f>IF(A191="","",COUNTIF('40_RAP_DE'!$C:$C,A191))</f>
        <v/>
      </c>
      <c r="AA191">
        <f>IF(A191="","","JFT|"&amp;C191&amp;"|"&amp;D191&amp;"|"&amp;E191&amp;"L"&amp;F191)</f>
        <v/>
      </c>
    </row>
    <row r="192">
      <c r="Z192">
        <f>IF(A192="","",COUNTIF('40_RAP_DE'!$C:$C,A192))</f>
        <v/>
      </c>
      <c r="AA192">
        <f>IF(A192="","","JFT|"&amp;C192&amp;"|"&amp;D192&amp;"|"&amp;E192&amp;"L"&amp;F192)</f>
        <v/>
      </c>
    </row>
    <row r="193">
      <c r="Z193">
        <f>IF(A193="","",COUNTIF('40_RAP_DE'!$C:$C,A193))</f>
        <v/>
      </c>
      <c r="AA193">
        <f>IF(A193="","","JFT|"&amp;C193&amp;"|"&amp;D193&amp;"|"&amp;E193&amp;"L"&amp;F193)</f>
        <v/>
      </c>
    </row>
    <row r="194">
      <c r="Z194">
        <f>IF(A194="","",COUNTIF('40_RAP_DE'!$C:$C,A194))</f>
        <v/>
      </c>
      <c r="AA194">
        <f>IF(A194="","","JFT|"&amp;C194&amp;"|"&amp;D194&amp;"|"&amp;E194&amp;"L"&amp;F194)</f>
        <v/>
      </c>
    </row>
    <row r="195">
      <c r="Z195">
        <f>IF(A195="","",COUNTIF('40_RAP_DE'!$C:$C,A195))</f>
        <v/>
      </c>
      <c r="AA195">
        <f>IF(A195="","","JFT|"&amp;C195&amp;"|"&amp;D195&amp;"|"&amp;E195&amp;"L"&amp;F195)</f>
        <v/>
      </c>
    </row>
    <row r="196">
      <c r="Z196">
        <f>IF(A196="","",COUNTIF('40_RAP_DE'!$C:$C,A196))</f>
        <v/>
      </c>
      <c r="AA196">
        <f>IF(A196="","","JFT|"&amp;C196&amp;"|"&amp;D196&amp;"|"&amp;E196&amp;"L"&amp;F196)</f>
        <v/>
      </c>
    </row>
    <row r="197">
      <c r="Z197">
        <f>IF(A197="","",COUNTIF('40_RAP_DE'!$C:$C,A197))</f>
        <v/>
      </c>
      <c r="AA197">
        <f>IF(A197="","","JFT|"&amp;C197&amp;"|"&amp;D197&amp;"|"&amp;E197&amp;"L"&amp;F197)</f>
        <v/>
      </c>
    </row>
    <row r="198">
      <c r="Z198">
        <f>IF(A198="","",COUNTIF('40_RAP_DE'!$C:$C,A198))</f>
        <v/>
      </c>
      <c r="AA198">
        <f>IF(A198="","","JFT|"&amp;C198&amp;"|"&amp;D198&amp;"|"&amp;E198&amp;"L"&amp;F198)</f>
        <v/>
      </c>
    </row>
    <row r="199">
      <c r="Z199">
        <f>IF(A199="","",COUNTIF('40_RAP_DE'!$C:$C,A199))</f>
        <v/>
      </c>
      <c r="AA199">
        <f>IF(A199="","","JFT|"&amp;C199&amp;"|"&amp;D199&amp;"|"&amp;E199&amp;"L"&amp;F199)</f>
        <v/>
      </c>
    </row>
    <row r="200">
      <c r="Z200">
        <f>IF(A200="","",COUNTIF('40_RAP_DE'!$C:$C,A200))</f>
        <v/>
      </c>
      <c r="AA200">
        <f>IF(A200="","","JFT|"&amp;C200&amp;"|"&amp;D200&amp;"|"&amp;E200&amp;"L"&amp;F200)</f>
        <v/>
      </c>
    </row>
    <row r="201">
      <c r="Z201">
        <f>IF(A201="","",COUNTIF('40_RAP_DE'!$C:$C,A201))</f>
        <v/>
      </c>
      <c r="AA201">
        <f>IF(A201="","","JFT|"&amp;C201&amp;"|"&amp;D201&amp;"|"&amp;E201&amp;"L"&amp;F201)</f>
        <v/>
      </c>
    </row>
    <row r="202">
      <c r="Z202">
        <f>IF(A202="","",COUNTIF('40_RAP_DE'!$C:$C,A202))</f>
        <v/>
      </c>
      <c r="AA202">
        <f>IF(A202="","","JFT|"&amp;C202&amp;"|"&amp;D202&amp;"|"&amp;E202&amp;"L"&amp;F202)</f>
        <v/>
      </c>
    </row>
    <row r="203">
      <c r="Z203">
        <f>IF(A203="","",COUNTIF('40_RAP_DE'!$C:$C,A203))</f>
        <v/>
      </c>
      <c r="AA203">
        <f>IF(A203="","","JFT|"&amp;C203&amp;"|"&amp;D203&amp;"|"&amp;E203&amp;"L"&amp;F203)</f>
        <v/>
      </c>
    </row>
    <row r="204">
      <c r="Z204">
        <f>IF(A204="","",COUNTIF('40_RAP_DE'!$C:$C,A204))</f>
        <v/>
      </c>
      <c r="AA204">
        <f>IF(A204="","","JFT|"&amp;C204&amp;"|"&amp;D204&amp;"|"&amp;E204&amp;"L"&amp;F204)</f>
        <v/>
      </c>
    </row>
    <row r="205">
      <c r="Z205">
        <f>IF(A205="","",COUNTIF('40_RAP_DE'!$C:$C,A205))</f>
        <v/>
      </c>
      <c r="AA205">
        <f>IF(A205="","","JFT|"&amp;C205&amp;"|"&amp;D205&amp;"|"&amp;E205&amp;"L"&amp;F205)</f>
        <v/>
      </c>
    </row>
    <row r="206">
      <c r="Z206">
        <f>IF(A206="","",COUNTIF('40_RAP_DE'!$C:$C,A206))</f>
        <v/>
      </c>
      <c r="AA206">
        <f>IF(A206="","","JFT|"&amp;C206&amp;"|"&amp;D206&amp;"|"&amp;E206&amp;"L"&amp;F206)</f>
        <v/>
      </c>
    </row>
    <row r="207">
      <c r="Z207">
        <f>IF(A207="","",COUNTIF('40_RAP_DE'!$C:$C,A207))</f>
        <v/>
      </c>
      <c r="AA207">
        <f>IF(A207="","","JFT|"&amp;C207&amp;"|"&amp;D207&amp;"|"&amp;E207&amp;"L"&amp;F207)</f>
        <v/>
      </c>
    </row>
    <row r="208">
      <c r="Z208">
        <f>IF(A208="","",COUNTIF('40_RAP_DE'!$C:$C,A208))</f>
        <v/>
      </c>
      <c r="AA208">
        <f>IF(A208="","","JFT|"&amp;C208&amp;"|"&amp;D208&amp;"|"&amp;E208&amp;"L"&amp;F208)</f>
        <v/>
      </c>
    </row>
    <row r="209">
      <c r="Z209">
        <f>IF(A209="","",COUNTIF('40_RAP_DE'!$C:$C,A209))</f>
        <v/>
      </c>
      <c r="AA209">
        <f>IF(A209="","","JFT|"&amp;C209&amp;"|"&amp;D209&amp;"|"&amp;E209&amp;"L"&amp;F209)</f>
        <v/>
      </c>
    </row>
    <row r="210">
      <c r="Z210">
        <f>IF(A210="","",COUNTIF('40_RAP_DE'!$C:$C,A210))</f>
        <v/>
      </c>
      <c r="AA210">
        <f>IF(A210="","","JFT|"&amp;C210&amp;"|"&amp;D210&amp;"|"&amp;E210&amp;"L"&amp;F210)</f>
        <v/>
      </c>
    </row>
    <row r="211">
      <c r="Z211">
        <f>IF(A211="","",COUNTIF('40_RAP_DE'!$C:$C,A211))</f>
        <v/>
      </c>
      <c r="AA211">
        <f>IF(A211="","","JFT|"&amp;C211&amp;"|"&amp;D211&amp;"|"&amp;E211&amp;"L"&amp;F211)</f>
        <v/>
      </c>
    </row>
    <row r="212">
      <c r="Z212">
        <f>IF(A212="","",COUNTIF('40_RAP_DE'!$C:$C,A212))</f>
        <v/>
      </c>
      <c r="AA212">
        <f>IF(A212="","","JFT|"&amp;C212&amp;"|"&amp;D212&amp;"|"&amp;E212&amp;"L"&amp;F212)</f>
        <v/>
      </c>
    </row>
    <row r="213">
      <c r="Z213">
        <f>IF(A213="","",COUNTIF('40_RAP_DE'!$C:$C,A213))</f>
        <v/>
      </c>
      <c r="AA213">
        <f>IF(A213="","","JFT|"&amp;C213&amp;"|"&amp;D213&amp;"|"&amp;E213&amp;"L"&amp;F213)</f>
        <v/>
      </c>
    </row>
    <row r="214">
      <c r="Z214">
        <f>IF(A214="","",COUNTIF('40_RAP_DE'!$C:$C,A214))</f>
        <v/>
      </c>
      <c r="AA214">
        <f>IF(A214="","","JFT|"&amp;C214&amp;"|"&amp;D214&amp;"|"&amp;E214&amp;"L"&amp;F214)</f>
        <v/>
      </c>
    </row>
    <row r="215">
      <c r="Z215">
        <f>IF(A215="","",COUNTIF('40_RAP_DE'!$C:$C,A215))</f>
        <v/>
      </c>
      <c r="AA215">
        <f>IF(A215="","","JFT|"&amp;C215&amp;"|"&amp;D215&amp;"|"&amp;E215&amp;"L"&amp;F215)</f>
        <v/>
      </c>
    </row>
    <row r="216">
      <c r="Z216">
        <f>IF(A216="","",COUNTIF('40_RAP_DE'!$C:$C,A216))</f>
        <v/>
      </c>
      <c r="AA216">
        <f>IF(A216="","","JFT|"&amp;C216&amp;"|"&amp;D216&amp;"|"&amp;E216&amp;"L"&amp;F216)</f>
        <v/>
      </c>
    </row>
    <row r="217">
      <c r="Z217">
        <f>IF(A217="","",COUNTIF('40_RAP_DE'!$C:$C,A217))</f>
        <v/>
      </c>
      <c r="AA217">
        <f>IF(A217="","","JFT|"&amp;C217&amp;"|"&amp;D217&amp;"|"&amp;E217&amp;"L"&amp;F217)</f>
        <v/>
      </c>
    </row>
    <row r="218">
      <c r="Z218">
        <f>IF(A218="","",COUNTIF('40_RAP_DE'!$C:$C,A218))</f>
        <v/>
      </c>
      <c r="AA218">
        <f>IF(A218="","","JFT|"&amp;C218&amp;"|"&amp;D218&amp;"|"&amp;E218&amp;"L"&amp;F218)</f>
        <v/>
      </c>
    </row>
    <row r="219">
      <c r="Z219">
        <f>IF(A219="","",COUNTIF('40_RAP_DE'!$C:$C,A219))</f>
        <v/>
      </c>
      <c r="AA219">
        <f>IF(A219="","","JFT|"&amp;C219&amp;"|"&amp;D219&amp;"|"&amp;E219&amp;"L"&amp;F219)</f>
        <v/>
      </c>
    </row>
    <row r="220">
      <c r="Z220">
        <f>IF(A220="","",COUNTIF('40_RAP_DE'!$C:$C,A220))</f>
        <v/>
      </c>
      <c r="AA220">
        <f>IF(A220="","","JFT|"&amp;C220&amp;"|"&amp;D220&amp;"|"&amp;E220&amp;"L"&amp;F220)</f>
        <v/>
      </c>
    </row>
    <row r="221">
      <c r="Z221">
        <f>IF(A221="","",COUNTIF('40_RAP_DE'!$C:$C,A221))</f>
        <v/>
      </c>
      <c r="AA221">
        <f>IF(A221="","","JFT|"&amp;C221&amp;"|"&amp;D221&amp;"|"&amp;E221&amp;"L"&amp;F221)</f>
        <v/>
      </c>
    </row>
    <row r="222">
      <c r="Z222">
        <f>IF(A222="","",COUNTIF('40_RAP_DE'!$C:$C,A222))</f>
        <v/>
      </c>
      <c r="AA222">
        <f>IF(A222="","","JFT|"&amp;C222&amp;"|"&amp;D222&amp;"|"&amp;E222&amp;"L"&amp;F222)</f>
        <v/>
      </c>
    </row>
    <row r="223">
      <c r="Z223">
        <f>IF(A223="","",COUNTIF('40_RAP_DE'!$C:$C,A223))</f>
        <v/>
      </c>
      <c r="AA223">
        <f>IF(A223="","","JFT|"&amp;C223&amp;"|"&amp;D223&amp;"|"&amp;E223&amp;"L"&amp;F223)</f>
        <v/>
      </c>
    </row>
    <row r="224">
      <c r="Z224">
        <f>IF(A224="","",COUNTIF('40_RAP_DE'!$C:$C,A224))</f>
        <v/>
      </c>
      <c r="AA224">
        <f>IF(A224="","","JFT|"&amp;C224&amp;"|"&amp;D224&amp;"|"&amp;E224&amp;"L"&amp;F224)</f>
        <v/>
      </c>
    </row>
    <row r="225">
      <c r="Z225">
        <f>IF(A225="","",COUNTIF('40_RAP_DE'!$C:$C,A225))</f>
        <v/>
      </c>
      <c r="AA225">
        <f>IF(A225="","","JFT|"&amp;C225&amp;"|"&amp;D225&amp;"|"&amp;E225&amp;"L"&amp;F225)</f>
        <v/>
      </c>
    </row>
    <row r="226">
      <c r="Z226">
        <f>IF(A226="","",COUNTIF('40_RAP_DE'!$C:$C,A226))</f>
        <v/>
      </c>
      <c r="AA226">
        <f>IF(A226="","","JFT|"&amp;C226&amp;"|"&amp;D226&amp;"|"&amp;E226&amp;"L"&amp;F226)</f>
        <v/>
      </c>
    </row>
    <row r="227">
      <c r="Z227">
        <f>IF(A227="","",COUNTIF('40_RAP_DE'!$C:$C,A227))</f>
        <v/>
      </c>
      <c r="AA227">
        <f>IF(A227="","","JFT|"&amp;C227&amp;"|"&amp;D227&amp;"|"&amp;E227&amp;"L"&amp;F227)</f>
        <v/>
      </c>
    </row>
    <row r="228">
      <c r="Z228">
        <f>IF(A228="","",COUNTIF('40_RAP_DE'!$C:$C,A228))</f>
        <v/>
      </c>
      <c r="AA228">
        <f>IF(A228="","","JFT|"&amp;C228&amp;"|"&amp;D228&amp;"|"&amp;E228&amp;"L"&amp;F228)</f>
        <v/>
      </c>
    </row>
    <row r="229">
      <c r="Z229">
        <f>IF(A229="","",COUNTIF('40_RAP_DE'!$C:$C,A229))</f>
        <v/>
      </c>
      <c r="AA229">
        <f>IF(A229="","","JFT|"&amp;C229&amp;"|"&amp;D229&amp;"|"&amp;E229&amp;"L"&amp;F229)</f>
        <v/>
      </c>
    </row>
    <row r="230">
      <c r="Z230">
        <f>IF(A230="","",COUNTIF('40_RAP_DE'!$C:$C,A230))</f>
        <v/>
      </c>
      <c r="AA230">
        <f>IF(A230="","","JFT|"&amp;C230&amp;"|"&amp;D230&amp;"|"&amp;E230&amp;"L"&amp;F230)</f>
        <v/>
      </c>
    </row>
    <row r="231">
      <c r="Z231">
        <f>IF(A231="","",COUNTIF('40_RAP_DE'!$C:$C,A231))</f>
        <v/>
      </c>
      <c r="AA231">
        <f>IF(A231="","","JFT|"&amp;C231&amp;"|"&amp;D231&amp;"|"&amp;E231&amp;"L"&amp;F231)</f>
        <v/>
      </c>
    </row>
    <row r="232">
      <c r="Z232">
        <f>IF(A232="","",COUNTIF('40_RAP_DE'!$C:$C,A232))</f>
        <v/>
      </c>
      <c r="AA232">
        <f>IF(A232="","","JFT|"&amp;C232&amp;"|"&amp;D232&amp;"|"&amp;E232&amp;"L"&amp;F232)</f>
        <v/>
      </c>
    </row>
    <row r="233">
      <c r="Z233">
        <f>IF(A233="","",COUNTIF('40_RAP_DE'!$C:$C,A233))</f>
        <v/>
      </c>
      <c r="AA233">
        <f>IF(A233="","","JFT|"&amp;C233&amp;"|"&amp;D233&amp;"|"&amp;E233&amp;"L"&amp;F233)</f>
        <v/>
      </c>
    </row>
    <row r="234">
      <c r="Z234">
        <f>IF(A234="","",COUNTIF('40_RAP_DE'!$C:$C,A234))</f>
        <v/>
      </c>
      <c r="AA234">
        <f>IF(A234="","","JFT|"&amp;C234&amp;"|"&amp;D234&amp;"|"&amp;E234&amp;"L"&amp;F234)</f>
        <v/>
      </c>
    </row>
    <row r="235">
      <c r="Z235">
        <f>IF(A235="","",COUNTIF('40_RAP_DE'!$C:$C,A235))</f>
        <v/>
      </c>
      <c r="AA235">
        <f>IF(A235="","","JFT|"&amp;C235&amp;"|"&amp;D235&amp;"|"&amp;E235&amp;"L"&amp;F235)</f>
        <v/>
      </c>
    </row>
    <row r="236">
      <c r="Z236">
        <f>IF(A236="","",COUNTIF('40_RAP_DE'!$C:$C,A236))</f>
        <v/>
      </c>
      <c r="AA236">
        <f>IF(A236="","","JFT|"&amp;C236&amp;"|"&amp;D236&amp;"|"&amp;E236&amp;"L"&amp;F236)</f>
        <v/>
      </c>
    </row>
    <row r="237">
      <c r="Z237">
        <f>IF(A237="","",COUNTIF('40_RAP_DE'!$C:$C,A237))</f>
        <v/>
      </c>
      <c r="AA237">
        <f>IF(A237="","","JFT|"&amp;C237&amp;"|"&amp;D237&amp;"|"&amp;E237&amp;"L"&amp;F237)</f>
        <v/>
      </c>
    </row>
    <row r="238">
      <c r="Z238">
        <f>IF(A238="","",COUNTIF('40_RAP_DE'!$C:$C,A238))</f>
        <v/>
      </c>
      <c r="AA238">
        <f>IF(A238="","","JFT|"&amp;C238&amp;"|"&amp;D238&amp;"|"&amp;E238&amp;"L"&amp;F238)</f>
        <v/>
      </c>
    </row>
    <row r="239">
      <c r="Z239">
        <f>IF(A239="","",COUNTIF('40_RAP_DE'!$C:$C,A239))</f>
        <v/>
      </c>
      <c r="AA239">
        <f>IF(A239="","","JFT|"&amp;C239&amp;"|"&amp;D239&amp;"|"&amp;E239&amp;"L"&amp;F239)</f>
        <v/>
      </c>
    </row>
    <row r="240">
      <c r="Z240">
        <f>IF(A240="","",COUNTIF('40_RAP_DE'!$C:$C,A240))</f>
        <v/>
      </c>
      <c r="AA240">
        <f>IF(A240="","","JFT|"&amp;C240&amp;"|"&amp;D240&amp;"|"&amp;E240&amp;"L"&amp;F240)</f>
        <v/>
      </c>
    </row>
    <row r="241">
      <c r="Z241">
        <f>IF(A241="","",COUNTIF('40_RAP_DE'!$C:$C,A241))</f>
        <v/>
      </c>
      <c r="AA241">
        <f>IF(A241="","","JFT|"&amp;C241&amp;"|"&amp;D241&amp;"|"&amp;E241&amp;"L"&amp;F241)</f>
        <v/>
      </c>
    </row>
    <row r="242">
      <c r="Z242">
        <f>IF(A242="","",COUNTIF('40_RAP_DE'!$C:$C,A242))</f>
        <v/>
      </c>
      <c r="AA242">
        <f>IF(A242="","","JFT|"&amp;C242&amp;"|"&amp;D242&amp;"|"&amp;E242&amp;"L"&amp;F242)</f>
        <v/>
      </c>
    </row>
    <row r="243">
      <c r="Z243">
        <f>IF(A243="","",COUNTIF('40_RAP_DE'!$C:$C,A243))</f>
        <v/>
      </c>
      <c r="AA243">
        <f>IF(A243="","","JFT|"&amp;C243&amp;"|"&amp;D243&amp;"|"&amp;E243&amp;"L"&amp;F243)</f>
        <v/>
      </c>
    </row>
    <row r="244">
      <c r="Z244">
        <f>IF(A244="","",COUNTIF('40_RAP_DE'!$C:$C,A244))</f>
        <v/>
      </c>
      <c r="AA244">
        <f>IF(A244="","","JFT|"&amp;C244&amp;"|"&amp;D244&amp;"|"&amp;E244&amp;"L"&amp;F244)</f>
        <v/>
      </c>
    </row>
    <row r="245">
      <c r="Z245">
        <f>IF(A245="","",COUNTIF('40_RAP_DE'!$C:$C,A245))</f>
        <v/>
      </c>
      <c r="AA245">
        <f>IF(A245="","","JFT|"&amp;C245&amp;"|"&amp;D245&amp;"|"&amp;E245&amp;"L"&amp;F245)</f>
        <v/>
      </c>
    </row>
    <row r="246">
      <c r="Z246">
        <f>IF(A246="","",COUNTIF('40_RAP_DE'!$C:$C,A246))</f>
        <v/>
      </c>
      <c r="AA246">
        <f>IF(A246="","","JFT|"&amp;C246&amp;"|"&amp;D246&amp;"|"&amp;E246&amp;"L"&amp;F246)</f>
        <v/>
      </c>
    </row>
    <row r="247">
      <c r="Z247">
        <f>IF(A247="","",COUNTIF('40_RAP_DE'!$C:$C,A247))</f>
        <v/>
      </c>
      <c r="AA247">
        <f>IF(A247="","","JFT|"&amp;C247&amp;"|"&amp;D247&amp;"|"&amp;E247&amp;"L"&amp;F247)</f>
        <v/>
      </c>
    </row>
    <row r="248">
      <c r="Z248">
        <f>IF(A248="","",COUNTIF('40_RAP_DE'!$C:$C,A248))</f>
        <v/>
      </c>
      <c r="AA248">
        <f>IF(A248="","","JFT|"&amp;C248&amp;"|"&amp;D248&amp;"|"&amp;E248&amp;"L"&amp;F248)</f>
        <v/>
      </c>
    </row>
    <row r="249">
      <c r="Z249">
        <f>IF(A249="","",COUNTIF('40_RAP_DE'!$C:$C,A249))</f>
        <v/>
      </c>
      <c r="AA249">
        <f>IF(A249="","","JFT|"&amp;C249&amp;"|"&amp;D249&amp;"|"&amp;E249&amp;"L"&amp;F249)</f>
        <v/>
      </c>
    </row>
    <row r="250">
      <c r="Z250">
        <f>IF(A250="","",COUNTIF('40_RAP_DE'!$C:$C,A250))</f>
        <v/>
      </c>
      <c r="AA250">
        <f>IF(A250="","","JFT|"&amp;C250&amp;"|"&amp;D250&amp;"|"&amp;E250&amp;"L"&amp;F250)</f>
        <v/>
      </c>
    </row>
    <row r="251">
      <c r="Z251">
        <f>IF(A251="","",COUNTIF('40_RAP_DE'!$C:$C,A251))</f>
        <v/>
      </c>
      <c r="AA251">
        <f>IF(A251="","","JFT|"&amp;C251&amp;"|"&amp;D251&amp;"|"&amp;E251&amp;"L"&amp;F251)</f>
        <v/>
      </c>
    </row>
    <row r="252">
      <c r="Z252">
        <f>IF(A252="","",COUNTIF('40_RAP_DE'!$C:$C,A252))</f>
        <v/>
      </c>
      <c r="AA252">
        <f>IF(A252="","","JFT|"&amp;C252&amp;"|"&amp;D252&amp;"|"&amp;E252&amp;"L"&amp;F252)</f>
        <v/>
      </c>
    </row>
    <row r="253">
      <c r="Z253">
        <f>IF(A253="","",COUNTIF('40_RAP_DE'!$C:$C,A253))</f>
        <v/>
      </c>
      <c r="AA253">
        <f>IF(A253="","","JFT|"&amp;C253&amp;"|"&amp;D253&amp;"|"&amp;E253&amp;"L"&amp;F253)</f>
        <v/>
      </c>
    </row>
    <row r="254">
      <c r="Z254">
        <f>IF(A254="","",COUNTIF('40_RAP_DE'!$C:$C,A254))</f>
        <v/>
      </c>
      <c r="AA254">
        <f>IF(A254="","","JFT|"&amp;C254&amp;"|"&amp;D254&amp;"|"&amp;E254&amp;"L"&amp;F254)</f>
        <v/>
      </c>
    </row>
    <row r="255">
      <c r="Z255">
        <f>IF(A255="","",COUNTIF('40_RAP_DE'!$C:$C,A255))</f>
        <v/>
      </c>
      <c r="AA255">
        <f>IF(A255="","","JFT|"&amp;C255&amp;"|"&amp;D255&amp;"|"&amp;E255&amp;"L"&amp;F255)</f>
        <v/>
      </c>
    </row>
    <row r="256">
      <c r="Z256">
        <f>IF(A256="","",COUNTIF('40_RAP_DE'!$C:$C,A256))</f>
        <v/>
      </c>
      <c r="AA256">
        <f>IF(A256="","","JFT|"&amp;C256&amp;"|"&amp;D256&amp;"|"&amp;E256&amp;"L"&amp;F256)</f>
        <v/>
      </c>
    </row>
    <row r="257">
      <c r="Z257">
        <f>IF(A257="","",COUNTIF('40_RAP_DE'!$C:$C,A257))</f>
        <v/>
      </c>
      <c r="AA257">
        <f>IF(A257="","","JFT|"&amp;C257&amp;"|"&amp;D257&amp;"|"&amp;E257&amp;"L"&amp;F257)</f>
        <v/>
      </c>
    </row>
    <row r="258">
      <c r="Z258">
        <f>IF(A258="","",COUNTIF('40_RAP_DE'!$C:$C,A258))</f>
        <v/>
      </c>
      <c r="AA258">
        <f>IF(A258="","","JFT|"&amp;C258&amp;"|"&amp;D258&amp;"|"&amp;E258&amp;"L"&amp;F258)</f>
        <v/>
      </c>
    </row>
    <row r="259">
      <c r="Z259">
        <f>IF(A259="","",COUNTIF('40_RAP_DE'!$C:$C,A259))</f>
        <v/>
      </c>
      <c r="AA259">
        <f>IF(A259="","","JFT|"&amp;C259&amp;"|"&amp;D259&amp;"|"&amp;E259&amp;"L"&amp;F259)</f>
        <v/>
      </c>
    </row>
    <row r="260">
      <c r="Z260">
        <f>IF(A260="","",COUNTIF('40_RAP_DE'!$C:$C,A260))</f>
        <v/>
      </c>
      <c r="AA260">
        <f>IF(A260="","","JFT|"&amp;C260&amp;"|"&amp;D260&amp;"|"&amp;E260&amp;"L"&amp;F260)</f>
        <v/>
      </c>
    </row>
    <row r="261">
      <c r="Z261">
        <f>IF(A261="","",COUNTIF('40_RAP_DE'!$C:$C,A261))</f>
        <v/>
      </c>
      <c r="AA261">
        <f>IF(A261="","","JFT|"&amp;C261&amp;"|"&amp;D261&amp;"|"&amp;E261&amp;"L"&amp;F261)</f>
        <v/>
      </c>
    </row>
    <row r="262">
      <c r="Z262">
        <f>IF(A262="","",COUNTIF('40_RAP_DE'!$C:$C,A262))</f>
        <v/>
      </c>
      <c r="AA262">
        <f>IF(A262="","","JFT|"&amp;C262&amp;"|"&amp;D262&amp;"|"&amp;E262&amp;"L"&amp;F262)</f>
        <v/>
      </c>
    </row>
    <row r="263">
      <c r="Z263">
        <f>IF(A263="","",COUNTIF('40_RAP_DE'!$C:$C,A263))</f>
        <v/>
      </c>
      <c r="AA263">
        <f>IF(A263="","","JFT|"&amp;C263&amp;"|"&amp;D263&amp;"|"&amp;E263&amp;"L"&amp;F263)</f>
        <v/>
      </c>
    </row>
    <row r="264">
      <c r="Z264">
        <f>IF(A264="","",COUNTIF('40_RAP_DE'!$C:$C,A264))</f>
        <v/>
      </c>
      <c r="AA264">
        <f>IF(A264="","","JFT|"&amp;C264&amp;"|"&amp;D264&amp;"|"&amp;E264&amp;"L"&amp;F264)</f>
        <v/>
      </c>
    </row>
    <row r="265">
      <c r="Z265">
        <f>IF(A265="","",COUNTIF('40_RAP_DE'!$C:$C,A265))</f>
        <v/>
      </c>
      <c r="AA265">
        <f>IF(A265="","","JFT|"&amp;C265&amp;"|"&amp;D265&amp;"|"&amp;E265&amp;"L"&amp;F265)</f>
        <v/>
      </c>
    </row>
    <row r="266">
      <c r="Z266">
        <f>IF(A266="","",COUNTIF('40_RAP_DE'!$C:$C,A266))</f>
        <v/>
      </c>
      <c r="AA266">
        <f>IF(A266="","","JFT|"&amp;C266&amp;"|"&amp;D266&amp;"|"&amp;E266&amp;"L"&amp;F266)</f>
        <v/>
      </c>
    </row>
    <row r="267">
      <c r="Z267">
        <f>IF(A267="","",COUNTIF('40_RAP_DE'!$C:$C,A267))</f>
        <v/>
      </c>
      <c r="AA267">
        <f>IF(A267="","","JFT|"&amp;C267&amp;"|"&amp;D267&amp;"|"&amp;E267&amp;"L"&amp;F267)</f>
        <v/>
      </c>
    </row>
    <row r="268">
      <c r="Z268">
        <f>IF(A268="","",COUNTIF('40_RAP_DE'!$C:$C,A268))</f>
        <v/>
      </c>
      <c r="AA268">
        <f>IF(A268="","","JFT|"&amp;C268&amp;"|"&amp;D268&amp;"|"&amp;E268&amp;"L"&amp;F268)</f>
        <v/>
      </c>
    </row>
    <row r="269">
      <c r="Z269">
        <f>IF(A269="","",COUNTIF('40_RAP_DE'!$C:$C,A269))</f>
        <v/>
      </c>
      <c r="AA269">
        <f>IF(A269="","","JFT|"&amp;C269&amp;"|"&amp;D269&amp;"|"&amp;E269&amp;"L"&amp;F269)</f>
        <v/>
      </c>
    </row>
    <row r="270">
      <c r="Z270">
        <f>IF(A270="","",COUNTIF('40_RAP_DE'!$C:$C,A270))</f>
        <v/>
      </c>
      <c r="AA270">
        <f>IF(A270="","","JFT|"&amp;C270&amp;"|"&amp;D270&amp;"|"&amp;E270&amp;"L"&amp;F270)</f>
        <v/>
      </c>
    </row>
    <row r="271">
      <c r="Z271">
        <f>IF(A271="","",COUNTIF('40_RAP_DE'!$C:$C,A271))</f>
        <v/>
      </c>
      <c r="AA271">
        <f>IF(A271="","","JFT|"&amp;C271&amp;"|"&amp;D271&amp;"|"&amp;E271&amp;"L"&amp;F271)</f>
        <v/>
      </c>
    </row>
    <row r="272">
      <c r="Z272">
        <f>IF(A272="","",COUNTIF('40_RAP_DE'!$C:$C,A272))</f>
        <v/>
      </c>
      <c r="AA272">
        <f>IF(A272="","","JFT|"&amp;C272&amp;"|"&amp;D272&amp;"|"&amp;E272&amp;"L"&amp;F272)</f>
        <v/>
      </c>
    </row>
    <row r="273">
      <c r="Z273">
        <f>IF(A273="","",COUNTIF('40_RAP_DE'!$C:$C,A273))</f>
        <v/>
      </c>
      <c r="AA273">
        <f>IF(A273="","","JFT|"&amp;C273&amp;"|"&amp;D273&amp;"|"&amp;E273&amp;"L"&amp;F273)</f>
        <v/>
      </c>
    </row>
    <row r="274">
      <c r="Z274">
        <f>IF(A274="","",COUNTIF('40_RAP_DE'!$C:$C,A274))</f>
        <v/>
      </c>
      <c r="AA274">
        <f>IF(A274="","","JFT|"&amp;C274&amp;"|"&amp;D274&amp;"|"&amp;E274&amp;"L"&amp;F274)</f>
        <v/>
      </c>
    </row>
    <row r="275">
      <c r="Z275">
        <f>IF(A275="","",COUNTIF('40_RAP_DE'!$C:$C,A275))</f>
        <v/>
      </c>
      <c r="AA275">
        <f>IF(A275="","","JFT|"&amp;C275&amp;"|"&amp;D275&amp;"|"&amp;E275&amp;"L"&amp;F275)</f>
        <v/>
      </c>
    </row>
    <row r="276">
      <c r="Z276">
        <f>IF(A276="","",COUNTIF('40_RAP_DE'!$C:$C,A276))</f>
        <v/>
      </c>
      <c r="AA276">
        <f>IF(A276="","","JFT|"&amp;C276&amp;"|"&amp;D276&amp;"|"&amp;E276&amp;"L"&amp;F276)</f>
        <v/>
      </c>
    </row>
    <row r="277">
      <c r="Z277">
        <f>IF(A277="","",COUNTIF('40_RAP_DE'!$C:$C,A277))</f>
        <v/>
      </c>
      <c r="AA277">
        <f>IF(A277="","","JFT|"&amp;C277&amp;"|"&amp;D277&amp;"|"&amp;E277&amp;"L"&amp;F277)</f>
        <v/>
      </c>
    </row>
    <row r="278">
      <c r="Z278">
        <f>IF(A278="","",COUNTIF('40_RAP_DE'!$C:$C,A278))</f>
        <v/>
      </c>
      <c r="AA278">
        <f>IF(A278="","","JFT|"&amp;C278&amp;"|"&amp;D278&amp;"|"&amp;E278&amp;"L"&amp;F278)</f>
        <v/>
      </c>
    </row>
    <row r="279">
      <c r="Z279">
        <f>IF(A279="","",COUNTIF('40_RAP_DE'!$C:$C,A279))</f>
        <v/>
      </c>
      <c r="AA279">
        <f>IF(A279="","","JFT|"&amp;C279&amp;"|"&amp;D279&amp;"|"&amp;E279&amp;"L"&amp;F279)</f>
        <v/>
      </c>
    </row>
    <row r="280">
      <c r="Z280">
        <f>IF(A280="","",COUNTIF('40_RAP_DE'!$C:$C,A280))</f>
        <v/>
      </c>
      <c r="AA280">
        <f>IF(A280="","","JFT|"&amp;C280&amp;"|"&amp;D280&amp;"|"&amp;E280&amp;"L"&amp;F280)</f>
        <v/>
      </c>
    </row>
    <row r="281">
      <c r="Z281">
        <f>IF(A281="","",COUNTIF('40_RAP_DE'!$C:$C,A281))</f>
        <v/>
      </c>
      <c r="AA281">
        <f>IF(A281="","","JFT|"&amp;C281&amp;"|"&amp;D281&amp;"|"&amp;E281&amp;"L"&amp;F281)</f>
        <v/>
      </c>
    </row>
    <row r="282">
      <c r="Z282">
        <f>IF(A282="","",COUNTIF('40_RAP_DE'!$C:$C,A282))</f>
        <v/>
      </c>
      <c r="AA282">
        <f>IF(A282="","","JFT|"&amp;C282&amp;"|"&amp;D282&amp;"|"&amp;E282&amp;"L"&amp;F282)</f>
        <v/>
      </c>
    </row>
    <row r="283">
      <c r="Z283">
        <f>IF(A283="","",COUNTIF('40_RAP_DE'!$C:$C,A283))</f>
        <v/>
      </c>
      <c r="AA283">
        <f>IF(A283="","","JFT|"&amp;C283&amp;"|"&amp;D283&amp;"|"&amp;E283&amp;"L"&amp;F283)</f>
        <v/>
      </c>
    </row>
    <row r="284">
      <c r="Z284">
        <f>IF(A284="","",COUNTIF('40_RAP_DE'!$C:$C,A284))</f>
        <v/>
      </c>
      <c r="AA284">
        <f>IF(A284="","","JFT|"&amp;C284&amp;"|"&amp;D284&amp;"|"&amp;E284&amp;"L"&amp;F284)</f>
        <v/>
      </c>
    </row>
    <row r="285">
      <c r="Z285">
        <f>IF(A285="","",COUNTIF('40_RAP_DE'!$C:$C,A285))</f>
        <v/>
      </c>
      <c r="AA285">
        <f>IF(A285="","","JFT|"&amp;C285&amp;"|"&amp;D285&amp;"|"&amp;E285&amp;"L"&amp;F285)</f>
        <v/>
      </c>
    </row>
    <row r="286">
      <c r="Z286">
        <f>IF(A286="","",COUNTIF('40_RAP_DE'!$C:$C,A286))</f>
        <v/>
      </c>
      <c r="AA286">
        <f>IF(A286="","","JFT|"&amp;C286&amp;"|"&amp;D286&amp;"|"&amp;E286&amp;"L"&amp;F286)</f>
        <v/>
      </c>
    </row>
    <row r="287">
      <c r="Z287">
        <f>IF(A287="","",COUNTIF('40_RAP_DE'!$C:$C,A287))</f>
        <v/>
      </c>
      <c r="AA287">
        <f>IF(A287="","","JFT|"&amp;C287&amp;"|"&amp;D287&amp;"|"&amp;E287&amp;"L"&amp;F287)</f>
        <v/>
      </c>
    </row>
    <row r="288">
      <c r="Z288">
        <f>IF(A288="","",COUNTIF('40_RAP_DE'!$C:$C,A288))</f>
        <v/>
      </c>
      <c r="AA288">
        <f>IF(A288="","","JFT|"&amp;C288&amp;"|"&amp;D288&amp;"|"&amp;E288&amp;"L"&amp;F288)</f>
        <v/>
      </c>
    </row>
    <row r="289">
      <c r="Z289">
        <f>IF(A289="","",COUNTIF('40_RAP_DE'!$C:$C,A289))</f>
        <v/>
      </c>
      <c r="AA289">
        <f>IF(A289="","","JFT|"&amp;C289&amp;"|"&amp;D289&amp;"|"&amp;E289&amp;"L"&amp;F289)</f>
        <v/>
      </c>
    </row>
    <row r="290">
      <c r="Z290">
        <f>IF(A290="","",COUNTIF('40_RAP_DE'!$C:$C,A290))</f>
        <v/>
      </c>
      <c r="AA290">
        <f>IF(A290="","","JFT|"&amp;C290&amp;"|"&amp;D290&amp;"|"&amp;E290&amp;"L"&amp;F290)</f>
        <v/>
      </c>
    </row>
    <row r="291">
      <c r="Z291">
        <f>IF(A291="","",COUNTIF('40_RAP_DE'!$C:$C,A291))</f>
        <v/>
      </c>
      <c r="AA291">
        <f>IF(A291="","","JFT|"&amp;C291&amp;"|"&amp;D291&amp;"|"&amp;E291&amp;"L"&amp;F291)</f>
        <v/>
      </c>
    </row>
    <row r="292">
      <c r="Z292">
        <f>IF(A292="","",COUNTIF('40_RAP_DE'!$C:$C,A292))</f>
        <v/>
      </c>
      <c r="AA292">
        <f>IF(A292="","","JFT|"&amp;C292&amp;"|"&amp;D292&amp;"|"&amp;E292&amp;"L"&amp;F292)</f>
        <v/>
      </c>
    </row>
    <row r="293">
      <c r="Z293">
        <f>IF(A293="","",COUNTIF('40_RAP_DE'!$C:$C,A293))</f>
        <v/>
      </c>
      <c r="AA293">
        <f>IF(A293="","","JFT|"&amp;C293&amp;"|"&amp;D293&amp;"|"&amp;E293&amp;"L"&amp;F293)</f>
        <v/>
      </c>
    </row>
    <row r="294">
      <c r="Z294">
        <f>IF(A294="","",COUNTIF('40_RAP_DE'!$C:$C,A294))</f>
        <v/>
      </c>
      <c r="AA294">
        <f>IF(A294="","","JFT|"&amp;C294&amp;"|"&amp;D294&amp;"|"&amp;E294&amp;"L"&amp;F294)</f>
        <v/>
      </c>
    </row>
    <row r="295">
      <c r="Z295">
        <f>IF(A295="","",COUNTIF('40_RAP_DE'!$C:$C,A295))</f>
        <v/>
      </c>
      <c r="AA295">
        <f>IF(A295="","","JFT|"&amp;C295&amp;"|"&amp;D295&amp;"|"&amp;E295&amp;"L"&amp;F295)</f>
        <v/>
      </c>
    </row>
    <row r="296">
      <c r="Z296">
        <f>IF(A296="","",COUNTIF('40_RAP_DE'!$C:$C,A296))</f>
        <v/>
      </c>
      <c r="AA296">
        <f>IF(A296="","","JFT|"&amp;C296&amp;"|"&amp;D296&amp;"|"&amp;E296&amp;"L"&amp;F296)</f>
        <v/>
      </c>
    </row>
    <row r="297">
      <c r="Z297">
        <f>IF(A297="","",COUNTIF('40_RAP_DE'!$C:$C,A297))</f>
        <v/>
      </c>
      <c r="AA297">
        <f>IF(A297="","","JFT|"&amp;C297&amp;"|"&amp;D297&amp;"|"&amp;E297&amp;"L"&amp;F297)</f>
        <v/>
      </c>
    </row>
    <row r="298">
      <c r="Z298">
        <f>IF(A298="","",COUNTIF('40_RAP_DE'!$C:$C,A298))</f>
        <v/>
      </c>
      <c r="AA298">
        <f>IF(A298="","","JFT|"&amp;C298&amp;"|"&amp;D298&amp;"|"&amp;E298&amp;"L"&amp;F298)</f>
        <v/>
      </c>
    </row>
    <row r="299">
      <c r="Z299">
        <f>IF(A299="","",COUNTIF('40_RAP_DE'!$C:$C,A299))</f>
        <v/>
      </c>
      <c r="AA299">
        <f>IF(A299="","","JFT|"&amp;C299&amp;"|"&amp;D299&amp;"|"&amp;E299&amp;"L"&amp;F299)</f>
        <v/>
      </c>
    </row>
    <row r="300">
      <c r="Z300">
        <f>IF(A300="","",COUNTIF('40_RAP_DE'!$C:$C,A300))</f>
        <v/>
      </c>
      <c r="AA300">
        <f>IF(A300="","","JFT|"&amp;C300&amp;"|"&amp;D300&amp;"|"&amp;E300&amp;"L"&amp;F300)</f>
        <v/>
      </c>
    </row>
    <row r="301">
      <c r="Z301">
        <f>IF(A301="","",COUNTIF('40_RAP_DE'!$C:$C,A301))</f>
        <v/>
      </c>
      <c r="AA301">
        <f>IF(A301="","","JFT|"&amp;C301&amp;"|"&amp;D301&amp;"|"&amp;E301&amp;"L"&amp;F301)</f>
        <v/>
      </c>
    </row>
    <row r="302">
      <c r="Z302">
        <f>IF(A302="","",COUNTIF('40_RAP_DE'!$C:$C,A302))</f>
        <v/>
      </c>
      <c r="AA302">
        <f>IF(A302="","","JFT|"&amp;C302&amp;"|"&amp;D302&amp;"|"&amp;E302&amp;"L"&amp;F302)</f>
        <v/>
      </c>
    </row>
    <row r="303">
      <c r="Z303">
        <f>IF(A303="","",COUNTIF('40_RAP_DE'!$C:$C,A303))</f>
        <v/>
      </c>
      <c r="AA303">
        <f>IF(A303="","","JFT|"&amp;C303&amp;"|"&amp;D303&amp;"|"&amp;E303&amp;"L"&amp;F303)</f>
        <v/>
      </c>
    </row>
    <row r="304">
      <c r="Z304">
        <f>IF(A304="","",COUNTIF('40_RAP_DE'!$C:$C,A304))</f>
        <v/>
      </c>
      <c r="AA304">
        <f>IF(A304="","","JFT|"&amp;C304&amp;"|"&amp;D304&amp;"|"&amp;E304&amp;"L"&amp;F304)</f>
        <v/>
      </c>
    </row>
    <row r="305">
      <c r="Z305">
        <f>IF(A305="","",COUNTIF('40_RAP_DE'!$C:$C,A305))</f>
        <v/>
      </c>
      <c r="AA305">
        <f>IF(A305="","","JFT|"&amp;C305&amp;"|"&amp;D305&amp;"|"&amp;E305&amp;"L"&amp;F305)</f>
        <v/>
      </c>
    </row>
    <row r="306">
      <c r="Z306">
        <f>IF(A306="","",COUNTIF('40_RAP_DE'!$C:$C,A306))</f>
        <v/>
      </c>
      <c r="AA306">
        <f>IF(A306="","","JFT|"&amp;C306&amp;"|"&amp;D306&amp;"|"&amp;E306&amp;"L"&amp;F306)</f>
        <v/>
      </c>
    </row>
    <row r="307">
      <c r="Z307">
        <f>IF(A307="","",COUNTIF('40_RAP_DE'!$C:$C,A307))</f>
        <v/>
      </c>
      <c r="AA307">
        <f>IF(A307="","","JFT|"&amp;C307&amp;"|"&amp;D307&amp;"|"&amp;E307&amp;"L"&amp;F307)</f>
        <v/>
      </c>
    </row>
    <row r="308">
      <c r="Z308">
        <f>IF(A308="","",COUNTIF('40_RAP_DE'!$C:$C,A308))</f>
        <v/>
      </c>
      <c r="AA308">
        <f>IF(A308="","","JFT|"&amp;C308&amp;"|"&amp;D308&amp;"|"&amp;E308&amp;"L"&amp;F308)</f>
        <v/>
      </c>
    </row>
    <row r="309">
      <c r="Z309">
        <f>IF(A309="","",COUNTIF('40_RAP_DE'!$C:$C,A309))</f>
        <v/>
      </c>
      <c r="AA309">
        <f>IF(A309="","","JFT|"&amp;C309&amp;"|"&amp;D309&amp;"|"&amp;E309&amp;"L"&amp;F309)</f>
        <v/>
      </c>
    </row>
    <row r="310">
      <c r="Z310">
        <f>IF(A310="","",COUNTIF('40_RAP_DE'!$C:$C,A310))</f>
        <v/>
      </c>
      <c r="AA310">
        <f>IF(A310="","","JFT|"&amp;C310&amp;"|"&amp;D310&amp;"|"&amp;E310&amp;"L"&amp;F310)</f>
        <v/>
      </c>
    </row>
    <row r="311">
      <c r="Z311">
        <f>IF(A311="","",COUNTIF('40_RAP_DE'!$C:$C,A311))</f>
        <v/>
      </c>
      <c r="AA311">
        <f>IF(A311="","","JFT|"&amp;C311&amp;"|"&amp;D311&amp;"|"&amp;E311&amp;"L"&amp;F311)</f>
        <v/>
      </c>
    </row>
    <row r="312">
      <c r="Z312">
        <f>IF(A312="","",COUNTIF('40_RAP_DE'!$C:$C,A312))</f>
        <v/>
      </c>
      <c r="AA312">
        <f>IF(A312="","","JFT|"&amp;C312&amp;"|"&amp;D312&amp;"|"&amp;E312&amp;"L"&amp;F312)</f>
        <v/>
      </c>
    </row>
    <row r="313">
      <c r="Z313">
        <f>IF(A313="","",COUNTIF('40_RAP_DE'!$C:$C,A313))</f>
        <v/>
      </c>
      <c r="AA313">
        <f>IF(A313="","","JFT|"&amp;C313&amp;"|"&amp;D313&amp;"|"&amp;E313&amp;"L"&amp;F313)</f>
        <v/>
      </c>
    </row>
    <row r="314">
      <c r="Z314">
        <f>IF(A314="","",COUNTIF('40_RAP_DE'!$C:$C,A314))</f>
        <v/>
      </c>
      <c r="AA314">
        <f>IF(A314="","","JFT|"&amp;C314&amp;"|"&amp;D314&amp;"|"&amp;E314&amp;"L"&amp;F314)</f>
        <v/>
      </c>
    </row>
    <row r="315">
      <c r="Z315">
        <f>IF(A315="","",COUNTIF('40_RAP_DE'!$C:$C,A315))</f>
        <v/>
      </c>
      <c r="AA315">
        <f>IF(A315="","","JFT|"&amp;C315&amp;"|"&amp;D315&amp;"|"&amp;E315&amp;"L"&amp;F315)</f>
        <v/>
      </c>
    </row>
    <row r="316">
      <c r="Z316">
        <f>IF(A316="","",COUNTIF('40_RAP_DE'!$C:$C,A316))</f>
        <v/>
      </c>
      <c r="AA316">
        <f>IF(A316="","","JFT|"&amp;C316&amp;"|"&amp;D316&amp;"|"&amp;E316&amp;"L"&amp;F316)</f>
        <v/>
      </c>
    </row>
    <row r="317">
      <c r="Z317">
        <f>IF(A317="","",COUNTIF('40_RAP_DE'!$C:$C,A317))</f>
        <v/>
      </c>
      <c r="AA317">
        <f>IF(A317="","","JFT|"&amp;C317&amp;"|"&amp;D317&amp;"|"&amp;E317&amp;"L"&amp;F317)</f>
        <v/>
      </c>
    </row>
    <row r="318">
      <c r="Z318">
        <f>IF(A318="","",COUNTIF('40_RAP_DE'!$C:$C,A318))</f>
        <v/>
      </c>
      <c r="AA318">
        <f>IF(A318="","","JFT|"&amp;C318&amp;"|"&amp;D318&amp;"|"&amp;E318&amp;"L"&amp;F318)</f>
        <v/>
      </c>
    </row>
    <row r="319">
      <c r="Z319">
        <f>IF(A319="","",COUNTIF('40_RAP_DE'!$C:$C,A319))</f>
        <v/>
      </c>
      <c r="AA319">
        <f>IF(A319="","","JFT|"&amp;C319&amp;"|"&amp;D319&amp;"|"&amp;E319&amp;"L"&amp;F319)</f>
        <v/>
      </c>
    </row>
    <row r="320">
      <c r="Z320">
        <f>IF(A320="","",COUNTIF('40_RAP_DE'!$C:$C,A320))</f>
        <v/>
      </c>
      <c r="AA320">
        <f>IF(A320="","","JFT|"&amp;C320&amp;"|"&amp;D320&amp;"|"&amp;E320&amp;"L"&amp;F320)</f>
        <v/>
      </c>
    </row>
    <row r="321">
      <c r="Z321">
        <f>IF(A321="","",COUNTIF('40_RAP_DE'!$C:$C,A321))</f>
        <v/>
      </c>
      <c r="AA321">
        <f>IF(A321="","","JFT|"&amp;C321&amp;"|"&amp;D321&amp;"|"&amp;E321&amp;"L"&amp;F321)</f>
        <v/>
      </c>
    </row>
    <row r="322">
      <c r="Z322">
        <f>IF(A322="","",COUNTIF('40_RAP_DE'!$C:$C,A322))</f>
        <v/>
      </c>
      <c r="AA322">
        <f>IF(A322="","","JFT|"&amp;C322&amp;"|"&amp;D322&amp;"|"&amp;E322&amp;"L"&amp;F322)</f>
        <v/>
      </c>
    </row>
    <row r="323">
      <c r="Z323">
        <f>IF(A323="","",COUNTIF('40_RAP_DE'!$C:$C,A323))</f>
        <v/>
      </c>
      <c r="AA323">
        <f>IF(A323="","","JFT|"&amp;C323&amp;"|"&amp;D323&amp;"|"&amp;E323&amp;"L"&amp;F323)</f>
        <v/>
      </c>
    </row>
    <row r="324">
      <c r="Z324">
        <f>IF(A324="","",COUNTIF('40_RAP_DE'!$C:$C,A324))</f>
        <v/>
      </c>
      <c r="AA324">
        <f>IF(A324="","","JFT|"&amp;C324&amp;"|"&amp;D324&amp;"|"&amp;E324&amp;"L"&amp;F324)</f>
        <v/>
      </c>
    </row>
    <row r="325">
      <c r="Z325">
        <f>IF(A325="","",COUNTIF('40_RAP_DE'!$C:$C,A325))</f>
        <v/>
      </c>
      <c r="AA325">
        <f>IF(A325="","","JFT|"&amp;C325&amp;"|"&amp;D325&amp;"|"&amp;E325&amp;"L"&amp;F325)</f>
        <v/>
      </c>
    </row>
    <row r="326">
      <c r="Z326">
        <f>IF(A326="","",COUNTIF('40_RAP_DE'!$C:$C,A326))</f>
        <v/>
      </c>
      <c r="AA326">
        <f>IF(A326="","","JFT|"&amp;C326&amp;"|"&amp;D326&amp;"|"&amp;E326&amp;"L"&amp;F326)</f>
        <v/>
      </c>
    </row>
    <row r="327">
      <c r="Z327">
        <f>IF(A327="","",COUNTIF('40_RAP_DE'!$C:$C,A327))</f>
        <v/>
      </c>
      <c r="AA327">
        <f>IF(A327="","","JFT|"&amp;C327&amp;"|"&amp;D327&amp;"|"&amp;E327&amp;"L"&amp;F327)</f>
        <v/>
      </c>
    </row>
    <row r="328">
      <c r="Z328">
        <f>IF(A328="","",COUNTIF('40_RAP_DE'!$C:$C,A328))</f>
        <v/>
      </c>
      <c r="AA328">
        <f>IF(A328="","","JFT|"&amp;C328&amp;"|"&amp;D328&amp;"|"&amp;E328&amp;"L"&amp;F328)</f>
        <v/>
      </c>
    </row>
    <row r="329">
      <c r="Z329">
        <f>IF(A329="","",COUNTIF('40_RAP_DE'!$C:$C,A329))</f>
        <v/>
      </c>
      <c r="AA329">
        <f>IF(A329="","","JFT|"&amp;C329&amp;"|"&amp;D329&amp;"|"&amp;E329&amp;"L"&amp;F329)</f>
        <v/>
      </c>
    </row>
    <row r="330">
      <c r="Z330">
        <f>IF(A330="","",COUNTIF('40_RAP_DE'!$C:$C,A330))</f>
        <v/>
      </c>
      <c r="AA330">
        <f>IF(A330="","","JFT|"&amp;C330&amp;"|"&amp;D330&amp;"|"&amp;E330&amp;"L"&amp;F330)</f>
        <v/>
      </c>
    </row>
    <row r="331">
      <c r="Z331">
        <f>IF(A331="","",COUNTIF('40_RAP_DE'!$C:$C,A331))</f>
        <v/>
      </c>
      <c r="AA331">
        <f>IF(A331="","","JFT|"&amp;C331&amp;"|"&amp;D331&amp;"|"&amp;E331&amp;"L"&amp;F331)</f>
        <v/>
      </c>
    </row>
    <row r="332">
      <c r="Z332">
        <f>IF(A332="","",COUNTIF('40_RAP_DE'!$C:$C,A332))</f>
        <v/>
      </c>
      <c r="AA332">
        <f>IF(A332="","","JFT|"&amp;C332&amp;"|"&amp;D332&amp;"|"&amp;E332&amp;"L"&amp;F332)</f>
        <v/>
      </c>
    </row>
    <row r="333">
      <c r="Z333">
        <f>IF(A333="","",COUNTIF('40_RAP_DE'!$C:$C,A333))</f>
        <v/>
      </c>
      <c r="AA333">
        <f>IF(A333="","","JFT|"&amp;C333&amp;"|"&amp;D333&amp;"|"&amp;E333&amp;"L"&amp;F333)</f>
        <v/>
      </c>
    </row>
    <row r="334">
      <c r="Z334">
        <f>IF(A334="","",COUNTIF('40_RAP_DE'!$C:$C,A334))</f>
        <v/>
      </c>
      <c r="AA334">
        <f>IF(A334="","","JFT|"&amp;C334&amp;"|"&amp;D334&amp;"|"&amp;E334&amp;"L"&amp;F334)</f>
        <v/>
      </c>
    </row>
    <row r="335">
      <c r="Z335">
        <f>IF(A335="","",COUNTIF('40_RAP_DE'!$C:$C,A335))</f>
        <v/>
      </c>
      <c r="AA335">
        <f>IF(A335="","","JFT|"&amp;C335&amp;"|"&amp;D335&amp;"|"&amp;E335&amp;"L"&amp;F335)</f>
        <v/>
      </c>
    </row>
    <row r="336">
      <c r="Z336">
        <f>IF(A336="","",COUNTIF('40_RAP_DE'!$C:$C,A336))</f>
        <v/>
      </c>
      <c r="AA336">
        <f>IF(A336="","","JFT|"&amp;C336&amp;"|"&amp;D336&amp;"|"&amp;E336&amp;"L"&amp;F336)</f>
        <v/>
      </c>
    </row>
    <row r="337">
      <c r="Z337">
        <f>IF(A337="","",COUNTIF('40_RAP_DE'!$C:$C,A337))</f>
        <v/>
      </c>
      <c r="AA337">
        <f>IF(A337="","","JFT|"&amp;C337&amp;"|"&amp;D337&amp;"|"&amp;E337&amp;"L"&amp;F337)</f>
        <v/>
      </c>
    </row>
    <row r="338">
      <c r="Z338">
        <f>IF(A338="","",COUNTIF('40_RAP_DE'!$C:$C,A338))</f>
        <v/>
      </c>
      <c r="AA338">
        <f>IF(A338="","","JFT|"&amp;C338&amp;"|"&amp;D338&amp;"|"&amp;E338&amp;"L"&amp;F338)</f>
        <v/>
      </c>
    </row>
    <row r="339">
      <c r="Z339">
        <f>IF(A339="","",COUNTIF('40_RAP_DE'!$C:$C,A339))</f>
        <v/>
      </c>
      <c r="AA339">
        <f>IF(A339="","","JFT|"&amp;C339&amp;"|"&amp;D339&amp;"|"&amp;E339&amp;"L"&amp;F339)</f>
        <v/>
      </c>
    </row>
    <row r="340">
      <c r="Z340">
        <f>IF(A340="","",COUNTIF('40_RAP_DE'!$C:$C,A340))</f>
        <v/>
      </c>
      <c r="AA340">
        <f>IF(A340="","","JFT|"&amp;C340&amp;"|"&amp;D340&amp;"|"&amp;E340&amp;"L"&amp;F340)</f>
        <v/>
      </c>
    </row>
    <row r="341">
      <c r="Z341">
        <f>IF(A341="","",COUNTIF('40_RAP_DE'!$C:$C,A341))</f>
        <v/>
      </c>
      <c r="AA341">
        <f>IF(A341="","","JFT|"&amp;C341&amp;"|"&amp;D341&amp;"|"&amp;E341&amp;"L"&amp;F341)</f>
        <v/>
      </c>
    </row>
    <row r="342">
      <c r="Z342">
        <f>IF(A342="","",COUNTIF('40_RAP_DE'!$C:$C,A342))</f>
        <v/>
      </c>
      <c r="AA342">
        <f>IF(A342="","","JFT|"&amp;C342&amp;"|"&amp;D342&amp;"|"&amp;E342&amp;"L"&amp;F342)</f>
        <v/>
      </c>
    </row>
    <row r="343">
      <c r="Z343">
        <f>IF(A343="","",COUNTIF('40_RAP_DE'!$C:$C,A343))</f>
        <v/>
      </c>
      <c r="AA343">
        <f>IF(A343="","","JFT|"&amp;C343&amp;"|"&amp;D343&amp;"|"&amp;E343&amp;"L"&amp;F343)</f>
        <v/>
      </c>
    </row>
    <row r="344">
      <c r="Z344">
        <f>IF(A344="","",COUNTIF('40_RAP_DE'!$C:$C,A344))</f>
        <v/>
      </c>
      <c r="AA344">
        <f>IF(A344="","","JFT|"&amp;C344&amp;"|"&amp;D344&amp;"|"&amp;E344&amp;"L"&amp;F344)</f>
        <v/>
      </c>
    </row>
    <row r="345">
      <c r="Z345">
        <f>IF(A345="","",COUNTIF('40_RAP_DE'!$C:$C,A345))</f>
        <v/>
      </c>
      <c r="AA345">
        <f>IF(A345="","","JFT|"&amp;C345&amp;"|"&amp;D345&amp;"|"&amp;E345&amp;"L"&amp;F345)</f>
        <v/>
      </c>
    </row>
    <row r="346">
      <c r="Z346">
        <f>IF(A346="","",COUNTIF('40_RAP_DE'!$C:$C,A346))</f>
        <v/>
      </c>
      <c r="AA346">
        <f>IF(A346="","","JFT|"&amp;C346&amp;"|"&amp;D346&amp;"|"&amp;E346&amp;"L"&amp;F346)</f>
        <v/>
      </c>
    </row>
    <row r="347">
      <c r="Z347">
        <f>IF(A347="","",COUNTIF('40_RAP_DE'!$C:$C,A347))</f>
        <v/>
      </c>
      <c r="AA347">
        <f>IF(A347="","","JFT|"&amp;C347&amp;"|"&amp;D347&amp;"|"&amp;E347&amp;"L"&amp;F347)</f>
        <v/>
      </c>
    </row>
    <row r="348">
      <c r="Z348">
        <f>IF(A348="","",COUNTIF('40_RAP_DE'!$C:$C,A348))</f>
        <v/>
      </c>
      <c r="AA348">
        <f>IF(A348="","","JFT|"&amp;C348&amp;"|"&amp;D348&amp;"|"&amp;E348&amp;"L"&amp;F348)</f>
        <v/>
      </c>
    </row>
    <row r="349">
      <c r="Z349">
        <f>IF(A349="","",COUNTIF('40_RAP_DE'!$C:$C,A349))</f>
        <v/>
      </c>
      <c r="AA349">
        <f>IF(A349="","","JFT|"&amp;C349&amp;"|"&amp;D349&amp;"|"&amp;E349&amp;"L"&amp;F349)</f>
        <v/>
      </c>
    </row>
    <row r="350">
      <c r="Z350">
        <f>IF(A350="","",COUNTIF('40_RAP_DE'!$C:$C,A350))</f>
        <v/>
      </c>
      <c r="AA350">
        <f>IF(A350="","","JFT|"&amp;C350&amp;"|"&amp;D350&amp;"|"&amp;E350&amp;"L"&amp;F350)</f>
        <v/>
      </c>
    </row>
    <row r="351">
      <c r="Z351">
        <f>IF(A351="","",COUNTIF('40_RAP_DE'!$C:$C,A351))</f>
        <v/>
      </c>
      <c r="AA351">
        <f>IF(A351="","","JFT|"&amp;C351&amp;"|"&amp;D351&amp;"|"&amp;E351&amp;"L"&amp;F351)</f>
        <v/>
      </c>
    </row>
    <row r="352">
      <c r="Z352">
        <f>IF(A352="","",COUNTIF('40_RAP_DE'!$C:$C,A352))</f>
        <v/>
      </c>
      <c r="AA352">
        <f>IF(A352="","","JFT|"&amp;C352&amp;"|"&amp;D352&amp;"|"&amp;E352&amp;"L"&amp;F352)</f>
        <v/>
      </c>
    </row>
    <row r="353">
      <c r="Z353">
        <f>IF(A353="","",COUNTIF('40_RAP_DE'!$C:$C,A353))</f>
        <v/>
      </c>
      <c r="AA353">
        <f>IF(A353="","","JFT|"&amp;C353&amp;"|"&amp;D353&amp;"|"&amp;E353&amp;"L"&amp;F353)</f>
        <v/>
      </c>
    </row>
    <row r="354">
      <c r="Z354">
        <f>IF(A354="","",COUNTIF('40_RAP_DE'!$C:$C,A354))</f>
        <v/>
      </c>
      <c r="AA354">
        <f>IF(A354="","","JFT|"&amp;C354&amp;"|"&amp;D354&amp;"|"&amp;E354&amp;"L"&amp;F354)</f>
        <v/>
      </c>
    </row>
    <row r="355">
      <c r="Z355">
        <f>IF(A355="","",COUNTIF('40_RAP_DE'!$C:$C,A355))</f>
        <v/>
      </c>
      <c r="AA355">
        <f>IF(A355="","","JFT|"&amp;C355&amp;"|"&amp;D355&amp;"|"&amp;E355&amp;"L"&amp;F355)</f>
        <v/>
      </c>
    </row>
    <row r="356">
      <c r="Z356">
        <f>IF(A356="","",COUNTIF('40_RAP_DE'!$C:$C,A356))</f>
        <v/>
      </c>
      <c r="AA356">
        <f>IF(A356="","","JFT|"&amp;C356&amp;"|"&amp;D356&amp;"|"&amp;E356&amp;"L"&amp;F356)</f>
        <v/>
      </c>
    </row>
    <row r="357">
      <c r="Z357">
        <f>IF(A357="","",COUNTIF('40_RAP_DE'!$C:$C,A357))</f>
        <v/>
      </c>
      <c r="AA357">
        <f>IF(A357="","","JFT|"&amp;C357&amp;"|"&amp;D357&amp;"|"&amp;E357&amp;"L"&amp;F357)</f>
        <v/>
      </c>
    </row>
    <row r="358">
      <c r="Z358">
        <f>IF(A358="","",COUNTIF('40_RAP_DE'!$C:$C,A358))</f>
        <v/>
      </c>
      <c r="AA358">
        <f>IF(A358="","","JFT|"&amp;C358&amp;"|"&amp;D358&amp;"|"&amp;E358&amp;"L"&amp;F358)</f>
        <v/>
      </c>
    </row>
    <row r="359">
      <c r="Z359">
        <f>IF(A359="","",COUNTIF('40_RAP_DE'!$C:$C,A359))</f>
        <v/>
      </c>
      <c r="AA359">
        <f>IF(A359="","","JFT|"&amp;C359&amp;"|"&amp;D359&amp;"|"&amp;E359&amp;"L"&amp;F359)</f>
        <v/>
      </c>
    </row>
    <row r="360">
      <c r="Z360">
        <f>IF(A360="","",COUNTIF('40_RAP_DE'!$C:$C,A360))</f>
        <v/>
      </c>
      <c r="AA360">
        <f>IF(A360="","","JFT|"&amp;C360&amp;"|"&amp;D360&amp;"|"&amp;E360&amp;"L"&amp;F360)</f>
        <v/>
      </c>
    </row>
    <row r="361">
      <c r="Z361">
        <f>IF(A361="","",COUNTIF('40_RAP_DE'!$C:$C,A361))</f>
        <v/>
      </c>
      <c r="AA361">
        <f>IF(A361="","","JFT|"&amp;C361&amp;"|"&amp;D361&amp;"|"&amp;E361&amp;"L"&amp;F361)</f>
        <v/>
      </c>
    </row>
    <row r="362">
      <c r="Z362">
        <f>IF(A362="","",COUNTIF('40_RAP_DE'!$C:$C,A362))</f>
        <v/>
      </c>
      <c r="AA362">
        <f>IF(A362="","","JFT|"&amp;C362&amp;"|"&amp;D362&amp;"|"&amp;E362&amp;"L"&amp;F362)</f>
        <v/>
      </c>
    </row>
    <row r="363">
      <c r="Z363">
        <f>IF(A363="","",COUNTIF('40_RAP_DE'!$C:$C,A363))</f>
        <v/>
      </c>
      <c r="AA363">
        <f>IF(A363="","","JFT|"&amp;C363&amp;"|"&amp;D363&amp;"|"&amp;E363&amp;"L"&amp;F363)</f>
        <v/>
      </c>
    </row>
    <row r="364">
      <c r="Z364">
        <f>IF(A364="","",COUNTIF('40_RAP_DE'!$C:$C,A364))</f>
        <v/>
      </c>
      <c r="AA364">
        <f>IF(A364="","","JFT|"&amp;C364&amp;"|"&amp;D364&amp;"|"&amp;E364&amp;"L"&amp;F364)</f>
        <v/>
      </c>
    </row>
    <row r="365">
      <c r="Z365">
        <f>IF(A365="","",COUNTIF('40_RAP_DE'!$C:$C,A365))</f>
        <v/>
      </c>
      <c r="AA365">
        <f>IF(A365="","","JFT|"&amp;C365&amp;"|"&amp;D365&amp;"|"&amp;E365&amp;"L"&amp;F365)</f>
        <v/>
      </c>
    </row>
    <row r="366">
      <c r="Z366">
        <f>IF(A366="","",COUNTIF('40_RAP_DE'!$C:$C,A366))</f>
        <v/>
      </c>
      <c r="AA366">
        <f>IF(A366="","","JFT|"&amp;C366&amp;"|"&amp;D366&amp;"|"&amp;E366&amp;"L"&amp;F366)</f>
        <v/>
      </c>
    </row>
    <row r="367">
      <c r="Z367">
        <f>IF(A367="","",COUNTIF('40_RAP_DE'!$C:$C,A367))</f>
        <v/>
      </c>
      <c r="AA367">
        <f>IF(A367="","","JFT|"&amp;C367&amp;"|"&amp;D367&amp;"|"&amp;E367&amp;"L"&amp;F367)</f>
        <v/>
      </c>
    </row>
    <row r="368">
      <c r="Z368">
        <f>IF(A368="","",COUNTIF('40_RAP_DE'!$C:$C,A368))</f>
        <v/>
      </c>
      <c r="AA368">
        <f>IF(A368="","","JFT|"&amp;C368&amp;"|"&amp;D368&amp;"|"&amp;E368&amp;"L"&amp;F368)</f>
        <v/>
      </c>
    </row>
    <row r="369">
      <c r="Z369">
        <f>IF(A369="","",COUNTIF('40_RAP_DE'!$C:$C,A369))</f>
        <v/>
      </c>
      <c r="AA369">
        <f>IF(A369="","","JFT|"&amp;C369&amp;"|"&amp;D369&amp;"|"&amp;E369&amp;"L"&amp;F369)</f>
        <v/>
      </c>
    </row>
    <row r="370">
      <c r="Z370">
        <f>IF(A370="","",COUNTIF('40_RAP_DE'!$C:$C,A370))</f>
        <v/>
      </c>
      <c r="AA370">
        <f>IF(A370="","","JFT|"&amp;C370&amp;"|"&amp;D370&amp;"|"&amp;E370&amp;"L"&amp;F370)</f>
        <v/>
      </c>
    </row>
    <row r="371">
      <c r="Z371">
        <f>IF(A371="","",COUNTIF('40_RAP_DE'!$C:$C,A371))</f>
        <v/>
      </c>
      <c r="AA371">
        <f>IF(A371="","","JFT|"&amp;C371&amp;"|"&amp;D371&amp;"|"&amp;E371&amp;"L"&amp;F371)</f>
        <v/>
      </c>
    </row>
    <row r="372">
      <c r="Z372">
        <f>IF(A372="","",COUNTIF('40_RAP_DE'!$C:$C,A372))</f>
        <v/>
      </c>
      <c r="AA372">
        <f>IF(A372="","","JFT|"&amp;C372&amp;"|"&amp;D372&amp;"|"&amp;E372&amp;"L"&amp;F372)</f>
        <v/>
      </c>
    </row>
    <row r="373">
      <c r="Z373">
        <f>IF(A373="","",COUNTIF('40_RAP_DE'!$C:$C,A373))</f>
        <v/>
      </c>
      <c r="AA373">
        <f>IF(A373="","","JFT|"&amp;C373&amp;"|"&amp;D373&amp;"|"&amp;E373&amp;"L"&amp;F373)</f>
        <v/>
      </c>
    </row>
    <row r="374">
      <c r="Z374">
        <f>IF(A374="","",COUNTIF('40_RAP_DE'!$C:$C,A374))</f>
        <v/>
      </c>
      <c r="AA374">
        <f>IF(A374="","","JFT|"&amp;C374&amp;"|"&amp;D374&amp;"|"&amp;E374&amp;"L"&amp;F374)</f>
        <v/>
      </c>
    </row>
    <row r="375">
      <c r="Z375">
        <f>IF(A375="","",COUNTIF('40_RAP_DE'!$C:$C,A375))</f>
        <v/>
      </c>
      <c r="AA375">
        <f>IF(A375="","","JFT|"&amp;C375&amp;"|"&amp;D375&amp;"|"&amp;E375&amp;"L"&amp;F375)</f>
        <v/>
      </c>
    </row>
    <row r="376">
      <c r="Z376">
        <f>IF(A376="","",COUNTIF('40_RAP_DE'!$C:$C,A376))</f>
        <v/>
      </c>
      <c r="AA376">
        <f>IF(A376="","","JFT|"&amp;C376&amp;"|"&amp;D376&amp;"|"&amp;E376&amp;"L"&amp;F376)</f>
        <v/>
      </c>
    </row>
    <row r="377">
      <c r="Z377">
        <f>IF(A377="","",COUNTIF('40_RAP_DE'!$C:$C,A377))</f>
        <v/>
      </c>
      <c r="AA377">
        <f>IF(A377="","","JFT|"&amp;C377&amp;"|"&amp;D377&amp;"|"&amp;E377&amp;"L"&amp;F377)</f>
        <v/>
      </c>
    </row>
    <row r="378">
      <c r="Z378">
        <f>IF(A378="","",COUNTIF('40_RAP_DE'!$C:$C,A378))</f>
        <v/>
      </c>
      <c r="AA378">
        <f>IF(A378="","","JFT|"&amp;C378&amp;"|"&amp;D378&amp;"|"&amp;E378&amp;"L"&amp;F378)</f>
        <v/>
      </c>
    </row>
    <row r="379">
      <c r="Z379">
        <f>IF(A379="","",COUNTIF('40_RAP_DE'!$C:$C,A379))</f>
        <v/>
      </c>
      <c r="AA379">
        <f>IF(A379="","","JFT|"&amp;C379&amp;"|"&amp;D379&amp;"|"&amp;E379&amp;"L"&amp;F379)</f>
        <v/>
      </c>
    </row>
    <row r="380">
      <c r="Z380">
        <f>IF(A380="","",COUNTIF('40_RAP_DE'!$C:$C,A380))</f>
        <v/>
      </c>
      <c r="AA380">
        <f>IF(A380="","","JFT|"&amp;C380&amp;"|"&amp;D380&amp;"|"&amp;E380&amp;"L"&amp;F380)</f>
        <v/>
      </c>
    </row>
    <row r="381">
      <c r="Z381">
        <f>IF(A381="","",COUNTIF('40_RAP_DE'!$C:$C,A381))</f>
        <v/>
      </c>
      <c r="AA381">
        <f>IF(A381="","","JFT|"&amp;C381&amp;"|"&amp;D381&amp;"|"&amp;E381&amp;"L"&amp;F381)</f>
        <v/>
      </c>
    </row>
    <row r="382">
      <c r="Z382">
        <f>IF(A382="","",COUNTIF('40_RAP_DE'!$C:$C,A382))</f>
        <v/>
      </c>
      <c r="AA382">
        <f>IF(A382="","","JFT|"&amp;C382&amp;"|"&amp;D382&amp;"|"&amp;E382&amp;"L"&amp;F382)</f>
        <v/>
      </c>
    </row>
    <row r="383">
      <c r="Z383">
        <f>IF(A383="","",COUNTIF('40_RAP_DE'!$C:$C,A383))</f>
        <v/>
      </c>
      <c r="AA383">
        <f>IF(A383="","","JFT|"&amp;C383&amp;"|"&amp;D383&amp;"|"&amp;E383&amp;"L"&amp;F383)</f>
        <v/>
      </c>
    </row>
    <row r="384">
      <c r="Z384">
        <f>IF(A384="","",COUNTIF('40_RAP_DE'!$C:$C,A384))</f>
        <v/>
      </c>
      <c r="AA384">
        <f>IF(A384="","","JFT|"&amp;C384&amp;"|"&amp;D384&amp;"|"&amp;E384&amp;"L"&amp;F384)</f>
        <v/>
      </c>
    </row>
    <row r="385">
      <c r="Z385">
        <f>IF(A385="","",COUNTIF('40_RAP_DE'!$C:$C,A385))</f>
        <v/>
      </c>
      <c r="AA385">
        <f>IF(A385="","","JFT|"&amp;C385&amp;"|"&amp;D385&amp;"|"&amp;E385&amp;"L"&amp;F385)</f>
        <v/>
      </c>
    </row>
    <row r="386">
      <c r="Z386">
        <f>IF(A386="","",COUNTIF('40_RAP_DE'!$C:$C,A386))</f>
        <v/>
      </c>
      <c r="AA386">
        <f>IF(A386="","","JFT|"&amp;C386&amp;"|"&amp;D386&amp;"|"&amp;E386&amp;"L"&amp;F386)</f>
        <v/>
      </c>
    </row>
    <row r="387">
      <c r="Z387">
        <f>IF(A387="","",COUNTIF('40_RAP_DE'!$C:$C,A387))</f>
        <v/>
      </c>
      <c r="AA387">
        <f>IF(A387="","","JFT|"&amp;C387&amp;"|"&amp;D387&amp;"|"&amp;E387&amp;"L"&amp;F387)</f>
        <v/>
      </c>
    </row>
    <row r="388">
      <c r="Z388">
        <f>IF(A388="","",COUNTIF('40_RAP_DE'!$C:$C,A388))</f>
        <v/>
      </c>
      <c r="AA388">
        <f>IF(A388="","","JFT|"&amp;C388&amp;"|"&amp;D388&amp;"|"&amp;E388&amp;"L"&amp;F388)</f>
        <v/>
      </c>
    </row>
    <row r="389">
      <c r="Z389">
        <f>IF(A389="","",COUNTIF('40_RAP_DE'!$C:$C,A389))</f>
        <v/>
      </c>
      <c r="AA389">
        <f>IF(A389="","","JFT|"&amp;C389&amp;"|"&amp;D389&amp;"|"&amp;E389&amp;"L"&amp;F389)</f>
        <v/>
      </c>
    </row>
    <row r="390">
      <c r="Z390">
        <f>IF(A390="","",COUNTIF('40_RAP_DE'!$C:$C,A390))</f>
        <v/>
      </c>
      <c r="AA390">
        <f>IF(A390="","","JFT|"&amp;C390&amp;"|"&amp;D390&amp;"|"&amp;E390&amp;"L"&amp;F390)</f>
        <v/>
      </c>
    </row>
    <row r="391">
      <c r="Z391">
        <f>IF(A391="","",COUNTIF('40_RAP_DE'!$C:$C,A391))</f>
        <v/>
      </c>
      <c r="AA391">
        <f>IF(A391="","","JFT|"&amp;C391&amp;"|"&amp;D391&amp;"|"&amp;E391&amp;"L"&amp;F391)</f>
        <v/>
      </c>
    </row>
    <row r="392">
      <c r="Z392">
        <f>IF(A392="","",COUNTIF('40_RAP_DE'!$C:$C,A392))</f>
        <v/>
      </c>
      <c r="AA392">
        <f>IF(A392="","","JFT|"&amp;C392&amp;"|"&amp;D392&amp;"|"&amp;E392&amp;"L"&amp;F392)</f>
        <v/>
      </c>
    </row>
    <row r="393">
      <c r="Z393">
        <f>IF(A393="","",COUNTIF('40_RAP_DE'!$C:$C,A393))</f>
        <v/>
      </c>
      <c r="AA393">
        <f>IF(A393="","","JFT|"&amp;C393&amp;"|"&amp;D393&amp;"|"&amp;E393&amp;"L"&amp;F393)</f>
        <v/>
      </c>
    </row>
    <row r="394">
      <c r="Z394">
        <f>IF(A394="","",COUNTIF('40_RAP_DE'!$C:$C,A394))</f>
        <v/>
      </c>
      <c r="AA394">
        <f>IF(A394="","","JFT|"&amp;C394&amp;"|"&amp;D394&amp;"|"&amp;E394&amp;"L"&amp;F394)</f>
        <v/>
      </c>
    </row>
    <row r="395">
      <c r="Z395">
        <f>IF(A395="","",COUNTIF('40_RAP_DE'!$C:$C,A395))</f>
        <v/>
      </c>
      <c r="AA395">
        <f>IF(A395="","","JFT|"&amp;C395&amp;"|"&amp;D395&amp;"|"&amp;E395&amp;"L"&amp;F395)</f>
        <v/>
      </c>
    </row>
    <row r="396">
      <c r="Z396">
        <f>IF(A396="","",COUNTIF('40_RAP_DE'!$C:$C,A396))</f>
        <v/>
      </c>
      <c r="AA396">
        <f>IF(A396="","","JFT|"&amp;C396&amp;"|"&amp;D396&amp;"|"&amp;E396&amp;"L"&amp;F396)</f>
        <v/>
      </c>
    </row>
    <row r="397">
      <c r="Z397">
        <f>IF(A397="","",COUNTIF('40_RAP_DE'!$C:$C,A397))</f>
        <v/>
      </c>
      <c r="AA397">
        <f>IF(A397="","","JFT|"&amp;C397&amp;"|"&amp;D397&amp;"|"&amp;E397&amp;"L"&amp;F397)</f>
        <v/>
      </c>
    </row>
    <row r="398">
      <c r="Z398">
        <f>IF(A398="","",COUNTIF('40_RAP_DE'!$C:$C,A398))</f>
        <v/>
      </c>
      <c r="AA398">
        <f>IF(A398="","","JFT|"&amp;C398&amp;"|"&amp;D398&amp;"|"&amp;E398&amp;"L"&amp;F398)</f>
        <v/>
      </c>
    </row>
    <row r="399">
      <c r="Z399">
        <f>IF(A399="","",COUNTIF('40_RAP_DE'!$C:$C,A399))</f>
        <v/>
      </c>
      <c r="AA399">
        <f>IF(A399="","","JFT|"&amp;C399&amp;"|"&amp;D399&amp;"|"&amp;E399&amp;"L"&amp;F399)</f>
        <v/>
      </c>
    </row>
    <row r="400">
      <c r="Z400">
        <f>IF(A400="","",COUNTIF('40_RAP_DE'!$C:$C,A400))</f>
        <v/>
      </c>
      <c r="AA400">
        <f>IF(A400="","","JFT|"&amp;C400&amp;"|"&amp;D400&amp;"|"&amp;E400&amp;"L"&amp;F400)</f>
        <v/>
      </c>
    </row>
    <row r="401">
      <c r="Z401">
        <f>IF(A401="","",COUNTIF('40_RAP_DE'!$C:$C,A401))</f>
        <v/>
      </c>
      <c r="AA401">
        <f>IF(A401="","","JFT|"&amp;C401&amp;"|"&amp;D401&amp;"|"&amp;E401&amp;"L"&amp;F401)</f>
        <v/>
      </c>
    </row>
    <row r="402">
      <c r="Z402">
        <f>IF(A402="","",COUNTIF('40_RAP_DE'!$C:$C,A402))</f>
        <v/>
      </c>
      <c r="AA402">
        <f>IF(A402="","","JFT|"&amp;C402&amp;"|"&amp;D402&amp;"|"&amp;E402&amp;"L"&amp;F402)</f>
        <v/>
      </c>
    </row>
    <row r="403">
      <c r="Z403">
        <f>IF(A403="","",COUNTIF('40_RAP_DE'!$C:$C,A403))</f>
        <v/>
      </c>
      <c r="AA403">
        <f>IF(A403="","","JFT|"&amp;C403&amp;"|"&amp;D403&amp;"|"&amp;E403&amp;"L"&amp;F403)</f>
        <v/>
      </c>
    </row>
    <row r="404">
      <c r="Z404">
        <f>IF(A404="","",COUNTIF('40_RAP_DE'!$C:$C,A404))</f>
        <v/>
      </c>
      <c r="AA404">
        <f>IF(A404="","","JFT|"&amp;C404&amp;"|"&amp;D404&amp;"|"&amp;E404&amp;"L"&amp;F404)</f>
        <v/>
      </c>
    </row>
    <row r="405">
      <c r="Z405">
        <f>IF(A405="","",COUNTIF('40_RAP_DE'!$C:$C,A405))</f>
        <v/>
      </c>
      <c r="AA405">
        <f>IF(A405="","","JFT|"&amp;C405&amp;"|"&amp;D405&amp;"|"&amp;E405&amp;"L"&amp;F405)</f>
        <v/>
      </c>
    </row>
    <row r="406">
      <c r="Z406">
        <f>IF(A406="","",COUNTIF('40_RAP_DE'!$C:$C,A406))</f>
        <v/>
      </c>
      <c r="AA406">
        <f>IF(A406="","","JFT|"&amp;C406&amp;"|"&amp;D406&amp;"|"&amp;E406&amp;"L"&amp;F406)</f>
        <v/>
      </c>
    </row>
    <row r="407">
      <c r="Z407">
        <f>IF(A407="","",COUNTIF('40_RAP_DE'!$C:$C,A407))</f>
        <v/>
      </c>
      <c r="AA407">
        <f>IF(A407="","","JFT|"&amp;C407&amp;"|"&amp;D407&amp;"|"&amp;E407&amp;"L"&amp;F407)</f>
        <v/>
      </c>
    </row>
    <row r="408">
      <c r="Z408">
        <f>IF(A408="","",COUNTIF('40_RAP_DE'!$C:$C,A408))</f>
        <v/>
      </c>
      <c r="AA408">
        <f>IF(A408="","","JFT|"&amp;C408&amp;"|"&amp;D408&amp;"|"&amp;E408&amp;"L"&amp;F408)</f>
        <v/>
      </c>
    </row>
    <row r="409">
      <c r="Z409">
        <f>IF(A409="","",COUNTIF('40_RAP_DE'!$C:$C,A409))</f>
        <v/>
      </c>
      <c r="AA409">
        <f>IF(A409="","","JFT|"&amp;C409&amp;"|"&amp;D409&amp;"|"&amp;E409&amp;"L"&amp;F409)</f>
        <v/>
      </c>
    </row>
    <row r="410">
      <c r="Z410">
        <f>IF(A410="","",COUNTIF('40_RAP_DE'!$C:$C,A410))</f>
        <v/>
      </c>
      <c r="AA410">
        <f>IF(A410="","","JFT|"&amp;C410&amp;"|"&amp;D410&amp;"|"&amp;E410&amp;"L"&amp;F410)</f>
        <v/>
      </c>
    </row>
    <row r="411">
      <c r="Z411">
        <f>IF(A411="","",COUNTIF('40_RAP_DE'!$C:$C,A411))</f>
        <v/>
      </c>
      <c r="AA411">
        <f>IF(A411="","","JFT|"&amp;C411&amp;"|"&amp;D411&amp;"|"&amp;E411&amp;"L"&amp;F411)</f>
        <v/>
      </c>
    </row>
    <row r="412">
      <c r="Z412">
        <f>IF(A412="","",COUNTIF('40_RAP_DE'!$C:$C,A412))</f>
        <v/>
      </c>
      <c r="AA412">
        <f>IF(A412="","","JFT|"&amp;C412&amp;"|"&amp;D412&amp;"|"&amp;E412&amp;"L"&amp;F412)</f>
        <v/>
      </c>
    </row>
    <row r="413">
      <c r="Z413">
        <f>IF(A413="","",COUNTIF('40_RAP_DE'!$C:$C,A413))</f>
        <v/>
      </c>
      <c r="AA413">
        <f>IF(A413="","","JFT|"&amp;C413&amp;"|"&amp;D413&amp;"|"&amp;E413&amp;"L"&amp;F413)</f>
        <v/>
      </c>
    </row>
    <row r="414">
      <c r="Z414">
        <f>IF(A414="","",COUNTIF('40_RAP_DE'!$C:$C,A414))</f>
        <v/>
      </c>
      <c r="AA414">
        <f>IF(A414="","","JFT|"&amp;C414&amp;"|"&amp;D414&amp;"|"&amp;E414&amp;"L"&amp;F414)</f>
        <v/>
      </c>
    </row>
    <row r="415">
      <c r="Z415">
        <f>IF(A415="","",COUNTIF('40_RAP_DE'!$C:$C,A415))</f>
        <v/>
      </c>
      <c r="AA415">
        <f>IF(A415="","","JFT|"&amp;C415&amp;"|"&amp;D415&amp;"|"&amp;E415&amp;"L"&amp;F415)</f>
        <v/>
      </c>
    </row>
    <row r="416">
      <c r="Z416">
        <f>IF(A416="","",COUNTIF('40_RAP_DE'!$C:$C,A416))</f>
        <v/>
      </c>
      <c r="AA416">
        <f>IF(A416="","","JFT|"&amp;C416&amp;"|"&amp;D416&amp;"|"&amp;E416&amp;"L"&amp;F416)</f>
        <v/>
      </c>
    </row>
    <row r="417">
      <c r="Z417">
        <f>IF(A417="","",COUNTIF('40_RAP_DE'!$C:$C,A417))</f>
        <v/>
      </c>
      <c r="AA417">
        <f>IF(A417="","","JFT|"&amp;C417&amp;"|"&amp;D417&amp;"|"&amp;E417&amp;"L"&amp;F417)</f>
        <v/>
      </c>
    </row>
    <row r="418">
      <c r="Z418">
        <f>IF(A418="","",COUNTIF('40_RAP_DE'!$C:$C,A418))</f>
        <v/>
      </c>
      <c r="AA418">
        <f>IF(A418="","","JFT|"&amp;C418&amp;"|"&amp;D418&amp;"|"&amp;E418&amp;"L"&amp;F418)</f>
        <v/>
      </c>
    </row>
    <row r="419">
      <c r="Z419">
        <f>IF(A419="","",COUNTIF('40_RAP_DE'!$C:$C,A419))</f>
        <v/>
      </c>
      <c r="AA419">
        <f>IF(A419="","","JFT|"&amp;C419&amp;"|"&amp;D419&amp;"|"&amp;E419&amp;"L"&amp;F419)</f>
        <v/>
      </c>
    </row>
    <row r="420">
      <c r="Z420">
        <f>IF(A420="","",COUNTIF('40_RAP_DE'!$C:$C,A420))</f>
        <v/>
      </c>
      <c r="AA420">
        <f>IF(A420="","","JFT|"&amp;C420&amp;"|"&amp;D420&amp;"|"&amp;E420&amp;"L"&amp;F420)</f>
        <v/>
      </c>
    </row>
    <row r="421">
      <c r="Z421">
        <f>IF(A421="","",COUNTIF('40_RAP_DE'!$C:$C,A421))</f>
        <v/>
      </c>
      <c r="AA421">
        <f>IF(A421="","","JFT|"&amp;C421&amp;"|"&amp;D421&amp;"|"&amp;E421&amp;"L"&amp;F421)</f>
        <v/>
      </c>
    </row>
    <row r="422">
      <c r="Z422">
        <f>IF(A422="","",COUNTIF('40_RAP_DE'!$C:$C,A422))</f>
        <v/>
      </c>
      <c r="AA422">
        <f>IF(A422="","","JFT|"&amp;C422&amp;"|"&amp;D422&amp;"|"&amp;E422&amp;"L"&amp;F422)</f>
        <v/>
      </c>
    </row>
    <row r="423">
      <c r="Z423">
        <f>IF(A423="","",COUNTIF('40_RAP_DE'!$C:$C,A423))</f>
        <v/>
      </c>
      <c r="AA423">
        <f>IF(A423="","","JFT|"&amp;C423&amp;"|"&amp;D423&amp;"|"&amp;E423&amp;"L"&amp;F423)</f>
        <v/>
      </c>
    </row>
    <row r="424">
      <c r="Z424">
        <f>IF(A424="","",COUNTIF('40_RAP_DE'!$C:$C,A424))</f>
        <v/>
      </c>
      <c r="AA424">
        <f>IF(A424="","","JFT|"&amp;C424&amp;"|"&amp;D424&amp;"|"&amp;E424&amp;"L"&amp;F424)</f>
        <v/>
      </c>
    </row>
    <row r="425">
      <c r="Z425">
        <f>IF(A425="","",COUNTIF('40_RAP_DE'!$C:$C,A425))</f>
        <v/>
      </c>
      <c r="AA425">
        <f>IF(A425="","","JFT|"&amp;C425&amp;"|"&amp;D425&amp;"|"&amp;E425&amp;"L"&amp;F425)</f>
        <v/>
      </c>
    </row>
    <row r="426">
      <c r="Z426">
        <f>IF(A426="","",COUNTIF('40_RAP_DE'!$C:$C,A426))</f>
        <v/>
      </c>
      <c r="AA426">
        <f>IF(A426="","","JFT|"&amp;C426&amp;"|"&amp;D426&amp;"|"&amp;E426&amp;"L"&amp;F426)</f>
        <v/>
      </c>
    </row>
    <row r="427">
      <c r="Z427">
        <f>IF(A427="","",COUNTIF('40_RAP_DE'!$C:$C,A427))</f>
        <v/>
      </c>
      <c r="AA427">
        <f>IF(A427="","","JFT|"&amp;C427&amp;"|"&amp;D427&amp;"|"&amp;E427&amp;"L"&amp;F427)</f>
        <v/>
      </c>
    </row>
    <row r="428">
      <c r="Z428">
        <f>IF(A428="","",COUNTIF('40_RAP_DE'!$C:$C,A428))</f>
        <v/>
      </c>
      <c r="AA428">
        <f>IF(A428="","","JFT|"&amp;C428&amp;"|"&amp;D428&amp;"|"&amp;E428&amp;"L"&amp;F428)</f>
        <v/>
      </c>
    </row>
    <row r="429">
      <c r="Z429">
        <f>IF(A429="","",COUNTIF('40_RAP_DE'!$C:$C,A429))</f>
        <v/>
      </c>
      <c r="AA429">
        <f>IF(A429="","","JFT|"&amp;C429&amp;"|"&amp;D429&amp;"|"&amp;E429&amp;"L"&amp;F429)</f>
        <v/>
      </c>
    </row>
    <row r="430">
      <c r="Z430">
        <f>IF(A430="","",COUNTIF('40_RAP_DE'!$C:$C,A430))</f>
        <v/>
      </c>
      <c r="AA430">
        <f>IF(A430="","","JFT|"&amp;C430&amp;"|"&amp;D430&amp;"|"&amp;E430&amp;"L"&amp;F430)</f>
        <v/>
      </c>
    </row>
    <row r="431">
      <c r="Z431">
        <f>IF(A431="","",COUNTIF('40_RAP_DE'!$C:$C,A431))</f>
        <v/>
      </c>
      <c r="AA431">
        <f>IF(A431="","","JFT|"&amp;C431&amp;"|"&amp;D431&amp;"|"&amp;E431&amp;"L"&amp;F431)</f>
        <v/>
      </c>
    </row>
    <row r="432">
      <c r="Z432">
        <f>IF(A432="","",COUNTIF('40_RAP_DE'!$C:$C,A432))</f>
        <v/>
      </c>
      <c r="AA432">
        <f>IF(A432="","","JFT|"&amp;C432&amp;"|"&amp;D432&amp;"|"&amp;E432&amp;"L"&amp;F432)</f>
        <v/>
      </c>
    </row>
    <row r="433">
      <c r="Z433">
        <f>IF(A433="","",COUNTIF('40_RAP_DE'!$C:$C,A433))</f>
        <v/>
      </c>
      <c r="AA433">
        <f>IF(A433="","","JFT|"&amp;C433&amp;"|"&amp;D433&amp;"|"&amp;E433&amp;"L"&amp;F433)</f>
        <v/>
      </c>
    </row>
    <row r="434">
      <c r="Z434">
        <f>IF(A434="","",COUNTIF('40_RAP_DE'!$C:$C,A434))</f>
        <v/>
      </c>
      <c r="AA434">
        <f>IF(A434="","","JFT|"&amp;C434&amp;"|"&amp;D434&amp;"|"&amp;E434&amp;"L"&amp;F434)</f>
        <v/>
      </c>
    </row>
    <row r="435">
      <c r="Z435">
        <f>IF(A435="","",COUNTIF('40_RAP_DE'!$C:$C,A435))</f>
        <v/>
      </c>
      <c r="AA435">
        <f>IF(A435="","","JFT|"&amp;C435&amp;"|"&amp;D435&amp;"|"&amp;E435&amp;"L"&amp;F435)</f>
        <v/>
      </c>
    </row>
    <row r="436">
      <c r="Z436">
        <f>IF(A436="","",COUNTIF('40_RAP_DE'!$C:$C,A436))</f>
        <v/>
      </c>
      <c r="AA436">
        <f>IF(A436="","","JFT|"&amp;C436&amp;"|"&amp;D436&amp;"|"&amp;E436&amp;"L"&amp;F436)</f>
        <v/>
      </c>
    </row>
    <row r="437">
      <c r="Z437">
        <f>IF(A437="","",COUNTIF('40_RAP_DE'!$C:$C,A437))</f>
        <v/>
      </c>
      <c r="AA437">
        <f>IF(A437="","","JFT|"&amp;C437&amp;"|"&amp;D437&amp;"|"&amp;E437&amp;"L"&amp;F437)</f>
        <v/>
      </c>
    </row>
    <row r="438">
      <c r="Z438">
        <f>IF(A438="","",COUNTIF('40_RAP_DE'!$C:$C,A438))</f>
        <v/>
      </c>
      <c r="AA438">
        <f>IF(A438="","","JFT|"&amp;C438&amp;"|"&amp;D438&amp;"|"&amp;E438&amp;"L"&amp;F438)</f>
        <v/>
      </c>
    </row>
    <row r="439">
      <c r="Z439">
        <f>IF(A439="","",COUNTIF('40_RAP_DE'!$C:$C,A439))</f>
        <v/>
      </c>
      <c r="AA439">
        <f>IF(A439="","","JFT|"&amp;C439&amp;"|"&amp;D439&amp;"|"&amp;E439&amp;"L"&amp;F439)</f>
        <v/>
      </c>
    </row>
    <row r="440">
      <c r="Z440">
        <f>IF(A440="","",COUNTIF('40_RAP_DE'!$C:$C,A440))</f>
        <v/>
      </c>
      <c r="AA440">
        <f>IF(A440="","","JFT|"&amp;C440&amp;"|"&amp;D440&amp;"|"&amp;E440&amp;"L"&amp;F440)</f>
        <v/>
      </c>
    </row>
    <row r="441">
      <c r="Z441">
        <f>IF(A441="","",COUNTIF('40_RAP_DE'!$C:$C,A441))</f>
        <v/>
      </c>
      <c r="AA441">
        <f>IF(A441="","","JFT|"&amp;C441&amp;"|"&amp;D441&amp;"|"&amp;E441&amp;"L"&amp;F441)</f>
        <v/>
      </c>
    </row>
    <row r="442">
      <c r="Z442">
        <f>IF(A442="","",COUNTIF('40_RAP_DE'!$C:$C,A442))</f>
        <v/>
      </c>
      <c r="AA442">
        <f>IF(A442="","","JFT|"&amp;C442&amp;"|"&amp;D442&amp;"|"&amp;E442&amp;"L"&amp;F442)</f>
        <v/>
      </c>
    </row>
    <row r="443">
      <c r="Z443">
        <f>IF(A443="","",COUNTIF('40_RAP_DE'!$C:$C,A443))</f>
        <v/>
      </c>
      <c r="AA443">
        <f>IF(A443="","","JFT|"&amp;C443&amp;"|"&amp;D443&amp;"|"&amp;E443&amp;"L"&amp;F443)</f>
        <v/>
      </c>
    </row>
    <row r="444">
      <c r="Z444">
        <f>IF(A444="","",COUNTIF('40_RAP_DE'!$C:$C,A444))</f>
        <v/>
      </c>
      <c r="AA444">
        <f>IF(A444="","","JFT|"&amp;C444&amp;"|"&amp;D444&amp;"|"&amp;E444&amp;"L"&amp;F444)</f>
        <v/>
      </c>
    </row>
    <row r="445">
      <c r="Z445">
        <f>IF(A445="","",COUNTIF('40_RAP_DE'!$C:$C,A445))</f>
        <v/>
      </c>
      <c r="AA445">
        <f>IF(A445="","","JFT|"&amp;C445&amp;"|"&amp;D445&amp;"|"&amp;E445&amp;"L"&amp;F445)</f>
        <v/>
      </c>
    </row>
    <row r="446">
      <c r="Z446">
        <f>IF(A446="","",COUNTIF('40_RAP_DE'!$C:$C,A446))</f>
        <v/>
      </c>
      <c r="AA446">
        <f>IF(A446="","","JFT|"&amp;C446&amp;"|"&amp;D446&amp;"|"&amp;E446&amp;"L"&amp;F446)</f>
        <v/>
      </c>
    </row>
    <row r="447">
      <c r="Z447">
        <f>IF(A447="","",COUNTIF('40_RAP_DE'!$C:$C,A447))</f>
        <v/>
      </c>
      <c r="AA447">
        <f>IF(A447="","","JFT|"&amp;C447&amp;"|"&amp;D447&amp;"|"&amp;E447&amp;"L"&amp;F447)</f>
        <v/>
      </c>
    </row>
    <row r="448">
      <c r="Z448">
        <f>IF(A448="","",COUNTIF('40_RAP_DE'!$C:$C,A448))</f>
        <v/>
      </c>
      <c r="AA448">
        <f>IF(A448="","","JFT|"&amp;C448&amp;"|"&amp;D448&amp;"|"&amp;E448&amp;"L"&amp;F448)</f>
        <v/>
      </c>
    </row>
    <row r="449">
      <c r="Z449">
        <f>IF(A449="","",COUNTIF('40_RAP_DE'!$C:$C,A449))</f>
        <v/>
      </c>
      <c r="AA449">
        <f>IF(A449="","","JFT|"&amp;C449&amp;"|"&amp;D449&amp;"|"&amp;E449&amp;"L"&amp;F449)</f>
        <v/>
      </c>
    </row>
    <row r="450">
      <c r="Z450">
        <f>IF(A450="","",COUNTIF('40_RAP_DE'!$C:$C,A450))</f>
        <v/>
      </c>
      <c r="AA450">
        <f>IF(A450="","","JFT|"&amp;C450&amp;"|"&amp;D450&amp;"|"&amp;E450&amp;"L"&amp;F450)</f>
        <v/>
      </c>
    </row>
    <row r="451">
      <c r="Z451">
        <f>IF(A451="","",COUNTIF('40_RAP_DE'!$C:$C,A451))</f>
        <v/>
      </c>
      <c r="AA451">
        <f>IF(A451="","","JFT|"&amp;C451&amp;"|"&amp;D451&amp;"|"&amp;E451&amp;"L"&amp;F451)</f>
        <v/>
      </c>
    </row>
    <row r="452">
      <c r="Z452">
        <f>IF(A452="","",COUNTIF('40_RAP_DE'!$C:$C,A452))</f>
        <v/>
      </c>
      <c r="AA452">
        <f>IF(A452="","","JFT|"&amp;C452&amp;"|"&amp;D452&amp;"|"&amp;E452&amp;"L"&amp;F452)</f>
        <v/>
      </c>
    </row>
    <row r="453">
      <c r="Z453">
        <f>IF(A453="","",COUNTIF('40_RAP_DE'!$C:$C,A453))</f>
        <v/>
      </c>
      <c r="AA453">
        <f>IF(A453="","","JFT|"&amp;C453&amp;"|"&amp;D453&amp;"|"&amp;E453&amp;"L"&amp;F453)</f>
        <v/>
      </c>
    </row>
    <row r="454">
      <c r="Z454">
        <f>IF(A454="","",COUNTIF('40_RAP_DE'!$C:$C,A454))</f>
        <v/>
      </c>
      <c r="AA454">
        <f>IF(A454="","","JFT|"&amp;C454&amp;"|"&amp;D454&amp;"|"&amp;E454&amp;"L"&amp;F454)</f>
        <v/>
      </c>
    </row>
    <row r="455">
      <c r="Z455">
        <f>IF(A455="","",COUNTIF('40_RAP_DE'!$C:$C,A455))</f>
        <v/>
      </c>
      <c r="AA455">
        <f>IF(A455="","","JFT|"&amp;C455&amp;"|"&amp;D455&amp;"|"&amp;E455&amp;"L"&amp;F455)</f>
        <v/>
      </c>
    </row>
    <row r="456">
      <c r="Z456">
        <f>IF(A456="","",COUNTIF('40_RAP_DE'!$C:$C,A456))</f>
        <v/>
      </c>
      <c r="AA456">
        <f>IF(A456="","","JFT|"&amp;C456&amp;"|"&amp;D456&amp;"|"&amp;E456&amp;"L"&amp;F456)</f>
        <v/>
      </c>
    </row>
    <row r="457">
      <c r="Z457">
        <f>IF(A457="","",COUNTIF('40_RAP_DE'!$C:$C,A457))</f>
        <v/>
      </c>
      <c r="AA457">
        <f>IF(A457="","","JFT|"&amp;C457&amp;"|"&amp;D457&amp;"|"&amp;E457&amp;"L"&amp;F457)</f>
        <v/>
      </c>
    </row>
    <row r="458">
      <c r="Z458">
        <f>IF(A458="","",COUNTIF('40_RAP_DE'!$C:$C,A458))</f>
        <v/>
      </c>
      <c r="AA458">
        <f>IF(A458="","","JFT|"&amp;C458&amp;"|"&amp;D458&amp;"|"&amp;E458&amp;"L"&amp;F458)</f>
        <v/>
      </c>
    </row>
    <row r="459">
      <c r="Z459">
        <f>IF(A459="","",COUNTIF('40_RAP_DE'!$C:$C,A459))</f>
        <v/>
      </c>
      <c r="AA459">
        <f>IF(A459="","","JFT|"&amp;C459&amp;"|"&amp;D459&amp;"|"&amp;E459&amp;"L"&amp;F459)</f>
        <v/>
      </c>
    </row>
    <row r="460">
      <c r="Z460">
        <f>IF(A460="","",COUNTIF('40_RAP_DE'!$C:$C,A460))</f>
        <v/>
      </c>
      <c r="AA460">
        <f>IF(A460="","","JFT|"&amp;C460&amp;"|"&amp;D460&amp;"|"&amp;E460&amp;"L"&amp;F460)</f>
        <v/>
      </c>
    </row>
    <row r="461">
      <c r="Z461">
        <f>IF(A461="","",COUNTIF('40_RAP_DE'!$C:$C,A461))</f>
        <v/>
      </c>
      <c r="AA461">
        <f>IF(A461="","","JFT|"&amp;C461&amp;"|"&amp;D461&amp;"|"&amp;E461&amp;"L"&amp;F461)</f>
        <v/>
      </c>
    </row>
    <row r="462">
      <c r="Z462">
        <f>IF(A462="","",COUNTIF('40_RAP_DE'!$C:$C,A462))</f>
        <v/>
      </c>
      <c r="AA462">
        <f>IF(A462="","","JFT|"&amp;C462&amp;"|"&amp;D462&amp;"|"&amp;E462&amp;"L"&amp;F462)</f>
        <v/>
      </c>
    </row>
    <row r="463">
      <c r="Z463">
        <f>IF(A463="","",COUNTIF('40_RAP_DE'!$C:$C,A463))</f>
        <v/>
      </c>
      <c r="AA463">
        <f>IF(A463="","","JFT|"&amp;C463&amp;"|"&amp;D463&amp;"|"&amp;E463&amp;"L"&amp;F463)</f>
        <v/>
      </c>
    </row>
    <row r="464">
      <c r="Z464">
        <f>IF(A464="","",COUNTIF('40_RAP_DE'!$C:$C,A464))</f>
        <v/>
      </c>
      <c r="AA464">
        <f>IF(A464="","","JFT|"&amp;C464&amp;"|"&amp;D464&amp;"|"&amp;E464&amp;"L"&amp;F464)</f>
        <v/>
      </c>
    </row>
    <row r="465">
      <c r="Z465">
        <f>IF(A465="","",COUNTIF('40_RAP_DE'!$C:$C,A465))</f>
        <v/>
      </c>
      <c r="AA465">
        <f>IF(A465="","","JFT|"&amp;C465&amp;"|"&amp;D465&amp;"|"&amp;E465&amp;"L"&amp;F465)</f>
        <v/>
      </c>
    </row>
    <row r="466">
      <c r="Z466">
        <f>IF(A466="","",COUNTIF('40_RAP_DE'!$C:$C,A466))</f>
        <v/>
      </c>
      <c r="AA466">
        <f>IF(A466="","","JFT|"&amp;C466&amp;"|"&amp;D466&amp;"|"&amp;E466&amp;"L"&amp;F466)</f>
        <v/>
      </c>
    </row>
    <row r="467">
      <c r="Z467">
        <f>IF(A467="","",COUNTIF('40_RAP_DE'!$C:$C,A467))</f>
        <v/>
      </c>
      <c r="AA467">
        <f>IF(A467="","","JFT|"&amp;C467&amp;"|"&amp;D467&amp;"|"&amp;E467&amp;"L"&amp;F467)</f>
        <v/>
      </c>
    </row>
    <row r="468">
      <c r="Z468">
        <f>IF(A468="","",COUNTIF('40_RAP_DE'!$C:$C,A468))</f>
        <v/>
      </c>
      <c r="AA468">
        <f>IF(A468="","","JFT|"&amp;C468&amp;"|"&amp;D468&amp;"|"&amp;E468&amp;"L"&amp;F468)</f>
        <v/>
      </c>
    </row>
    <row r="469">
      <c r="Z469">
        <f>IF(A469="","",COUNTIF('40_RAP_DE'!$C:$C,A469))</f>
        <v/>
      </c>
      <c r="AA469">
        <f>IF(A469="","","JFT|"&amp;C469&amp;"|"&amp;D469&amp;"|"&amp;E469&amp;"L"&amp;F469)</f>
        <v/>
      </c>
    </row>
    <row r="470">
      <c r="Z470">
        <f>IF(A470="","",COUNTIF('40_RAP_DE'!$C:$C,A470))</f>
        <v/>
      </c>
      <c r="AA470">
        <f>IF(A470="","","JFT|"&amp;C470&amp;"|"&amp;D470&amp;"|"&amp;E470&amp;"L"&amp;F470)</f>
        <v/>
      </c>
    </row>
    <row r="471">
      <c r="Z471">
        <f>IF(A471="","",COUNTIF('40_RAP_DE'!$C:$C,A471))</f>
        <v/>
      </c>
      <c r="AA471">
        <f>IF(A471="","","JFT|"&amp;C471&amp;"|"&amp;D471&amp;"|"&amp;E471&amp;"L"&amp;F471)</f>
        <v/>
      </c>
    </row>
    <row r="472">
      <c r="Z472">
        <f>IF(A472="","",COUNTIF('40_RAP_DE'!$C:$C,A472))</f>
        <v/>
      </c>
      <c r="AA472">
        <f>IF(A472="","","JFT|"&amp;C472&amp;"|"&amp;D472&amp;"|"&amp;E472&amp;"L"&amp;F472)</f>
        <v/>
      </c>
    </row>
    <row r="473">
      <c r="Z473">
        <f>IF(A473="","",COUNTIF('40_RAP_DE'!$C:$C,A473))</f>
        <v/>
      </c>
      <c r="AA473">
        <f>IF(A473="","","JFT|"&amp;C473&amp;"|"&amp;D473&amp;"|"&amp;E473&amp;"L"&amp;F473)</f>
        <v/>
      </c>
    </row>
    <row r="474">
      <c r="Z474">
        <f>IF(A474="","",COUNTIF('40_RAP_DE'!$C:$C,A474))</f>
        <v/>
      </c>
      <c r="AA474">
        <f>IF(A474="","","JFT|"&amp;C474&amp;"|"&amp;D474&amp;"|"&amp;E474&amp;"L"&amp;F474)</f>
        <v/>
      </c>
    </row>
    <row r="475">
      <c r="Z475">
        <f>IF(A475="","",COUNTIF('40_RAP_DE'!$C:$C,A475))</f>
        <v/>
      </c>
      <c r="AA475">
        <f>IF(A475="","","JFT|"&amp;C475&amp;"|"&amp;D475&amp;"|"&amp;E475&amp;"L"&amp;F475)</f>
        <v/>
      </c>
    </row>
    <row r="476">
      <c r="Z476">
        <f>IF(A476="","",COUNTIF('40_RAP_DE'!$C:$C,A476))</f>
        <v/>
      </c>
      <c r="AA476">
        <f>IF(A476="","","JFT|"&amp;C476&amp;"|"&amp;D476&amp;"|"&amp;E476&amp;"L"&amp;F476)</f>
        <v/>
      </c>
    </row>
    <row r="477">
      <c r="Z477">
        <f>IF(A477="","",COUNTIF('40_RAP_DE'!$C:$C,A477))</f>
        <v/>
      </c>
      <c r="AA477">
        <f>IF(A477="","","JFT|"&amp;C477&amp;"|"&amp;D477&amp;"|"&amp;E477&amp;"L"&amp;F477)</f>
        <v/>
      </c>
    </row>
    <row r="478">
      <c r="Z478">
        <f>IF(A478="","",COUNTIF('40_RAP_DE'!$C:$C,A478))</f>
        <v/>
      </c>
      <c r="AA478">
        <f>IF(A478="","","JFT|"&amp;C478&amp;"|"&amp;D478&amp;"|"&amp;E478&amp;"L"&amp;F478)</f>
        <v/>
      </c>
    </row>
    <row r="479">
      <c r="Z479">
        <f>IF(A479="","",COUNTIF('40_RAP_DE'!$C:$C,A479))</f>
        <v/>
      </c>
      <c r="AA479">
        <f>IF(A479="","","JFT|"&amp;C479&amp;"|"&amp;D479&amp;"|"&amp;E479&amp;"L"&amp;F479)</f>
        <v/>
      </c>
    </row>
    <row r="480">
      <c r="Z480">
        <f>IF(A480="","",COUNTIF('40_RAP_DE'!$C:$C,A480))</f>
        <v/>
      </c>
      <c r="AA480">
        <f>IF(A480="","","JFT|"&amp;C480&amp;"|"&amp;D480&amp;"|"&amp;E480&amp;"L"&amp;F480)</f>
        <v/>
      </c>
    </row>
    <row r="481">
      <c r="Z481">
        <f>IF(A481="","",COUNTIF('40_RAP_DE'!$C:$C,A481))</f>
        <v/>
      </c>
      <c r="AA481">
        <f>IF(A481="","","JFT|"&amp;C481&amp;"|"&amp;D481&amp;"|"&amp;E481&amp;"L"&amp;F481)</f>
        <v/>
      </c>
    </row>
    <row r="482">
      <c r="Z482">
        <f>IF(A482="","",COUNTIF('40_RAP_DE'!$C:$C,A482))</f>
        <v/>
      </c>
      <c r="AA482">
        <f>IF(A482="","","JFT|"&amp;C482&amp;"|"&amp;D482&amp;"|"&amp;E482&amp;"L"&amp;F482)</f>
        <v/>
      </c>
    </row>
    <row r="483">
      <c r="Z483">
        <f>IF(A483="","",COUNTIF('40_RAP_DE'!$C:$C,A483))</f>
        <v/>
      </c>
      <c r="AA483">
        <f>IF(A483="","","JFT|"&amp;C483&amp;"|"&amp;D483&amp;"|"&amp;E483&amp;"L"&amp;F483)</f>
        <v/>
      </c>
    </row>
    <row r="484">
      <c r="Z484">
        <f>IF(A484="","",COUNTIF('40_RAP_DE'!$C:$C,A484))</f>
        <v/>
      </c>
      <c r="AA484">
        <f>IF(A484="","","JFT|"&amp;C484&amp;"|"&amp;D484&amp;"|"&amp;E484&amp;"L"&amp;F484)</f>
        <v/>
      </c>
    </row>
    <row r="485">
      <c r="Z485">
        <f>IF(A485="","",COUNTIF('40_RAP_DE'!$C:$C,A485))</f>
        <v/>
      </c>
      <c r="AA485">
        <f>IF(A485="","","JFT|"&amp;C485&amp;"|"&amp;D485&amp;"|"&amp;E485&amp;"L"&amp;F485)</f>
        <v/>
      </c>
    </row>
    <row r="486">
      <c r="Z486">
        <f>IF(A486="","",COUNTIF('40_RAP_DE'!$C:$C,A486))</f>
        <v/>
      </c>
      <c r="AA486">
        <f>IF(A486="","","JFT|"&amp;C486&amp;"|"&amp;D486&amp;"|"&amp;E486&amp;"L"&amp;F486)</f>
        <v/>
      </c>
    </row>
    <row r="487">
      <c r="Z487">
        <f>IF(A487="","",COUNTIF('40_RAP_DE'!$C:$C,A487))</f>
        <v/>
      </c>
      <c r="AA487">
        <f>IF(A487="","","JFT|"&amp;C487&amp;"|"&amp;D487&amp;"|"&amp;E487&amp;"L"&amp;F487)</f>
        <v/>
      </c>
    </row>
    <row r="488">
      <c r="Z488">
        <f>IF(A488="","",COUNTIF('40_RAP_DE'!$C:$C,A488))</f>
        <v/>
      </c>
      <c r="AA488">
        <f>IF(A488="","","JFT|"&amp;C488&amp;"|"&amp;D488&amp;"|"&amp;E488&amp;"L"&amp;F488)</f>
        <v/>
      </c>
    </row>
    <row r="489">
      <c r="Z489">
        <f>IF(A489="","",COUNTIF('40_RAP_DE'!$C:$C,A489))</f>
        <v/>
      </c>
      <c r="AA489">
        <f>IF(A489="","","JFT|"&amp;C489&amp;"|"&amp;D489&amp;"|"&amp;E489&amp;"L"&amp;F489)</f>
        <v/>
      </c>
    </row>
    <row r="490">
      <c r="Z490">
        <f>IF(A490="","",COUNTIF('40_RAP_DE'!$C:$C,A490))</f>
        <v/>
      </c>
      <c r="AA490">
        <f>IF(A490="","","JFT|"&amp;C490&amp;"|"&amp;D490&amp;"|"&amp;E490&amp;"L"&amp;F490)</f>
        <v/>
      </c>
    </row>
    <row r="491">
      <c r="Z491">
        <f>IF(A491="","",COUNTIF('40_RAP_DE'!$C:$C,A491))</f>
        <v/>
      </c>
      <c r="AA491">
        <f>IF(A491="","","JFT|"&amp;C491&amp;"|"&amp;D491&amp;"|"&amp;E491&amp;"L"&amp;F491)</f>
        <v/>
      </c>
    </row>
    <row r="492">
      <c r="Z492">
        <f>IF(A492="","",COUNTIF('40_RAP_DE'!$C:$C,A492))</f>
        <v/>
      </c>
      <c r="AA492">
        <f>IF(A492="","","JFT|"&amp;C492&amp;"|"&amp;D492&amp;"|"&amp;E492&amp;"L"&amp;F492)</f>
        <v/>
      </c>
    </row>
    <row r="493">
      <c r="Z493">
        <f>IF(A493="","",COUNTIF('40_RAP_DE'!$C:$C,A493))</f>
        <v/>
      </c>
      <c r="AA493">
        <f>IF(A493="","","JFT|"&amp;C493&amp;"|"&amp;D493&amp;"|"&amp;E493&amp;"L"&amp;F493)</f>
        <v/>
      </c>
    </row>
    <row r="494">
      <c r="Z494">
        <f>IF(A494="","",COUNTIF('40_RAP_DE'!$C:$C,A494))</f>
        <v/>
      </c>
      <c r="AA494">
        <f>IF(A494="","","JFT|"&amp;C494&amp;"|"&amp;D494&amp;"|"&amp;E494&amp;"L"&amp;F494)</f>
        <v/>
      </c>
    </row>
    <row r="495">
      <c r="Z495">
        <f>IF(A495="","",COUNTIF('40_RAP_DE'!$C:$C,A495))</f>
        <v/>
      </c>
      <c r="AA495">
        <f>IF(A495="","","JFT|"&amp;C495&amp;"|"&amp;D495&amp;"|"&amp;E495&amp;"L"&amp;F495)</f>
        <v/>
      </c>
    </row>
    <row r="496">
      <c r="Z496">
        <f>IF(A496="","",COUNTIF('40_RAP_DE'!$C:$C,A496))</f>
        <v/>
      </c>
      <c r="AA496">
        <f>IF(A496="","","JFT|"&amp;C496&amp;"|"&amp;D496&amp;"|"&amp;E496&amp;"L"&amp;F496)</f>
        <v/>
      </c>
    </row>
    <row r="497">
      <c r="Z497">
        <f>IF(A497="","",COUNTIF('40_RAP_DE'!$C:$C,A497))</f>
        <v/>
      </c>
      <c r="AA497">
        <f>IF(A497="","","JFT|"&amp;C497&amp;"|"&amp;D497&amp;"|"&amp;E497&amp;"L"&amp;F497)</f>
        <v/>
      </c>
    </row>
    <row r="498">
      <c r="Z498">
        <f>IF(A498="","",COUNTIF('40_RAP_DE'!$C:$C,A498))</f>
        <v/>
      </c>
      <c r="AA498">
        <f>IF(A498="","","JFT|"&amp;C498&amp;"|"&amp;D498&amp;"|"&amp;E498&amp;"L"&amp;F498)</f>
        <v/>
      </c>
    </row>
    <row r="499">
      <c r="Z499">
        <f>IF(A499="","",COUNTIF('40_RAP_DE'!$C:$C,A499))</f>
        <v/>
      </c>
      <c r="AA499">
        <f>IF(A499="","","JFT|"&amp;C499&amp;"|"&amp;D499&amp;"|"&amp;E499&amp;"L"&amp;F499)</f>
        <v/>
      </c>
    </row>
    <row r="500">
      <c r="Z500">
        <f>IF(A500="","",COUNTIF('40_RAP_DE'!$C:$C,A500))</f>
        <v/>
      </c>
      <c r="AA500">
        <f>IF(A500="","","JFT|"&amp;C500&amp;"|"&amp;D500&amp;"|"&amp;E500&amp;"L"&amp;F500)</f>
        <v/>
      </c>
    </row>
    <row r="501">
      <c r="Z501">
        <f>IF(A501="","",COUNTIF('40_RAP_DE'!$C:$C,A501))</f>
        <v/>
      </c>
      <c r="AA501">
        <f>IF(A501="","","JFT|"&amp;C501&amp;"|"&amp;D501&amp;"|"&amp;E501&amp;"L"&amp;F501)</f>
        <v/>
      </c>
    </row>
    <row r="502">
      <c r="Z502">
        <f>IF(A502="","",COUNTIF('40_RAP_DE'!$C:$C,A502))</f>
        <v/>
      </c>
      <c r="AA502">
        <f>IF(A502="","","JFT|"&amp;C502&amp;"|"&amp;D502&amp;"|"&amp;E502&amp;"L"&amp;F502)</f>
        <v/>
      </c>
    </row>
    <row r="503">
      <c r="Z503">
        <f>IF(A503="","",COUNTIF('40_RAP_DE'!$C:$C,A503))</f>
        <v/>
      </c>
      <c r="AA503">
        <f>IF(A503="","","JFT|"&amp;C503&amp;"|"&amp;D503&amp;"|"&amp;E503&amp;"L"&amp;F503)</f>
        <v/>
      </c>
    </row>
    <row r="504">
      <c r="Z504">
        <f>IF(A504="","",COUNTIF('40_RAP_DE'!$C:$C,A504))</f>
        <v/>
      </c>
      <c r="AA504">
        <f>IF(A504="","","JFT|"&amp;C504&amp;"|"&amp;D504&amp;"|"&amp;E504&amp;"L"&amp;F504)</f>
        <v/>
      </c>
    </row>
    <row r="505">
      <c r="Z505">
        <f>IF(A505="","",COUNTIF('40_RAP_DE'!$C:$C,A505))</f>
        <v/>
      </c>
      <c r="AA505">
        <f>IF(A505="","","JFT|"&amp;C505&amp;"|"&amp;D505&amp;"|"&amp;E505&amp;"L"&amp;F505)</f>
        <v/>
      </c>
    </row>
    <row r="506">
      <c r="Z506">
        <f>IF(A506="","",COUNTIF('40_RAP_DE'!$C:$C,A506))</f>
        <v/>
      </c>
      <c r="AA506">
        <f>IF(A506="","","JFT|"&amp;C506&amp;"|"&amp;D506&amp;"|"&amp;E506&amp;"L"&amp;F506)</f>
        <v/>
      </c>
    </row>
    <row r="507">
      <c r="Z507">
        <f>IF(A507="","",COUNTIF('40_RAP_DE'!$C:$C,A507))</f>
        <v/>
      </c>
      <c r="AA507">
        <f>IF(A507="","","JFT|"&amp;C507&amp;"|"&amp;D507&amp;"|"&amp;E507&amp;"L"&amp;F507)</f>
        <v/>
      </c>
    </row>
    <row r="508">
      <c r="Z508">
        <f>IF(A508="","",COUNTIF('40_RAP_DE'!$C:$C,A508))</f>
        <v/>
      </c>
      <c r="AA508">
        <f>IF(A508="","","JFT|"&amp;C508&amp;"|"&amp;D508&amp;"|"&amp;E508&amp;"L"&amp;F508)</f>
        <v/>
      </c>
    </row>
    <row r="509">
      <c r="Z509">
        <f>IF(A509="","",COUNTIF('40_RAP_DE'!$C:$C,A509))</f>
        <v/>
      </c>
      <c r="AA509">
        <f>IF(A509="","","JFT|"&amp;C509&amp;"|"&amp;D509&amp;"|"&amp;E509&amp;"L"&amp;F509)</f>
        <v/>
      </c>
    </row>
    <row r="510">
      <c r="Z510">
        <f>IF(A510="","",COUNTIF('40_RAP_DE'!$C:$C,A510))</f>
        <v/>
      </c>
      <c r="AA510">
        <f>IF(A510="","","JFT|"&amp;C510&amp;"|"&amp;D510&amp;"|"&amp;E510&amp;"L"&amp;F510)</f>
        <v/>
      </c>
    </row>
    <row r="511">
      <c r="Z511">
        <f>IF(A511="","",COUNTIF('40_RAP_DE'!$C:$C,A511))</f>
        <v/>
      </c>
      <c r="AA511">
        <f>IF(A511="","","JFT|"&amp;C511&amp;"|"&amp;D511&amp;"|"&amp;E511&amp;"L"&amp;F511)</f>
        <v/>
      </c>
    </row>
    <row r="512">
      <c r="Z512">
        <f>IF(A512="","",COUNTIF('40_RAP_DE'!$C:$C,A512))</f>
        <v/>
      </c>
      <c r="AA512">
        <f>IF(A512="","","JFT|"&amp;C512&amp;"|"&amp;D512&amp;"|"&amp;E512&amp;"L"&amp;F512)</f>
        <v/>
      </c>
    </row>
    <row r="513">
      <c r="Z513">
        <f>IF(A513="","",COUNTIF('40_RAP_DE'!$C:$C,A513))</f>
        <v/>
      </c>
      <c r="AA513">
        <f>IF(A513="","","JFT|"&amp;C513&amp;"|"&amp;D513&amp;"|"&amp;E513&amp;"L"&amp;F513)</f>
        <v/>
      </c>
    </row>
    <row r="514">
      <c r="Z514">
        <f>IF(A514="","",COUNTIF('40_RAP_DE'!$C:$C,A514))</f>
        <v/>
      </c>
      <c r="AA514">
        <f>IF(A514="","","JFT|"&amp;C514&amp;"|"&amp;D514&amp;"|"&amp;E514&amp;"L"&amp;F514)</f>
        <v/>
      </c>
    </row>
    <row r="515">
      <c r="Z515">
        <f>IF(A515="","",COUNTIF('40_RAP_DE'!$C:$C,A515))</f>
        <v/>
      </c>
      <c r="AA515">
        <f>IF(A515="","","JFT|"&amp;C515&amp;"|"&amp;D515&amp;"|"&amp;E515&amp;"L"&amp;F515)</f>
        <v/>
      </c>
    </row>
    <row r="516">
      <c r="Z516">
        <f>IF(A516="","",COUNTIF('40_RAP_DE'!$C:$C,A516))</f>
        <v/>
      </c>
      <c r="AA516">
        <f>IF(A516="","","JFT|"&amp;C516&amp;"|"&amp;D516&amp;"|"&amp;E516&amp;"L"&amp;F516)</f>
        <v/>
      </c>
    </row>
    <row r="517">
      <c r="Z517">
        <f>IF(A517="","",COUNTIF('40_RAP_DE'!$C:$C,A517))</f>
        <v/>
      </c>
      <c r="AA517">
        <f>IF(A517="","","JFT|"&amp;C517&amp;"|"&amp;D517&amp;"|"&amp;E517&amp;"L"&amp;F517)</f>
        <v/>
      </c>
    </row>
    <row r="518">
      <c r="Z518">
        <f>IF(A518="","",COUNTIF('40_RAP_DE'!$C:$C,A518))</f>
        <v/>
      </c>
      <c r="AA518">
        <f>IF(A518="","","JFT|"&amp;C518&amp;"|"&amp;D518&amp;"|"&amp;E518&amp;"L"&amp;F518)</f>
        <v/>
      </c>
    </row>
    <row r="519">
      <c r="Z519">
        <f>IF(A519="","",COUNTIF('40_RAP_DE'!$C:$C,A519))</f>
        <v/>
      </c>
      <c r="AA519">
        <f>IF(A519="","","JFT|"&amp;C519&amp;"|"&amp;D519&amp;"|"&amp;E519&amp;"L"&amp;F519)</f>
        <v/>
      </c>
    </row>
    <row r="520">
      <c r="Z520">
        <f>IF(A520="","",COUNTIF('40_RAP_DE'!$C:$C,A520))</f>
        <v/>
      </c>
      <c r="AA520">
        <f>IF(A520="","","JFT|"&amp;C520&amp;"|"&amp;D520&amp;"|"&amp;E520&amp;"L"&amp;F520)</f>
        <v/>
      </c>
    </row>
    <row r="521">
      <c r="Z521">
        <f>IF(A521="","",COUNTIF('40_RAP_DE'!$C:$C,A521))</f>
        <v/>
      </c>
      <c r="AA521">
        <f>IF(A521="","","JFT|"&amp;C521&amp;"|"&amp;D521&amp;"|"&amp;E521&amp;"L"&amp;F521)</f>
        <v/>
      </c>
    </row>
    <row r="522">
      <c r="Z522">
        <f>IF(A522="","",COUNTIF('40_RAP_DE'!$C:$C,A522))</f>
        <v/>
      </c>
      <c r="AA522">
        <f>IF(A522="","","JFT|"&amp;C522&amp;"|"&amp;D522&amp;"|"&amp;E522&amp;"L"&amp;F522)</f>
        <v/>
      </c>
    </row>
    <row r="523">
      <c r="Z523">
        <f>IF(A523="","",COUNTIF('40_RAP_DE'!$C:$C,A523))</f>
        <v/>
      </c>
      <c r="AA523">
        <f>IF(A523="","","JFT|"&amp;C523&amp;"|"&amp;D523&amp;"|"&amp;E523&amp;"L"&amp;F523)</f>
        <v/>
      </c>
    </row>
    <row r="524">
      <c r="Z524">
        <f>IF(A524="","",COUNTIF('40_RAP_DE'!$C:$C,A524))</f>
        <v/>
      </c>
      <c r="AA524">
        <f>IF(A524="","","JFT|"&amp;C524&amp;"|"&amp;D524&amp;"|"&amp;E524&amp;"L"&amp;F524)</f>
        <v/>
      </c>
    </row>
    <row r="525">
      <c r="Z525">
        <f>IF(A525="","",COUNTIF('40_RAP_DE'!$C:$C,A525))</f>
        <v/>
      </c>
      <c r="AA525">
        <f>IF(A525="","","JFT|"&amp;C525&amp;"|"&amp;D525&amp;"|"&amp;E525&amp;"L"&amp;F525)</f>
        <v/>
      </c>
    </row>
    <row r="526">
      <c r="Z526">
        <f>IF(A526="","",COUNTIF('40_RAP_DE'!$C:$C,A526))</f>
        <v/>
      </c>
      <c r="AA526">
        <f>IF(A526="","","JFT|"&amp;C526&amp;"|"&amp;D526&amp;"|"&amp;E526&amp;"L"&amp;F526)</f>
        <v/>
      </c>
    </row>
    <row r="527">
      <c r="Z527">
        <f>IF(A527="","",COUNTIF('40_RAP_DE'!$C:$C,A527))</f>
        <v/>
      </c>
      <c r="AA527">
        <f>IF(A527="","","JFT|"&amp;C527&amp;"|"&amp;D527&amp;"|"&amp;E527&amp;"L"&amp;F527)</f>
        <v/>
      </c>
    </row>
    <row r="528">
      <c r="Z528">
        <f>IF(A528="","",COUNTIF('40_RAP_DE'!$C:$C,A528))</f>
        <v/>
      </c>
      <c r="AA528">
        <f>IF(A528="","","JFT|"&amp;C528&amp;"|"&amp;D528&amp;"|"&amp;E528&amp;"L"&amp;F528)</f>
        <v/>
      </c>
    </row>
    <row r="529">
      <c r="Z529">
        <f>IF(A529="","",COUNTIF('40_RAP_DE'!$C:$C,A529))</f>
        <v/>
      </c>
      <c r="AA529">
        <f>IF(A529="","","JFT|"&amp;C529&amp;"|"&amp;D529&amp;"|"&amp;E529&amp;"L"&amp;F529)</f>
        <v/>
      </c>
    </row>
    <row r="530">
      <c r="Z530">
        <f>IF(A530="","",COUNTIF('40_RAP_DE'!$C:$C,A530))</f>
        <v/>
      </c>
      <c r="AA530">
        <f>IF(A530="","","JFT|"&amp;C530&amp;"|"&amp;D530&amp;"|"&amp;E530&amp;"L"&amp;F530)</f>
        <v/>
      </c>
    </row>
    <row r="531">
      <c r="Z531">
        <f>IF(A531="","",COUNTIF('40_RAP_DE'!$C:$C,A531))</f>
        <v/>
      </c>
      <c r="AA531">
        <f>IF(A531="","","JFT|"&amp;C531&amp;"|"&amp;D531&amp;"|"&amp;E531&amp;"L"&amp;F531)</f>
        <v/>
      </c>
    </row>
    <row r="532">
      <c r="Z532">
        <f>IF(A532="","",COUNTIF('40_RAP_DE'!$C:$C,A532))</f>
        <v/>
      </c>
      <c r="AA532">
        <f>IF(A532="","","JFT|"&amp;C532&amp;"|"&amp;D532&amp;"|"&amp;E532&amp;"L"&amp;F532)</f>
        <v/>
      </c>
    </row>
    <row r="533">
      <c r="Z533">
        <f>IF(A533="","",COUNTIF('40_RAP_DE'!$C:$C,A533))</f>
        <v/>
      </c>
      <c r="AA533">
        <f>IF(A533="","","JFT|"&amp;C533&amp;"|"&amp;D533&amp;"|"&amp;E533&amp;"L"&amp;F533)</f>
        <v/>
      </c>
    </row>
    <row r="534">
      <c r="Z534">
        <f>IF(A534="","",COUNTIF('40_RAP_DE'!$C:$C,A534))</f>
        <v/>
      </c>
      <c r="AA534">
        <f>IF(A534="","","JFT|"&amp;C534&amp;"|"&amp;D534&amp;"|"&amp;E534&amp;"L"&amp;F534)</f>
        <v/>
      </c>
    </row>
    <row r="535">
      <c r="Z535">
        <f>IF(A535="","",COUNTIF('40_RAP_DE'!$C:$C,A535))</f>
        <v/>
      </c>
      <c r="AA535">
        <f>IF(A535="","","JFT|"&amp;C535&amp;"|"&amp;D535&amp;"|"&amp;E535&amp;"L"&amp;F535)</f>
        <v/>
      </c>
    </row>
    <row r="536">
      <c r="Z536">
        <f>IF(A536="","",COUNTIF('40_RAP_DE'!$C:$C,A536))</f>
        <v/>
      </c>
      <c r="AA536">
        <f>IF(A536="","","JFT|"&amp;C536&amp;"|"&amp;D536&amp;"|"&amp;E536&amp;"L"&amp;F536)</f>
        <v/>
      </c>
    </row>
    <row r="537">
      <c r="Z537">
        <f>IF(A537="","",COUNTIF('40_RAP_DE'!$C:$C,A537))</f>
        <v/>
      </c>
      <c r="AA537">
        <f>IF(A537="","","JFT|"&amp;C537&amp;"|"&amp;D537&amp;"|"&amp;E537&amp;"L"&amp;F537)</f>
        <v/>
      </c>
    </row>
    <row r="538">
      <c r="Z538">
        <f>IF(A538="","",COUNTIF('40_RAP_DE'!$C:$C,A538))</f>
        <v/>
      </c>
      <c r="AA538">
        <f>IF(A538="","","JFT|"&amp;C538&amp;"|"&amp;D538&amp;"|"&amp;E538&amp;"L"&amp;F538)</f>
        <v/>
      </c>
    </row>
    <row r="539">
      <c r="Z539">
        <f>IF(A539="","",COUNTIF('40_RAP_DE'!$C:$C,A539))</f>
        <v/>
      </c>
      <c r="AA539">
        <f>IF(A539="","","JFT|"&amp;C539&amp;"|"&amp;D539&amp;"|"&amp;E539&amp;"L"&amp;F539)</f>
        <v/>
      </c>
    </row>
    <row r="540">
      <c r="Z540">
        <f>IF(A540="","",COUNTIF('40_RAP_DE'!$C:$C,A540))</f>
        <v/>
      </c>
      <c r="AA540">
        <f>IF(A540="","","JFT|"&amp;C540&amp;"|"&amp;D540&amp;"|"&amp;E540&amp;"L"&amp;F540)</f>
        <v/>
      </c>
    </row>
    <row r="541">
      <c r="Z541">
        <f>IF(A541="","",COUNTIF('40_RAP_DE'!$C:$C,A541))</f>
        <v/>
      </c>
      <c r="AA541">
        <f>IF(A541="","","JFT|"&amp;C541&amp;"|"&amp;D541&amp;"|"&amp;E541&amp;"L"&amp;F541)</f>
        <v/>
      </c>
    </row>
    <row r="542">
      <c r="Z542">
        <f>IF(A542="","",COUNTIF('40_RAP_DE'!$C:$C,A542))</f>
        <v/>
      </c>
      <c r="AA542">
        <f>IF(A542="","","JFT|"&amp;C542&amp;"|"&amp;D542&amp;"|"&amp;E542&amp;"L"&amp;F542)</f>
        <v/>
      </c>
    </row>
    <row r="543">
      <c r="Z543">
        <f>IF(A543="","",COUNTIF('40_RAP_DE'!$C:$C,A543))</f>
        <v/>
      </c>
      <c r="AA543">
        <f>IF(A543="","","JFT|"&amp;C543&amp;"|"&amp;D543&amp;"|"&amp;E543&amp;"L"&amp;F543)</f>
        <v/>
      </c>
    </row>
    <row r="544">
      <c r="Z544">
        <f>IF(A544="","",COUNTIF('40_RAP_DE'!$C:$C,A544))</f>
        <v/>
      </c>
      <c r="AA544">
        <f>IF(A544="","","JFT|"&amp;C544&amp;"|"&amp;D544&amp;"|"&amp;E544&amp;"L"&amp;F544)</f>
        <v/>
      </c>
    </row>
    <row r="545">
      <c r="Z545">
        <f>IF(A545="","",COUNTIF('40_RAP_DE'!$C:$C,A545))</f>
        <v/>
      </c>
      <c r="AA545">
        <f>IF(A545="","","JFT|"&amp;C545&amp;"|"&amp;D545&amp;"|"&amp;E545&amp;"L"&amp;F545)</f>
        <v/>
      </c>
    </row>
    <row r="546">
      <c r="Z546">
        <f>IF(A546="","",COUNTIF('40_RAP_DE'!$C:$C,A546))</f>
        <v/>
      </c>
      <c r="AA546">
        <f>IF(A546="","","JFT|"&amp;C546&amp;"|"&amp;D546&amp;"|"&amp;E546&amp;"L"&amp;F546)</f>
        <v/>
      </c>
    </row>
    <row r="547">
      <c r="Z547">
        <f>IF(A547="","",COUNTIF('40_RAP_DE'!$C:$C,A547))</f>
        <v/>
      </c>
      <c r="AA547">
        <f>IF(A547="","","JFT|"&amp;C547&amp;"|"&amp;D547&amp;"|"&amp;E547&amp;"L"&amp;F547)</f>
        <v/>
      </c>
    </row>
    <row r="548">
      <c r="Z548">
        <f>IF(A548="","",COUNTIF('40_RAP_DE'!$C:$C,A548))</f>
        <v/>
      </c>
      <c r="AA548">
        <f>IF(A548="","","JFT|"&amp;C548&amp;"|"&amp;D548&amp;"|"&amp;E548&amp;"L"&amp;F548)</f>
        <v/>
      </c>
    </row>
    <row r="549">
      <c r="Z549">
        <f>IF(A549="","",COUNTIF('40_RAP_DE'!$C:$C,A549))</f>
        <v/>
      </c>
      <c r="AA549">
        <f>IF(A549="","","JFT|"&amp;C549&amp;"|"&amp;D549&amp;"|"&amp;E549&amp;"L"&amp;F549)</f>
        <v/>
      </c>
    </row>
    <row r="550">
      <c r="Z550">
        <f>IF(A550="","",COUNTIF('40_RAP_DE'!$C:$C,A550))</f>
        <v/>
      </c>
      <c r="AA550">
        <f>IF(A550="","","JFT|"&amp;C550&amp;"|"&amp;D550&amp;"|"&amp;E550&amp;"L"&amp;F550)</f>
        <v/>
      </c>
    </row>
    <row r="551">
      <c r="Z551">
        <f>IF(A551="","",COUNTIF('40_RAP_DE'!$C:$C,A551))</f>
        <v/>
      </c>
      <c r="AA551">
        <f>IF(A551="","","JFT|"&amp;C551&amp;"|"&amp;D551&amp;"|"&amp;E551&amp;"L"&amp;F551)</f>
        <v/>
      </c>
    </row>
    <row r="552">
      <c r="Z552">
        <f>IF(A552="","",COUNTIF('40_RAP_DE'!$C:$C,A552))</f>
        <v/>
      </c>
      <c r="AA552">
        <f>IF(A552="","","JFT|"&amp;C552&amp;"|"&amp;D552&amp;"|"&amp;E552&amp;"L"&amp;F552)</f>
        <v/>
      </c>
    </row>
    <row r="553">
      <c r="Z553">
        <f>IF(A553="","",COUNTIF('40_RAP_DE'!$C:$C,A553))</f>
        <v/>
      </c>
      <c r="AA553">
        <f>IF(A553="","","JFT|"&amp;C553&amp;"|"&amp;D553&amp;"|"&amp;E553&amp;"L"&amp;F553)</f>
        <v/>
      </c>
    </row>
    <row r="554">
      <c r="Z554">
        <f>IF(A554="","",COUNTIF('40_RAP_DE'!$C:$C,A554))</f>
        <v/>
      </c>
      <c r="AA554">
        <f>IF(A554="","","JFT|"&amp;C554&amp;"|"&amp;D554&amp;"|"&amp;E554&amp;"L"&amp;F554)</f>
        <v/>
      </c>
    </row>
    <row r="555">
      <c r="Z555">
        <f>IF(A555="","",COUNTIF('40_RAP_DE'!$C:$C,A555))</f>
        <v/>
      </c>
      <c r="AA555">
        <f>IF(A555="","","JFT|"&amp;C555&amp;"|"&amp;D555&amp;"|"&amp;E555&amp;"L"&amp;F555)</f>
        <v/>
      </c>
    </row>
    <row r="556">
      <c r="Z556">
        <f>IF(A556="","",COUNTIF('40_RAP_DE'!$C:$C,A556))</f>
        <v/>
      </c>
      <c r="AA556">
        <f>IF(A556="","","JFT|"&amp;C556&amp;"|"&amp;D556&amp;"|"&amp;E556&amp;"L"&amp;F556)</f>
        <v/>
      </c>
    </row>
    <row r="557">
      <c r="Z557">
        <f>IF(A557="","",COUNTIF('40_RAP_DE'!$C:$C,A557))</f>
        <v/>
      </c>
      <c r="AA557">
        <f>IF(A557="","","JFT|"&amp;C557&amp;"|"&amp;D557&amp;"|"&amp;E557&amp;"L"&amp;F557)</f>
        <v/>
      </c>
    </row>
    <row r="558">
      <c r="Z558">
        <f>IF(A558="","",COUNTIF('40_RAP_DE'!$C:$C,A558))</f>
        <v/>
      </c>
      <c r="AA558">
        <f>IF(A558="","","JFT|"&amp;C558&amp;"|"&amp;D558&amp;"|"&amp;E558&amp;"L"&amp;F558)</f>
        <v/>
      </c>
    </row>
    <row r="559">
      <c r="Z559">
        <f>IF(A559="","",COUNTIF('40_RAP_DE'!$C:$C,A559))</f>
        <v/>
      </c>
      <c r="AA559">
        <f>IF(A559="","","JFT|"&amp;C559&amp;"|"&amp;D559&amp;"|"&amp;E559&amp;"L"&amp;F559)</f>
        <v/>
      </c>
    </row>
    <row r="560">
      <c r="Z560">
        <f>IF(A560="","",COUNTIF('40_RAP_DE'!$C:$C,A560))</f>
        <v/>
      </c>
      <c r="AA560">
        <f>IF(A560="","","JFT|"&amp;C560&amp;"|"&amp;D560&amp;"|"&amp;E560&amp;"L"&amp;F560)</f>
        <v/>
      </c>
    </row>
    <row r="561">
      <c r="Z561">
        <f>IF(A561="","",COUNTIF('40_RAP_DE'!$C:$C,A561))</f>
        <v/>
      </c>
      <c r="AA561">
        <f>IF(A561="","","JFT|"&amp;C561&amp;"|"&amp;D561&amp;"|"&amp;E561&amp;"L"&amp;F561)</f>
        <v/>
      </c>
    </row>
    <row r="562">
      <c r="Z562">
        <f>IF(A562="","",COUNTIF('40_RAP_DE'!$C:$C,A562))</f>
        <v/>
      </c>
      <c r="AA562">
        <f>IF(A562="","","JFT|"&amp;C562&amp;"|"&amp;D562&amp;"|"&amp;E562&amp;"L"&amp;F562)</f>
        <v/>
      </c>
    </row>
    <row r="563">
      <c r="Z563">
        <f>IF(A563="","",COUNTIF('40_RAP_DE'!$C:$C,A563))</f>
        <v/>
      </c>
      <c r="AA563">
        <f>IF(A563="","","JFT|"&amp;C563&amp;"|"&amp;D563&amp;"|"&amp;E563&amp;"L"&amp;F563)</f>
        <v/>
      </c>
    </row>
    <row r="564">
      <c r="Z564">
        <f>IF(A564="","",COUNTIF('40_RAP_DE'!$C:$C,A564))</f>
        <v/>
      </c>
      <c r="AA564">
        <f>IF(A564="","","JFT|"&amp;C564&amp;"|"&amp;D564&amp;"|"&amp;E564&amp;"L"&amp;F564)</f>
        <v/>
      </c>
    </row>
    <row r="565">
      <c r="Z565">
        <f>IF(A565="","",COUNTIF('40_RAP_DE'!$C:$C,A565))</f>
        <v/>
      </c>
      <c r="AA565">
        <f>IF(A565="","","JFT|"&amp;C565&amp;"|"&amp;D565&amp;"|"&amp;E565&amp;"L"&amp;F565)</f>
        <v/>
      </c>
    </row>
    <row r="566">
      <c r="Z566">
        <f>IF(A566="","",COUNTIF('40_RAP_DE'!$C:$C,A566))</f>
        <v/>
      </c>
      <c r="AA566">
        <f>IF(A566="","","JFT|"&amp;C566&amp;"|"&amp;D566&amp;"|"&amp;E566&amp;"L"&amp;F566)</f>
        <v/>
      </c>
    </row>
    <row r="567">
      <c r="Z567">
        <f>IF(A567="","",COUNTIF('40_RAP_DE'!$C:$C,A567))</f>
        <v/>
      </c>
      <c r="AA567">
        <f>IF(A567="","","JFT|"&amp;C567&amp;"|"&amp;D567&amp;"|"&amp;E567&amp;"L"&amp;F567)</f>
        <v/>
      </c>
    </row>
    <row r="568">
      <c r="Z568">
        <f>IF(A568="","",COUNTIF('40_RAP_DE'!$C:$C,A568))</f>
        <v/>
      </c>
      <c r="AA568">
        <f>IF(A568="","","JFT|"&amp;C568&amp;"|"&amp;D568&amp;"|"&amp;E568&amp;"L"&amp;F568)</f>
        <v/>
      </c>
    </row>
    <row r="569">
      <c r="Z569">
        <f>IF(A569="","",COUNTIF('40_RAP_DE'!$C:$C,A569))</f>
        <v/>
      </c>
      <c r="AA569">
        <f>IF(A569="","","JFT|"&amp;C569&amp;"|"&amp;D569&amp;"|"&amp;E569&amp;"L"&amp;F569)</f>
        <v/>
      </c>
    </row>
    <row r="570">
      <c r="Z570">
        <f>IF(A570="","",COUNTIF('40_RAP_DE'!$C:$C,A570))</f>
        <v/>
      </c>
      <c r="AA570">
        <f>IF(A570="","","JFT|"&amp;C570&amp;"|"&amp;D570&amp;"|"&amp;E570&amp;"L"&amp;F570)</f>
        <v/>
      </c>
    </row>
    <row r="571">
      <c r="Z571">
        <f>IF(A571="","",COUNTIF('40_RAP_DE'!$C:$C,A571))</f>
        <v/>
      </c>
      <c r="AA571">
        <f>IF(A571="","","JFT|"&amp;C571&amp;"|"&amp;D571&amp;"|"&amp;E571&amp;"L"&amp;F571)</f>
        <v/>
      </c>
    </row>
    <row r="572">
      <c r="Z572">
        <f>IF(A572="","",COUNTIF('40_RAP_DE'!$C:$C,A572))</f>
        <v/>
      </c>
      <c r="AA572">
        <f>IF(A572="","","JFT|"&amp;C572&amp;"|"&amp;D572&amp;"|"&amp;E572&amp;"L"&amp;F572)</f>
        <v/>
      </c>
    </row>
    <row r="573">
      <c r="Z573">
        <f>IF(A573="","",COUNTIF('40_RAP_DE'!$C:$C,A573))</f>
        <v/>
      </c>
      <c r="AA573">
        <f>IF(A573="","","JFT|"&amp;C573&amp;"|"&amp;D573&amp;"|"&amp;E573&amp;"L"&amp;F573)</f>
        <v/>
      </c>
    </row>
    <row r="574">
      <c r="Z574">
        <f>IF(A574="","",COUNTIF('40_RAP_DE'!$C:$C,A574))</f>
        <v/>
      </c>
      <c r="AA574">
        <f>IF(A574="","","JFT|"&amp;C574&amp;"|"&amp;D574&amp;"|"&amp;E574&amp;"L"&amp;F574)</f>
        <v/>
      </c>
    </row>
    <row r="575">
      <c r="Z575">
        <f>IF(A575="","",COUNTIF('40_RAP_DE'!$C:$C,A575))</f>
        <v/>
      </c>
      <c r="AA575">
        <f>IF(A575="","","JFT|"&amp;C575&amp;"|"&amp;D575&amp;"|"&amp;E575&amp;"L"&amp;F575)</f>
        <v/>
      </c>
    </row>
    <row r="576">
      <c r="Z576">
        <f>IF(A576="","",COUNTIF('40_RAP_DE'!$C:$C,A576))</f>
        <v/>
      </c>
      <c r="AA576">
        <f>IF(A576="","","JFT|"&amp;C576&amp;"|"&amp;D576&amp;"|"&amp;E576&amp;"L"&amp;F576)</f>
        <v/>
      </c>
    </row>
    <row r="577">
      <c r="Z577">
        <f>IF(A577="","",COUNTIF('40_RAP_DE'!$C:$C,A577))</f>
        <v/>
      </c>
      <c r="AA577">
        <f>IF(A577="","","JFT|"&amp;C577&amp;"|"&amp;D577&amp;"|"&amp;E577&amp;"L"&amp;F577)</f>
        <v/>
      </c>
    </row>
    <row r="578">
      <c r="Z578">
        <f>IF(A578="","",COUNTIF('40_RAP_DE'!$C:$C,A578))</f>
        <v/>
      </c>
      <c r="AA578">
        <f>IF(A578="","","JFT|"&amp;C578&amp;"|"&amp;D578&amp;"|"&amp;E578&amp;"L"&amp;F578)</f>
        <v/>
      </c>
    </row>
    <row r="579">
      <c r="Z579">
        <f>IF(A579="","",COUNTIF('40_RAP_DE'!$C:$C,A579))</f>
        <v/>
      </c>
      <c r="AA579">
        <f>IF(A579="","","JFT|"&amp;C579&amp;"|"&amp;D579&amp;"|"&amp;E579&amp;"L"&amp;F579)</f>
        <v/>
      </c>
    </row>
    <row r="580">
      <c r="Z580">
        <f>IF(A580="","",COUNTIF('40_RAP_DE'!$C:$C,A580))</f>
        <v/>
      </c>
      <c r="AA580">
        <f>IF(A580="","","JFT|"&amp;C580&amp;"|"&amp;D580&amp;"|"&amp;E580&amp;"L"&amp;F580)</f>
        <v/>
      </c>
    </row>
    <row r="581">
      <c r="Z581">
        <f>IF(A581="","",COUNTIF('40_RAP_DE'!$C:$C,A581))</f>
        <v/>
      </c>
      <c r="AA581">
        <f>IF(A581="","","JFT|"&amp;C581&amp;"|"&amp;D581&amp;"|"&amp;E581&amp;"L"&amp;F581)</f>
        <v/>
      </c>
    </row>
    <row r="582">
      <c r="Z582">
        <f>IF(A582="","",COUNTIF('40_RAP_DE'!$C:$C,A582))</f>
        <v/>
      </c>
      <c r="AA582">
        <f>IF(A582="","","JFT|"&amp;C582&amp;"|"&amp;D582&amp;"|"&amp;E582&amp;"L"&amp;F582)</f>
        <v/>
      </c>
    </row>
    <row r="583">
      <c r="Z583">
        <f>IF(A583="","",COUNTIF('40_RAP_DE'!$C:$C,A583))</f>
        <v/>
      </c>
      <c r="AA583">
        <f>IF(A583="","","JFT|"&amp;C583&amp;"|"&amp;D583&amp;"|"&amp;E583&amp;"L"&amp;F583)</f>
        <v/>
      </c>
    </row>
    <row r="584">
      <c r="Z584">
        <f>IF(A584="","",COUNTIF('40_RAP_DE'!$C:$C,A584))</f>
        <v/>
      </c>
      <c r="AA584">
        <f>IF(A584="","","JFT|"&amp;C584&amp;"|"&amp;D584&amp;"|"&amp;E584&amp;"L"&amp;F584)</f>
        <v/>
      </c>
    </row>
    <row r="585">
      <c r="Z585">
        <f>IF(A585="","",COUNTIF('40_RAP_DE'!$C:$C,A585))</f>
        <v/>
      </c>
      <c r="AA585">
        <f>IF(A585="","","JFT|"&amp;C585&amp;"|"&amp;D585&amp;"|"&amp;E585&amp;"L"&amp;F585)</f>
        <v/>
      </c>
    </row>
    <row r="586">
      <c r="Z586">
        <f>IF(A586="","",COUNTIF('40_RAP_DE'!$C:$C,A586))</f>
        <v/>
      </c>
      <c r="AA586">
        <f>IF(A586="","","JFT|"&amp;C586&amp;"|"&amp;D586&amp;"|"&amp;E586&amp;"L"&amp;F586)</f>
        <v/>
      </c>
    </row>
    <row r="587">
      <c r="Z587">
        <f>IF(A587="","",COUNTIF('40_RAP_DE'!$C:$C,A587))</f>
        <v/>
      </c>
      <c r="AA587">
        <f>IF(A587="","","JFT|"&amp;C587&amp;"|"&amp;D587&amp;"|"&amp;E587&amp;"L"&amp;F587)</f>
        <v/>
      </c>
    </row>
    <row r="588">
      <c r="Z588">
        <f>IF(A588="","",COUNTIF('40_RAP_DE'!$C:$C,A588))</f>
        <v/>
      </c>
      <c r="AA588">
        <f>IF(A588="","","JFT|"&amp;C588&amp;"|"&amp;D588&amp;"|"&amp;E588&amp;"L"&amp;F588)</f>
        <v/>
      </c>
    </row>
    <row r="589">
      <c r="Z589">
        <f>IF(A589="","",COUNTIF('40_RAP_DE'!$C:$C,A589))</f>
        <v/>
      </c>
      <c r="AA589">
        <f>IF(A589="","","JFT|"&amp;C589&amp;"|"&amp;D589&amp;"|"&amp;E589&amp;"L"&amp;F589)</f>
        <v/>
      </c>
    </row>
    <row r="590">
      <c r="Z590">
        <f>IF(A590="","",COUNTIF('40_RAP_DE'!$C:$C,A590))</f>
        <v/>
      </c>
      <c r="AA590">
        <f>IF(A590="","","JFT|"&amp;C590&amp;"|"&amp;D590&amp;"|"&amp;E590&amp;"L"&amp;F590)</f>
        <v/>
      </c>
    </row>
    <row r="591">
      <c r="Z591">
        <f>IF(A591="","",COUNTIF('40_RAP_DE'!$C:$C,A591))</f>
        <v/>
      </c>
      <c r="AA591">
        <f>IF(A591="","","JFT|"&amp;C591&amp;"|"&amp;D591&amp;"|"&amp;E591&amp;"L"&amp;F591)</f>
        <v/>
      </c>
    </row>
    <row r="592">
      <c r="Z592">
        <f>IF(A592="","",COUNTIF('40_RAP_DE'!$C:$C,A592))</f>
        <v/>
      </c>
      <c r="AA592">
        <f>IF(A592="","","JFT|"&amp;C592&amp;"|"&amp;D592&amp;"|"&amp;E592&amp;"L"&amp;F592)</f>
        <v/>
      </c>
    </row>
    <row r="593">
      <c r="Z593">
        <f>IF(A593="","",COUNTIF('40_RAP_DE'!$C:$C,A593))</f>
        <v/>
      </c>
      <c r="AA593">
        <f>IF(A593="","","JFT|"&amp;C593&amp;"|"&amp;D593&amp;"|"&amp;E593&amp;"L"&amp;F593)</f>
        <v/>
      </c>
    </row>
    <row r="594">
      <c r="Z594">
        <f>IF(A594="","",COUNTIF('40_RAP_DE'!$C:$C,A594))</f>
        <v/>
      </c>
      <c r="AA594">
        <f>IF(A594="","","JFT|"&amp;C594&amp;"|"&amp;D594&amp;"|"&amp;E594&amp;"L"&amp;F594)</f>
        <v/>
      </c>
    </row>
    <row r="595">
      <c r="Z595">
        <f>IF(A595="","",COUNTIF('40_RAP_DE'!$C:$C,A595))</f>
        <v/>
      </c>
      <c r="AA595">
        <f>IF(A595="","","JFT|"&amp;C595&amp;"|"&amp;D595&amp;"|"&amp;E595&amp;"L"&amp;F595)</f>
        <v/>
      </c>
    </row>
    <row r="596">
      <c r="Z596">
        <f>IF(A596="","",COUNTIF('40_RAP_DE'!$C:$C,A596))</f>
        <v/>
      </c>
      <c r="AA596">
        <f>IF(A596="","","JFT|"&amp;C596&amp;"|"&amp;D596&amp;"|"&amp;E596&amp;"L"&amp;F596)</f>
        <v/>
      </c>
    </row>
    <row r="597">
      <c r="Z597">
        <f>IF(A597="","",COUNTIF('40_RAP_DE'!$C:$C,A597))</f>
        <v/>
      </c>
      <c r="AA597">
        <f>IF(A597="","","JFT|"&amp;C597&amp;"|"&amp;D597&amp;"|"&amp;E597&amp;"L"&amp;F597)</f>
        <v/>
      </c>
    </row>
    <row r="598">
      <c r="Z598">
        <f>IF(A598="","",COUNTIF('40_RAP_DE'!$C:$C,A598))</f>
        <v/>
      </c>
      <c r="AA598">
        <f>IF(A598="","","JFT|"&amp;C598&amp;"|"&amp;D598&amp;"|"&amp;E598&amp;"L"&amp;F598)</f>
        <v/>
      </c>
    </row>
    <row r="599">
      <c r="Z599">
        <f>IF(A599="","",COUNTIF('40_RAP_DE'!$C:$C,A599))</f>
        <v/>
      </c>
      <c r="AA599">
        <f>IF(A599="","","JFT|"&amp;C599&amp;"|"&amp;D599&amp;"|"&amp;E599&amp;"L"&amp;F599)</f>
        <v/>
      </c>
    </row>
    <row r="600">
      <c r="Z600">
        <f>IF(A600="","",COUNTIF('40_RAP_DE'!$C:$C,A600))</f>
        <v/>
      </c>
      <c r="AA600">
        <f>IF(A600="","","JFT|"&amp;C600&amp;"|"&amp;D600&amp;"|"&amp;E600&amp;"L"&amp;F600)</f>
        <v/>
      </c>
    </row>
    <row r="601">
      <c r="Z601">
        <f>IF(A601="","",COUNTIF('40_RAP_DE'!$C:$C,A601))</f>
        <v/>
      </c>
      <c r="AA601">
        <f>IF(A601="","","JFT|"&amp;C601&amp;"|"&amp;D601&amp;"|"&amp;E601&amp;"L"&amp;F601)</f>
        <v/>
      </c>
    </row>
    <row r="602">
      <c r="Z602">
        <f>IF(A602="","",COUNTIF('40_RAP_DE'!$C:$C,A602))</f>
        <v/>
      </c>
      <c r="AA602">
        <f>IF(A602="","","JFT|"&amp;C602&amp;"|"&amp;D602&amp;"|"&amp;E602&amp;"L"&amp;F602)</f>
        <v/>
      </c>
    </row>
    <row r="603">
      <c r="Z603">
        <f>IF(A603="","",COUNTIF('40_RAP_DE'!$C:$C,A603))</f>
        <v/>
      </c>
      <c r="AA603">
        <f>IF(A603="","","JFT|"&amp;C603&amp;"|"&amp;D603&amp;"|"&amp;E603&amp;"L"&amp;F603)</f>
        <v/>
      </c>
    </row>
    <row r="604">
      <c r="Z604">
        <f>IF(A604="","",COUNTIF('40_RAP_DE'!$C:$C,A604))</f>
        <v/>
      </c>
      <c r="AA604">
        <f>IF(A604="","","JFT|"&amp;C604&amp;"|"&amp;D604&amp;"|"&amp;E604&amp;"L"&amp;F604)</f>
        <v/>
      </c>
    </row>
    <row r="605">
      <c r="Z605">
        <f>IF(A605="","",COUNTIF('40_RAP_DE'!$C:$C,A605))</f>
        <v/>
      </c>
      <c r="AA605">
        <f>IF(A605="","","JFT|"&amp;C605&amp;"|"&amp;D605&amp;"|"&amp;E605&amp;"L"&amp;F605)</f>
        <v/>
      </c>
    </row>
    <row r="606">
      <c r="Z606">
        <f>IF(A606="","",COUNTIF('40_RAP_DE'!$C:$C,A606))</f>
        <v/>
      </c>
      <c r="AA606">
        <f>IF(A606="","","JFT|"&amp;C606&amp;"|"&amp;D606&amp;"|"&amp;E606&amp;"L"&amp;F606)</f>
        <v/>
      </c>
    </row>
    <row r="607">
      <c r="Z607">
        <f>IF(A607="","",COUNTIF('40_RAP_DE'!$C:$C,A607))</f>
        <v/>
      </c>
      <c r="AA607">
        <f>IF(A607="","","JFT|"&amp;C607&amp;"|"&amp;D607&amp;"|"&amp;E607&amp;"L"&amp;F607)</f>
        <v/>
      </c>
    </row>
    <row r="608">
      <c r="Z608">
        <f>IF(A608="","",COUNTIF('40_RAP_DE'!$C:$C,A608))</f>
        <v/>
      </c>
      <c r="AA608">
        <f>IF(A608="","","JFT|"&amp;C608&amp;"|"&amp;D608&amp;"|"&amp;E608&amp;"L"&amp;F608)</f>
        <v/>
      </c>
    </row>
    <row r="609">
      <c r="Z609">
        <f>IF(A609="","",COUNTIF('40_RAP_DE'!$C:$C,A609))</f>
        <v/>
      </c>
      <c r="AA609">
        <f>IF(A609="","","JFT|"&amp;C609&amp;"|"&amp;D609&amp;"|"&amp;E609&amp;"L"&amp;F609)</f>
        <v/>
      </c>
    </row>
    <row r="610">
      <c r="Z610">
        <f>IF(A610="","",COUNTIF('40_RAP_DE'!$C:$C,A610))</f>
        <v/>
      </c>
      <c r="AA610">
        <f>IF(A610="","","JFT|"&amp;C610&amp;"|"&amp;D610&amp;"|"&amp;E610&amp;"L"&amp;F610)</f>
        <v/>
      </c>
    </row>
    <row r="611">
      <c r="Z611">
        <f>IF(A611="","",COUNTIF('40_RAP_DE'!$C:$C,A611))</f>
        <v/>
      </c>
      <c r="AA611">
        <f>IF(A611="","","JFT|"&amp;C611&amp;"|"&amp;D611&amp;"|"&amp;E611&amp;"L"&amp;F611)</f>
        <v/>
      </c>
    </row>
    <row r="612">
      <c r="Z612">
        <f>IF(A612="","",COUNTIF('40_RAP_DE'!$C:$C,A612))</f>
        <v/>
      </c>
      <c r="AA612">
        <f>IF(A612="","","JFT|"&amp;C612&amp;"|"&amp;D612&amp;"|"&amp;E612&amp;"L"&amp;F612)</f>
        <v/>
      </c>
    </row>
    <row r="613">
      <c r="Z613">
        <f>IF(A613="","",COUNTIF('40_RAP_DE'!$C:$C,A613))</f>
        <v/>
      </c>
      <c r="AA613">
        <f>IF(A613="","","JFT|"&amp;C613&amp;"|"&amp;D613&amp;"|"&amp;E613&amp;"L"&amp;F613)</f>
        <v/>
      </c>
    </row>
    <row r="614">
      <c r="Z614">
        <f>IF(A614="","",COUNTIF('40_RAP_DE'!$C:$C,A614))</f>
        <v/>
      </c>
      <c r="AA614">
        <f>IF(A614="","","JFT|"&amp;C614&amp;"|"&amp;D614&amp;"|"&amp;E614&amp;"L"&amp;F614)</f>
        <v/>
      </c>
    </row>
    <row r="615">
      <c r="Z615">
        <f>IF(A615="","",COUNTIF('40_RAP_DE'!$C:$C,A615))</f>
        <v/>
      </c>
      <c r="AA615">
        <f>IF(A615="","","JFT|"&amp;C615&amp;"|"&amp;D615&amp;"|"&amp;E615&amp;"L"&amp;F615)</f>
        <v/>
      </c>
    </row>
    <row r="616">
      <c r="Z616">
        <f>IF(A616="","",COUNTIF('40_RAP_DE'!$C:$C,A616))</f>
        <v/>
      </c>
      <c r="AA616">
        <f>IF(A616="","","JFT|"&amp;C616&amp;"|"&amp;D616&amp;"|"&amp;E616&amp;"L"&amp;F616)</f>
        <v/>
      </c>
    </row>
    <row r="617">
      <c r="Z617">
        <f>IF(A617="","",COUNTIF('40_RAP_DE'!$C:$C,A617))</f>
        <v/>
      </c>
      <c r="AA617">
        <f>IF(A617="","","JFT|"&amp;C617&amp;"|"&amp;D617&amp;"|"&amp;E617&amp;"L"&amp;F617)</f>
        <v/>
      </c>
    </row>
    <row r="618">
      <c r="Z618">
        <f>IF(A618="","",COUNTIF('40_RAP_DE'!$C:$C,A618))</f>
        <v/>
      </c>
      <c r="AA618">
        <f>IF(A618="","","JFT|"&amp;C618&amp;"|"&amp;D618&amp;"|"&amp;E618&amp;"L"&amp;F618)</f>
        <v/>
      </c>
    </row>
    <row r="619">
      <c r="Z619">
        <f>IF(A619="","",COUNTIF('40_RAP_DE'!$C:$C,A619))</f>
        <v/>
      </c>
      <c r="AA619">
        <f>IF(A619="","","JFT|"&amp;C619&amp;"|"&amp;D619&amp;"|"&amp;E619&amp;"L"&amp;F619)</f>
        <v/>
      </c>
    </row>
    <row r="620">
      <c r="Z620">
        <f>IF(A620="","",COUNTIF('40_RAP_DE'!$C:$C,A620))</f>
        <v/>
      </c>
      <c r="AA620">
        <f>IF(A620="","","JFT|"&amp;C620&amp;"|"&amp;D620&amp;"|"&amp;E620&amp;"L"&amp;F620)</f>
        <v/>
      </c>
    </row>
    <row r="621">
      <c r="Z621">
        <f>IF(A621="","",COUNTIF('40_RAP_DE'!$C:$C,A621))</f>
        <v/>
      </c>
      <c r="AA621">
        <f>IF(A621="","","JFT|"&amp;C621&amp;"|"&amp;D621&amp;"|"&amp;E621&amp;"L"&amp;F621)</f>
        <v/>
      </c>
    </row>
    <row r="622">
      <c r="Z622">
        <f>IF(A622="","",COUNTIF('40_RAP_DE'!$C:$C,A622))</f>
        <v/>
      </c>
      <c r="AA622">
        <f>IF(A622="","","JFT|"&amp;C622&amp;"|"&amp;D622&amp;"|"&amp;E622&amp;"L"&amp;F622)</f>
        <v/>
      </c>
    </row>
    <row r="623">
      <c r="Z623">
        <f>IF(A623="","",COUNTIF('40_RAP_DE'!$C:$C,A623))</f>
        <v/>
      </c>
      <c r="AA623">
        <f>IF(A623="","","JFT|"&amp;C623&amp;"|"&amp;D623&amp;"|"&amp;E623&amp;"L"&amp;F623)</f>
        <v/>
      </c>
    </row>
    <row r="624">
      <c r="Z624">
        <f>IF(A624="","",COUNTIF('40_RAP_DE'!$C:$C,A624))</f>
        <v/>
      </c>
      <c r="AA624">
        <f>IF(A624="","","JFT|"&amp;C624&amp;"|"&amp;D624&amp;"|"&amp;E624&amp;"L"&amp;F624)</f>
        <v/>
      </c>
    </row>
    <row r="625">
      <c r="Z625">
        <f>IF(A625="","",COUNTIF('40_RAP_DE'!$C:$C,A625))</f>
        <v/>
      </c>
      <c r="AA625">
        <f>IF(A625="","","JFT|"&amp;C625&amp;"|"&amp;D625&amp;"|"&amp;E625&amp;"L"&amp;F625)</f>
        <v/>
      </c>
    </row>
    <row r="626">
      <c r="Z626">
        <f>IF(A626="","",COUNTIF('40_RAP_DE'!$C:$C,A626))</f>
        <v/>
      </c>
      <c r="AA626">
        <f>IF(A626="","","JFT|"&amp;C626&amp;"|"&amp;D626&amp;"|"&amp;E626&amp;"L"&amp;F626)</f>
        <v/>
      </c>
    </row>
    <row r="627">
      <c r="Z627">
        <f>IF(A627="","",COUNTIF('40_RAP_DE'!$C:$C,A627))</f>
        <v/>
      </c>
      <c r="AA627">
        <f>IF(A627="","","JFT|"&amp;C627&amp;"|"&amp;D627&amp;"|"&amp;E627&amp;"L"&amp;F627)</f>
        <v/>
      </c>
    </row>
    <row r="628">
      <c r="Z628">
        <f>IF(A628="","",COUNTIF('40_RAP_DE'!$C:$C,A628))</f>
        <v/>
      </c>
      <c r="AA628">
        <f>IF(A628="","","JFT|"&amp;C628&amp;"|"&amp;D628&amp;"|"&amp;E628&amp;"L"&amp;F628)</f>
        <v/>
      </c>
    </row>
    <row r="629">
      <c r="Z629">
        <f>IF(A629="","",COUNTIF('40_RAP_DE'!$C:$C,A629))</f>
        <v/>
      </c>
      <c r="AA629">
        <f>IF(A629="","","JFT|"&amp;C629&amp;"|"&amp;D629&amp;"|"&amp;E629&amp;"L"&amp;F629)</f>
        <v/>
      </c>
    </row>
    <row r="630">
      <c r="Z630">
        <f>IF(A630="","",COUNTIF('40_RAP_DE'!$C:$C,A630))</f>
        <v/>
      </c>
      <c r="AA630">
        <f>IF(A630="","","JFT|"&amp;C630&amp;"|"&amp;D630&amp;"|"&amp;E630&amp;"L"&amp;F630)</f>
        <v/>
      </c>
    </row>
    <row r="631">
      <c r="Z631">
        <f>IF(A631="","",COUNTIF('40_RAP_DE'!$C:$C,A631))</f>
        <v/>
      </c>
      <c r="AA631">
        <f>IF(A631="","","JFT|"&amp;C631&amp;"|"&amp;D631&amp;"|"&amp;E631&amp;"L"&amp;F631)</f>
        <v/>
      </c>
    </row>
    <row r="632">
      <c r="Z632">
        <f>IF(A632="","",COUNTIF('40_RAP_DE'!$C:$C,A632))</f>
        <v/>
      </c>
      <c r="AA632">
        <f>IF(A632="","","JFT|"&amp;C632&amp;"|"&amp;D632&amp;"|"&amp;E632&amp;"L"&amp;F632)</f>
        <v/>
      </c>
    </row>
    <row r="633">
      <c r="Z633">
        <f>IF(A633="","",COUNTIF('40_RAP_DE'!$C:$C,A633))</f>
        <v/>
      </c>
      <c r="AA633">
        <f>IF(A633="","","JFT|"&amp;C633&amp;"|"&amp;D633&amp;"|"&amp;E633&amp;"L"&amp;F633)</f>
        <v/>
      </c>
    </row>
    <row r="634">
      <c r="Z634">
        <f>IF(A634="","",COUNTIF('40_RAP_DE'!$C:$C,A634))</f>
        <v/>
      </c>
      <c r="AA634">
        <f>IF(A634="","","JFT|"&amp;C634&amp;"|"&amp;D634&amp;"|"&amp;E634&amp;"L"&amp;F634)</f>
        <v/>
      </c>
    </row>
    <row r="635">
      <c r="Z635">
        <f>IF(A635="","",COUNTIF('40_RAP_DE'!$C:$C,A635))</f>
        <v/>
      </c>
      <c r="AA635">
        <f>IF(A635="","","JFT|"&amp;C635&amp;"|"&amp;D635&amp;"|"&amp;E635&amp;"L"&amp;F635)</f>
        <v/>
      </c>
    </row>
    <row r="636">
      <c r="Z636">
        <f>IF(A636="","",COUNTIF('40_RAP_DE'!$C:$C,A636))</f>
        <v/>
      </c>
      <c r="AA636">
        <f>IF(A636="","","JFT|"&amp;C636&amp;"|"&amp;D636&amp;"|"&amp;E636&amp;"L"&amp;F636)</f>
        <v/>
      </c>
    </row>
    <row r="637">
      <c r="Z637">
        <f>IF(A637="","",COUNTIF('40_RAP_DE'!$C:$C,A637))</f>
        <v/>
      </c>
      <c r="AA637">
        <f>IF(A637="","","JFT|"&amp;C637&amp;"|"&amp;D637&amp;"|"&amp;E637&amp;"L"&amp;F637)</f>
        <v/>
      </c>
    </row>
    <row r="638">
      <c r="Z638">
        <f>IF(A638="","",COUNTIF('40_RAP_DE'!$C:$C,A638))</f>
        <v/>
      </c>
      <c r="AA638">
        <f>IF(A638="","","JFT|"&amp;C638&amp;"|"&amp;D638&amp;"|"&amp;E638&amp;"L"&amp;F638)</f>
        <v/>
      </c>
    </row>
    <row r="639">
      <c r="Z639">
        <f>IF(A639="","",COUNTIF('40_RAP_DE'!$C:$C,A639))</f>
        <v/>
      </c>
      <c r="AA639">
        <f>IF(A639="","","JFT|"&amp;C639&amp;"|"&amp;D639&amp;"|"&amp;E639&amp;"L"&amp;F639)</f>
        <v/>
      </c>
    </row>
    <row r="640">
      <c r="Z640">
        <f>IF(A640="","",COUNTIF('40_RAP_DE'!$C:$C,A640))</f>
        <v/>
      </c>
      <c r="AA640">
        <f>IF(A640="","","JFT|"&amp;C640&amp;"|"&amp;D640&amp;"|"&amp;E640&amp;"L"&amp;F640)</f>
        <v/>
      </c>
    </row>
    <row r="641">
      <c r="Z641">
        <f>IF(A641="","",COUNTIF('40_RAP_DE'!$C:$C,A641))</f>
        <v/>
      </c>
      <c r="AA641">
        <f>IF(A641="","","JFT|"&amp;C641&amp;"|"&amp;D641&amp;"|"&amp;E641&amp;"L"&amp;F641)</f>
        <v/>
      </c>
    </row>
    <row r="642">
      <c r="Z642">
        <f>IF(A642="","",COUNTIF('40_RAP_DE'!$C:$C,A642))</f>
        <v/>
      </c>
      <c r="AA642">
        <f>IF(A642="","","JFT|"&amp;C642&amp;"|"&amp;D642&amp;"|"&amp;E642&amp;"L"&amp;F642)</f>
        <v/>
      </c>
    </row>
    <row r="643">
      <c r="Z643">
        <f>IF(A643="","",COUNTIF('40_RAP_DE'!$C:$C,A643))</f>
        <v/>
      </c>
      <c r="AA643">
        <f>IF(A643="","","JFT|"&amp;C643&amp;"|"&amp;D643&amp;"|"&amp;E643&amp;"L"&amp;F643)</f>
        <v/>
      </c>
    </row>
    <row r="644">
      <c r="Z644">
        <f>IF(A644="","",COUNTIF('40_RAP_DE'!$C:$C,A644))</f>
        <v/>
      </c>
      <c r="AA644">
        <f>IF(A644="","","JFT|"&amp;C644&amp;"|"&amp;D644&amp;"|"&amp;E644&amp;"L"&amp;F644)</f>
        <v/>
      </c>
    </row>
    <row r="645">
      <c r="Z645">
        <f>IF(A645="","",COUNTIF('40_RAP_DE'!$C:$C,A645))</f>
        <v/>
      </c>
      <c r="AA645">
        <f>IF(A645="","","JFT|"&amp;C645&amp;"|"&amp;D645&amp;"|"&amp;E645&amp;"L"&amp;F645)</f>
        <v/>
      </c>
    </row>
    <row r="646">
      <c r="Z646">
        <f>IF(A646="","",COUNTIF('40_RAP_DE'!$C:$C,A646))</f>
        <v/>
      </c>
      <c r="AA646">
        <f>IF(A646="","","JFT|"&amp;C646&amp;"|"&amp;D646&amp;"|"&amp;E646&amp;"L"&amp;F646)</f>
        <v/>
      </c>
    </row>
    <row r="647">
      <c r="Z647">
        <f>IF(A647="","",COUNTIF('40_RAP_DE'!$C:$C,A647))</f>
        <v/>
      </c>
      <c r="AA647">
        <f>IF(A647="","","JFT|"&amp;C647&amp;"|"&amp;D647&amp;"|"&amp;E647&amp;"L"&amp;F647)</f>
        <v/>
      </c>
    </row>
    <row r="648">
      <c r="Z648">
        <f>IF(A648="","",COUNTIF('40_RAP_DE'!$C:$C,A648))</f>
        <v/>
      </c>
      <c r="AA648">
        <f>IF(A648="","","JFT|"&amp;C648&amp;"|"&amp;D648&amp;"|"&amp;E648&amp;"L"&amp;F648)</f>
        <v/>
      </c>
    </row>
    <row r="649">
      <c r="Z649">
        <f>IF(A649="","",COUNTIF('40_RAP_DE'!$C:$C,A649))</f>
        <v/>
      </c>
      <c r="AA649">
        <f>IF(A649="","","JFT|"&amp;C649&amp;"|"&amp;D649&amp;"|"&amp;E649&amp;"L"&amp;F649)</f>
        <v/>
      </c>
    </row>
    <row r="650">
      <c r="Z650">
        <f>IF(A650="","",COUNTIF('40_RAP_DE'!$C:$C,A650))</f>
        <v/>
      </c>
      <c r="AA650">
        <f>IF(A650="","","JFT|"&amp;C650&amp;"|"&amp;D650&amp;"|"&amp;E650&amp;"L"&amp;F650)</f>
        <v/>
      </c>
    </row>
    <row r="651">
      <c r="Z651">
        <f>IF(A651="","",COUNTIF('40_RAP_DE'!$C:$C,A651))</f>
        <v/>
      </c>
      <c r="AA651">
        <f>IF(A651="","","JFT|"&amp;C651&amp;"|"&amp;D651&amp;"|"&amp;E651&amp;"L"&amp;F651)</f>
        <v/>
      </c>
    </row>
    <row r="652">
      <c r="Z652">
        <f>IF(A652="","",COUNTIF('40_RAP_DE'!$C:$C,A652))</f>
        <v/>
      </c>
      <c r="AA652">
        <f>IF(A652="","","JFT|"&amp;C652&amp;"|"&amp;D652&amp;"|"&amp;E652&amp;"L"&amp;F652)</f>
        <v/>
      </c>
    </row>
    <row r="653">
      <c r="Z653">
        <f>IF(A653="","",COUNTIF('40_RAP_DE'!$C:$C,A653))</f>
        <v/>
      </c>
      <c r="AA653">
        <f>IF(A653="","","JFT|"&amp;C653&amp;"|"&amp;D653&amp;"|"&amp;E653&amp;"L"&amp;F653)</f>
        <v/>
      </c>
    </row>
    <row r="654">
      <c r="Z654">
        <f>IF(A654="","",COUNTIF('40_RAP_DE'!$C:$C,A654))</f>
        <v/>
      </c>
      <c r="AA654">
        <f>IF(A654="","","JFT|"&amp;C654&amp;"|"&amp;D654&amp;"|"&amp;E654&amp;"L"&amp;F654)</f>
        <v/>
      </c>
    </row>
    <row r="655">
      <c r="Z655">
        <f>IF(A655="","",COUNTIF('40_RAP_DE'!$C:$C,A655))</f>
        <v/>
      </c>
      <c r="AA655">
        <f>IF(A655="","","JFT|"&amp;C655&amp;"|"&amp;D655&amp;"|"&amp;E655&amp;"L"&amp;F655)</f>
        <v/>
      </c>
    </row>
    <row r="656">
      <c r="Z656">
        <f>IF(A656="","",COUNTIF('40_RAP_DE'!$C:$C,A656))</f>
        <v/>
      </c>
      <c r="AA656">
        <f>IF(A656="","","JFT|"&amp;C656&amp;"|"&amp;D656&amp;"|"&amp;E656&amp;"L"&amp;F656)</f>
        <v/>
      </c>
    </row>
    <row r="657">
      <c r="Z657">
        <f>IF(A657="","",COUNTIF('40_RAP_DE'!$C:$C,A657))</f>
        <v/>
      </c>
      <c r="AA657">
        <f>IF(A657="","","JFT|"&amp;C657&amp;"|"&amp;D657&amp;"|"&amp;E657&amp;"L"&amp;F657)</f>
        <v/>
      </c>
    </row>
    <row r="658">
      <c r="Z658">
        <f>IF(A658="","",COUNTIF('40_RAP_DE'!$C:$C,A658))</f>
        <v/>
      </c>
      <c r="AA658">
        <f>IF(A658="","","JFT|"&amp;C658&amp;"|"&amp;D658&amp;"|"&amp;E658&amp;"L"&amp;F658)</f>
        <v/>
      </c>
    </row>
    <row r="659">
      <c r="Z659">
        <f>IF(A659="","",COUNTIF('40_RAP_DE'!$C:$C,A659))</f>
        <v/>
      </c>
      <c r="AA659">
        <f>IF(A659="","","JFT|"&amp;C659&amp;"|"&amp;D659&amp;"|"&amp;E659&amp;"L"&amp;F659)</f>
        <v/>
      </c>
    </row>
    <row r="660">
      <c r="Z660">
        <f>IF(A660="","",COUNTIF('40_RAP_DE'!$C:$C,A660))</f>
        <v/>
      </c>
      <c r="AA660">
        <f>IF(A660="","","JFT|"&amp;C660&amp;"|"&amp;D660&amp;"|"&amp;E660&amp;"L"&amp;F660)</f>
        <v/>
      </c>
    </row>
    <row r="661">
      <c r="Z661">
        <f>IF(A661="","",COUNTIF('40_RAP_DE'!$C:$C,A661))</f>
        <v/>
      </c>
      <c r="AA661">
        <f>IF(A661="","","JFT|"&amp;C661&amp;"|"&amp;D661&amp;"|"&amp;E661&amp;"L"&amp;F661)</f>
        <v/>
      </c>
    </row>
    <row r="662">
      <c r="Z662">
        <f>IF(A662="","",COUNTIF('40_RAP_DE'!$C:$C,A662))</f>
        <v/>
      </c>
      <c r="AA662">
        <f>IF(A662="","","JFT|"&amp;C662&amp;"|"&amp;D662&amp;"|"&amp;E662&amp;"L"&amp;F662)</f>
        <v/>
      </c>
    </row>
    <row r="663">
      <c r="Z663">
        <f>IF(A663="","",COUNTIF('40_RAP_DE'!$C:$C,A663))</f>
        <v/>
      </c>
      <c r="AA663">
        <f>IF(A663="","","JFT|"&amp;C663&amp;"|"&amp;D663&amp;"|"&amp;E663&amp;"L"&amp;F663)</f>
        <v/>
      </c>
    </row>
    <row r="664">
      <c r="Z664">
        <f>IF(A664="","",COUNTIF('40_RAP_DE'!$C:$C,A664))</f>
        <v/>
      </c>
      <c r="AA664">
        <f>IF(A664="","","JFT|"&amp;C664&amp;"|"&amp;D664&amp;"|"&amp;E664&amp;"L"&amp;F664)</f>
        <v/>
      </c>
    </row>
    <row r="665">
      <c r="Z665">
        <f>IF(A665="","",COUNTIF('40_RAP_DE'!$C:$C,A665))</f>
        <v/>
      </c>
      <c r="AA665">
        <f>IF(A665="","","JFT|"&amp;C665&amp;"|"&amp;D665&amp;"|"&amp;E665&amp;"L"&amp;F665)</f>
        <v/>
      </c>
    </row>
    <row r="666">
      <c r="Z666">
        <f>IF(A666="","",COUNTIF('40_RAP_DE'!$C:$C,A666))</f>
        <v/>
      </c>
      <c r="AA666">
        <f>IF(A666="","","JFT|"&amp;C666&amp;"|"&amp;D666&amp;"|"&amp;E666&amp;"L"&amp;F666)</f>
        <v/>
      </c>
    </row>
    <row r="667">
      <c r="Z667">
        <f>IF(A667="","",COUNTIF('40_RAP_DE'!$C:$C,A667))</f>
        <v/>
      </c>
      <c r="AA667">
        <f>IF(A667="","","JFT|"&amp;C667&amp;"|"&amp;D667&amp;"|"&amp;E667&amp;"L"&amp;F667)</f>
        <v/>
      </c>
    </row>
    <row r="668">
      <c r="Z668">
        <f>IF(A668="","",COUNTIF('40_RAP_DE'!$C:$C,A668))</f>
        <v/>
      </c>
      <c r="AA668">
        <f>IF(A668="","","JFT|"&amp;C668&amp;"|"&amp;D668&amp;"|"&amp;E668&amp;"L"&amp;F668)</f>
        <v/>
      </c>
    </row>
    <row r="669">
      <c r="Z669">
        <f>IF(A669="","",COUNTIF('40_RAP_DE'!$C:$C,A669))</f>
        <v/>
      </c>
      <c r="AA669">
        <f>IF(A669="","","JFT|"&amp;C669&amp;"|"&amp;D669&amp;"|"&amp;E669&amp;"L"&amp;F669)</f>
        <v/>
      </c>
    </row>
    <row r="670">
      <c r="Z670">
        <f>IF(A670="","",COUNTIF('40_RAP_DE'!$C:$C,A670))</f>
        <v/>
      </c>
      <c r="AA670">
        <f>IF(A670="","","JFT|"&amp;C670&amp;"|"&amp;D670&amp;"|"&amp;E670&amp;"L"&amp;F670)</f>
        <v/>
      </c>
    </row>
    <row r="671">
      <c r="Z671">
        <f>IF(A671="","",COUNTIF('40_RAP_DE'!$C:$C,A671))</f>
        <v/>
      </c>
      <c r="AA671">
        <f>IF(A671="","","JFT|"&amp;C671&amp;"|"&amp;D671&amp;"|"&amp;E671&amp;"L"&amp;F671)</f>
        <v/>
      </c>
    </row>
    <row r="672">
      <c r="Z672">
        <f>IF(A672="","",COUNTIF('40_RAP_DE'!$C:$C,A672))</f>
        <v/>
      </c>
      <c r="AA672">
        <f>IF(A672="","","JFT|"&amp;C672&amp;"|"&amp;D672&amp;"|"&amp;E672&amp;"L"&amp;F672)</f>
        <v/>
      </c>
    </row>
    <row r="673">
      <c r="Z673">
        <f>IF(A673="","",COUNTIF('40_RAP_DE'!$C:$C,A673))</f>
        <v/>
      </c>
      <c r="AA673">
        <f>IF(A673="","","JFT|"&amp;C673&amp;"|"&amp;D673&amp;"|"&amp;E673&amp;"L"&amp;F673)</f>
        <v/>
      </c>
    </row>
    <row r="674">
      <c r="Z674">
        <f>IF(A674="","",COUNTIF('40_RAP_DE'!$C:$C,A674))</f>
        <v/>
      </c>
      <c r="AA674">
        <f>IF(A674="","","JFT|"&amp;C674&amp;"|"&amp;D674&amp;"|"&amp;E674&amp;"L"&amp;F674)</f>
        <v/>
      </c>
    </row>
    <row r="675">
      <c r="Z675">
        <f>IF(A675="","",COUNTIF('40_RAP_DE'!$C:$C,A675))</f>
        <v/>
      </c>
      <c r="AA675">
        <f>IF(A675="","","JFT|"&amp;C675&amp;"|"&amp;D675&amp;"|"&amp;E675&amp;"L"&amp;F675)</f>
        <v/>
      </c>
    </row>
    <row r="676">
      <c r="Z676">
        <f>IF(A676="","",COUNTIF('40_RAP_DE'!$C:$C,A676))</f>
        <v/>
      </c>
      <c r="AA676">
        <f>IF(A676="","","JFT|"&amp;C676&amp;"|"&amp;D676&amp;"|"&amp;E676&amp;"L"&amp;F676)</f>
        <v/>
      </c>
    </row>
    <row r="677">
      <c r="Z677">
        <f>IF(A677="","",COUNTIF('40_RAP_DE'!$C:$C,A677))</f>
        <v/>
      </c>
      <c r="AA677">
        <f>IF(A677="","","JFT|"&amp;C677&amp;"|"&amp;D677&amp;"|"&amp;E677&amp;"L"&amp;F677)</f>
        <v/>
      </c>
    </row>
    <row r="678">
      <c r="Z678">
        <f>IF(A678="","",COUNTIF('40_RAP_DE'!$C:$C,A678))</f>
        <v/>
      </c>
      <c r="AA678">
        <f>IF(A678="","","JFT|"&amp;C678&amp;"|"&amp;D678&amp;"|"&amp;E678&amp;"L"&amp;F678)</f>
        <v/>
      </c>
    </row>
    <row r="679">
      <c r="Z679">
        <f>IF(A679="","",COUNTIF('40_RAP_DE'!$C:$C,A679))</f>
        <v/>
      </c>
      <c r="AA679">
        <f>IF(A679="","","JFT|"&amp;C679&amp;"|"&amp;D679&amp;"|"&amp;E679&amp;"L"&amp;F679)</f>
        <v/>
      </c>
    </row>
    <row r="680">
      <c r="Z680">
        <f>IF(A680="","",COUNTIF('40_RAP_DE'!$C:$C,A680))</f>
        <v/>
      </c>
      <c r="AA680">
        <f>IF(A680="","","JFT|"&amp;C680&amp;"|"&amp;D680&amp;"|"&amp;E680&amp;"L"&amp;F680)</f>
        <v/>
      </c>
    </row>
    <row r="681">
      <c r="Z681">
        <f>IF(A681="","",COUNTIF('40_RAP_DE'!$C:$C,A681))</f>
        <v/>
      </c>
      <c r="AA681">
        <f>IF(A681="","","JFT|"&amp;C681&amp;"|"&amp;D681&amp;"|"&amp;E681&amp;"L"&amp;F681)</f>
        <v/>
      </c>
    </row>
    <row r="682">
      <c r="Z682">
        <f>IF(A682="","",COUNTIF('40_RAP_DE'!$C:$C,A682))</f>
        <v/>
      </c>
      <c r="AA682">
        <f>IF(A682="","","JFT|"&amp;C682&amp;"|"&amp;D682&amp;"|"&amp;E682&amp;"L"&amp;F682)</f>
        <v/>
      </c>
    </row>
    <row r="683">
      <c r="Z683">
        <f>IF(A683="","",COUNTIF('40_RAP_DE'!$C:$C,A683))</f>
        <v/>
      </c>
      <c r="AA683">
        <f>IF(A683="","","JFT|"&amp;C683&amp;"|"&amp;D683&amp;"|"&amp;E683&amp;"L"&amp;F683)</f>
        <v/>
      </c>
    </row>
    <row r="684">
      <c r="Z684">
        <f>IF(A684="","",COUNTIF('40_RAP_DE'!$C:$C,A684))</f>
        <v/>
      </c>
      <c r="AA684">
        <f>IF(A684="","","JFT|"&amp;C684&amp;"|"&amp;D684&amp;"|"&amp;E684&amp;"L"&amp;F684)</f>
        <v/>
      </c>
    </row>
    <row r="685">
      <c r="Z685">
        <f>IF(A685="","",COUNTIF('40_RAP_DE'!$C:$C,A685))</f>
        <v/>
      </c>
      <c r="AA685">
        <f>IF(A685="","","JFT|"&amp;C685&amp;"|"&amp;D685&amp;"|"&amp;E685&amp;"L"&amp;F685)</f>
        <v/>
      </c>
    </row>
    <row r="686">
      <c r="Z686">
        <f>IF(A686="","",COUNTIF('40_RAP_DE'!$C:$C,A686))</f>
        <v/>
      </c>
      <c r="AA686">
        <f>IF(A686="","","JFT|"&amp;C686&amp;"|"&amp;D686&amp;"|"&amp;E686&amp;"L"&amp;F686)</f>
        <v/>
      </c>
    </row>
    <row r="687">
      <c r="Z687">
        <f>IF(A687="","",COUNTIF('40_RAP_DE'!$C:$C,A687))</f>
        <v/>
      </c>
      <c r="AA687">
        <f>IF(A687="","","JFT|"&amp;C687&amp;"|"&amp;D687&amp;"|"&amp;E687&amp;"L"&amp;F687)</f>
        <v/>
      </c>
    </row>
    <row r="688">
      <c r="Z688">
        <f>IF(A688="","",COUNTIF('40_RAP_DE'!$C:$C,A688))</f>
        <v/>
      </c>
      <c r="AA688">
        <f>IF(A688="","","JFT|"&amp;C688&amp;"|"&amp;D688&amp;"|"&amp;E688&amp;"L"&amp;F688)</f>
        <v/>
      </c>
    </row>
    <row r="689">
      <c r="Z689">
        <f>IF(A689="","",COUNTIF('40_RAP_DE'!$C:$C,A689))</f>
        <v/>
      </c>
      <c r="AA689">
        <f>IF(A689="","","JFT|"&amp;C689&amp;"|"&amp;D689&amp;"|"&amp;E689&amp;"L"&amp;F689)</f>
        <v/>
      </c>
    </row>
    <row r="690">
      <c r="Z690">
        <f>IF(A690="","",COUNTIF('40_RAP_DE'!$C:$C,A690))</f>
        <v/>
      </c>
      <c r="AA690">
        <f>IF(A690="","","JFT|"&amp;C690&amp;"|"&amp;D690&amp;"|"&amp;E690&amp;"L"&amp;F690)</f>
        <v/>
      </c>
    </row>
    <row r="691">
      <c r="Z691">
        <f>IF(A691="","",COUNTIF('40_RAP_DE'!$C:$C,A691))</f>
        <v/>
      </c>
      <c r="AA691">
        <f>IF(A691="","","JFT|"&amp;C691&amp;"|"&amp;D691&amp;"|"&amp;E691&amp;"L"&amp;F691)</f>
        <v/>
      </c>
    </row>
    <row r="692">
      <c r="Z692">
        <f>IF(A692="","",COUNTIF('40_RAP_DE'!$C:$C,A692))</f>
        <v/>
      </c>
      <c r="AA692">
        <f>IF(A692="","","JFT|"&amp;C692&amp;"|"&amp;D692&amp;"|"&amp;E692&amp;"L"&amp;F692)</f>
        <v/>
      </c>
    </row>
    <row r="693">
      <c r="Z693">
        <f>IF(A693="","",COUNTIF('40_RAP_DE'!$C:$C,A693))</f>
        <v/>
      </c>
      <c r="AA693">
        <f>IF(A693="","","JFT|"&amp;C693&amp;"|"&amp;D693&amp;"|"&amp;E693&amp;"L"&amp;F693)</f>
        <v/>
      </c>
    </row>
    <row r="694">
      <c r="Z694">
        <f>IF(A694="","",COUNTIF('40_RAP_DE'!$C:$C,A694))</f>
        <v/>
      </c>
      <c r="AA694">
        <f>IF(A694="","","JFT|"&amp;C694&amp;"|"&amp;D694&amp;"|"&amp;E694&amp;"L"&amp;F694)</f>
        <v/>
      </c>
    </row>
    <row r="695">
      <c r="Z695">
        <f>IF(A695="","",COUNTIF('40_RAP_DE'!$C:$C,A695))</f>
        <v/>
      </c>
      <c r="AA695">
        <f>IF(A695="","","JFT|"&amp;C695&amp;"|"&amp;D695&amp;"|"&amp;E695&amp;"L"&amp;F695)</f>
        <v/>
      </c>
    </row>
    <row r="696">
      <c r="Z696">
        <f>IF(A696="","",COUNTIF('40_RAP_DE'!$C:$C,A696))</f>
        <v/>
      </c>
      <c r="AA696">
        <f>IF(A696="","","JFT|"&amp;C696&amp;"|"&amp;D696&amp;"|"&amp;E696&amp;"L"&amp;F696)</f>
        <v/>
      </c>
    </row>
    <row r="697">
      <c r="Z697">
        <f>IF(A697="","",COUNTIF('40_RAP_DE'!$C:$C,A697))</f>
        <v/>
      </c>
      <c r="AA697">
        <f>IF(A697="","","JFT|"&amp;C697&amp;"|"&amp;D697&amp;"|"&amp;E697&amp;"L"&amp;F697)</f>
        <v/>
      </c>
    </row>
    <row r="698">
      <c r="Z698">
        <f>IF(A698="","",COUNTIF('40_RAP_DE'!$C:$C,A698))</f>
        <v/>
      </c>
      <c r="AA698">
        <f>IF(A698="","","JFT|"&amp;C698&amp;"|"&amp;D698&amp;"|"&amp;E698&amp;"L"&amp;F698)</f>
        <v/>
      </c>
    </row>
    <row r="699">
      <c r="Z699">
        <f>IF(A699="","",COUNTIF('40_RAP_DE'!$C:$C,A699))</f>
        <v/>
      </c>
      <c r="AA699">
        <f>IF(A699="","","JFT|"&amp;C699&amp;"|"&amp;D699&amp;"|"&amp;E699&amp;"L"&amp;F699)</f>
        <v/>
      </c>
    </row>
    <row r="700">
      <c r="Z700">
        <f>IF(A700="","",COUNTIF('40_RAP_DE'!$C:$C,A700))</f>
        <v/>
      </c>
      <c r="AA700">
        <f>IF(A700="","","JFT|"&amp;C700&amp;"|"&amp;D700&amp;"|"&amp;E700&amp;"L"&amp;F700)</f>
        <v/>
      </c>
    </row>
    <row r="701">
      <c r="Z701">
        <f>IF(A701="","",COUNTIF('40_RAP_DE'!$C:$C,A701))</f>
        <v/>
      </c>
      <c r="AA701">
        <f>IF(A701="","","JFT|"&amp;C701&amp;"|"&amp;D701&amp;"|"&amp;E701&amp;"L"&amp;F701)</f>
        <v/>
      </c>
    </row>
    <row r="702">
      <c r="Z702">
        <f>IF(A702="","",COUNTIF('40_RAP_DE'!$C:$C,A702))</f>
        <v/>
      </c>
      <c r="AA702">
        <f>IF(A702="","","JFT|"&amp;C702&amp;"|"&amp;D702&amp;"|"&amp;E702&amp;"L"&amp;F702)</f>
        <v/>
      </c>
    </row>
    <row r="703">
      <c r="Z703">
        <f>IF(A703="","",COUNTIF('40_RAP_DE'!$C:$C,A703))</f>
        <v/>
      </c>
      <c r="AA703">
        <f>IF(A703="","","JFT|"&amp;C703&amp;"|"&amp;D703&amp;"|"&amp;E703&amp;"L"&amp;F703)</f>
        <v/>
      </c>
    </row>
    <row r="704">
      <c r="Z704">
        <f>IF(A704="","",COUNTIF('40_RAP_DE'!$C:$C,A704))</f>
        <v/>
      </c>
      <c r="AA704">
        <f>IF(A704="","","JFT|"&amp;C704&amp;"|"&amp;D704&amp;"|"&amp;E704&amp;"L"&amp;F704)</f>
        <v/>
      </c>
    </row>
    <row r="705">
      <c r="Z705">
        <f>IF(A705="","",COUNTIF('40_RAP_DE'!$C:$C,A705))</f>
        <v/>
      </c>
      <c r="AA705">
        <f>IF(A705="","","JFT|"&amp;C705&amp;"|"&amp;D705&amp;"|"&amp;E705&amp;"L"&amp;F705)</f>
        <v/>
      </c>
    </row>
    <row r="706">
      <c r="Z706">
        <f>IF(A706="","",COUNTIF('40_RAP_DE'!$C:$C,A706))</f>
        <v/>
      </c>
      <c r="AA706">
        <f>IF(A706="","","JFT|"&amp;C706&amp;"|"&amp;D706&amp;"|"&amp;E706&amp;"L"&amp;F706)</f>
        <v/>
      </c>
    </row>
    <row r="707">
      <c r="Z707">
        <f>IF(A707="","",COUNTIF('40_RAP_DE'!$C:$C,A707))</f>
        <v/>
      </c>
      <c r="AA707">
        <f>IF(A707="","","JFT|"&amp;C707&amp;"|"&amp;D707&amp;"|"&amp;E707&amp;"L"&amp;F707)</f>
        <v/>
      </c>
    </row>
    <row r="708">
      <c r="Z708">
        <f>IF(A708="","",COUNTIF('40_RAP_DE'!$C:$C,A708))</f>
        <v/>
      </c>
      <c r="AA708">
        <f>IF(A708="","","JFT|"&amp;C708&amp;"|"&amp;D708&amp;"|"&amp;E708&amp;"L"&amp;F708)</f>
        <v/>
      </c>
    </row>
    <row r="709">
      <c r="Z709">
        <f>IF(A709="","",COUNTIF('40_RAP_DE'!$C:$C,A709))</f>
        <v/>
      </c>
      <c r="AA709">
        <f>IF(A709="","","JFT|"&amp;C709&amp;"|"&amp;D709&amp;"|"&amp;E709&amp;"L"&amp;F709)</f>
        <v/>
      </c>
    </row>
    <row r="710">
      <c r="Z710">
        <f>IF(A710="","",COUNTIF('40_RAP_DE'!$C:$C,A710))</f>
        <v/>
      </c>
      <c r="AA710">
        <f>IF(A710="","","JFT|"&amp;C710&amp;"|"&amp;D710&amp;"|"&amp;E710&amp;"L"&amp;F710)</f>
        <v/>
      </c>
    </row>
    <row r="711">
      <c r="Z711">
        <f>IF(A711="","",COUNTIF('40_RAP_DE'!$C:$C,A711))</f>
        <v/>
      </c>
      <c r="AA711">
        <f>IF(A711="","","JFT|"&amp;C711&amp;"|"&amp;D711&amp;"|"&amp;E711&amp;"L"&amp;F711)</f>
        <v/>
      </c>
    </row>
    <row r="712">
      <c r="Z712">
        <f>IF(A712="","",COUNTIF('40_RAP_DE'!$C:$C,A712))</f>
        <v/>
      </c>
      <c r="AA712">
        <f>IF(A712="","","JFT|"&amp;C712&amp;"|"&amp;D712&amp;"|"&amp;E712&amp;"L"&amp;F712)</f>
        <v/>
      </c>
    </row>
    <row r="713">
      <c r="Z713">
        <f>IF(A713="","",COUNTIF('40_RAP_DE'!$C:$C,A713))</f>
        <v/>
      </c>
      <c r="AA713">
        <f>IF(A713="","","JFT|"&amp;C713&amp;"|"&amp;D713&amp;"|"&amp;E713&amp;"L"&amp;F713)</f>
        <v/>
      </c>
    </row>
    <row r="714">
      <c r="Z714">
        <f>IF(A714="","",COUNTIF('40_RAP_DE'!$C:$C,A714))</f>
        <v/>
      </c>
      <c r="AA714">
        <f>IF(A714="","","JFT|"&amp;C714&amp;"|"&amp;D714&amp;"|"&amp;E714&amp;"L"&amp;F714)</f>
        <v/>
      </c>
    </row>
    <row r="715">
      <c r="Z715">
        <f>IF(A715="","",COUNTIF('40_RAP_DE'!$C:$C,A715))</f>
        <v/>
      </c>
      <c r="AA715">
        <f>IF(A715="","","JFT|"&amp;C715&amp;"|"&amp;D715&amp;"|"&amp;E715&amp;"L"&amp;F715)</f>
        <v/>
      </c>
    </row>
    <row r="716">
      <c r="Z716">
        <f>IF(A716="","",COUNTIF('40_RAP_DE'!$C:$C,A716))</f>
        <v/>
      </c>
      <c r="AA716">
        <f>IF(A716="","","JFT|"&amp;C716&amp;"|"&amp;D716&amp;"|"&amp;E716&amp;"L"&amp;F716)</f>
        <v/>
      </c>
    </row>
    <row r="717">
      <c r="Z717">
        <f>IF(A717="","",COUNTIF('40_RAP_DE'!$C:$C,A717))</f>
        <v/>
      </c>
      <c r="AA717">
        <f>IF(A717="","","JFT|"&amp;C717&amp;"|"&amp;D717&amp;"|"&amp;E717&amp;"L"&amp;F717)</f>
        <v/>
      </c>
    </row>
    <row r="718">
      <c r="Z718">
        <f>IF(A718="","",COUNTIF('40_RAP_DE'!$C:$C,A718))</f>
        <v/>
      </c>
      <c r="AA718">
        <f>IF(A718="","","JFT|"&amp;C718&amp;"|"&amp;D718&amp;"|"&amp;E718&amp;"L"&amp;F718)</f>
        <v/>
      </c>
    </row>
    <row r="719">
      <c r="Z719">
        <f>IF(A719="","",COUNTIF('40_RAP_DE'!$C:$C,A719))</f>
        <v/>
      </c>
      <c r="AA719">
        <f>IF(A719="","","JFT|"&amp;C719&amp;"|"&amp;D719&amp;"|"&amp;E719&amp;"L"&amp;F719)</f>
        <v/>
      </c>
    </row>
    <row r="720">
      <c r="Z720">
        <f>IF(A720="","",COUNTIF('40_RAP_DE'!$C:$C,A720))</f>
        <v/>
      </c>
      <c r="AA720">
        <f>IF(A720="","","JFT|"&amp;C720&amp;"|"&amp;D720&amp;"|"&amp;E720&amp;"L"&amp;F720)</f>
        <v/>
      </c>
    </row>
    <row r="721">
      <c r="Z721">
        <f>IF(A721="","",COUNTIF('40_RAP_DE'!$C:$C,A721))</f>
        <v/>
      </c>
      <c r="AA721">
        <f>IF(A721="","","JFT|"&amp;C721&amp;"|"&amp;D721&amp;"|"&amp;E721&amp;"L"&amp;F721)</f>
        <v/>
      </c>
    </row>
    <row r="722">
      <c r="Z722">
        <f>IF(A722="","",COUNTIF('40_RAP_DE'!$C:$C,A722))</f>
        <v/>
      </c>
      <c r="AA722">
        <f>IF(A722="","","JFT|"&amp;C722&amp;"|"&amp;D722&amp;"|"&amp;E722&amp;"L"&amp;F722)</f>
        <v/>
      </c>
    </row>
    <row r="723">
      <c r="Z723">
        <f>IF(A723="","",COUNTIF('40_RAP_DE'!$C:$C,A723))</f>
        <v/>
      </c>
      <c r="AA723">
        <f>IF(A723="","","JFT|"&amp;C723&amp;"|"&amp;D723&amp;"|"&amp;E723&amp;"L"&amp;F723)</f>
        <v/>
      </c>
    </row>
    <row r="724">
      <c r="Z724">
        <f>IF(A724="","",COUNTIF('40_RAP_DE'!$C:$C,A724))</f>
        <v/>
      </c>
      <c r="AA724">
        <f>IF(A724="","","JFT|"&amp;C724&amp;"|"&amp;D724&amp;"|"&amp;E724&amp;"L"&amp;F724)</f>
        <v/>
      </c>
    </row>
    <row r="725">
      <c r="Z725">
        <f>IF(A725="","",COUNTIF('40_RAP_DE'!$C:$C,A725))</f>
        <v/>
      </c>
      <c r="AA725">
        <f>IF(A725="","","JFT|"&amp;C725&amp;"|"&amp;D725&amp;"|"&amp;E725&amp;"L"&amp;F725)</f>
        <v/>
      </c>
    </row>
    <row r="726">
      <c r="Z726">
        <f>IF(A726="","",COUNTIF('40_RAP_DE'!$C:$C,A726))</f>
        <v/>
      </c>
      <c r="AA726">
        <f>IF(A726="","","JFT|"&amp;C726&amp;"|"&amp;D726&amp;"|"&amp;E726&amp;"L"&amp;F726)</f>
        <v/>
      </c>
    </row>
    <row r="727">
      <c r="Z727">
        <f>IF(A727="","",COUNTIF('40_RAP_DE'!$C:$C,A727))</f>
        <v/>
      </c>
      <c r="AA727">
        <f>IF(A727="","","JFT|"&amp;C727&amp;"|"&amp;D727&amp;"|"&amp;E727&amp;"L"&amp;F727)</f>
        <v/>
      </c>
    </row>
    <row r="728">
      <c r="Z728">
        <f>IF(A728="","",COUNTIF('40_RAP_DE'!$C:$C,A728))</f>
        <v/>
      </c>
      <c r="AA728">
        <f>IF(A728="","","JFT|"&amp;C728&amp;"|"&amp;D728&amp;"|"&amp;E728&amp;"L"&amp;F728)</f>
        <v/>
      </c>
    </row>
    <row r="729">
      <c r="Z729">
        <f>IF(A729="","",COUNTIF('40_RAP_DE'!$C:$C,A729))</f>
        <v/>
      </c>
      <c r="AA729">
        <f>IF(A729="","","JFT|"&amp;C729&amp;"|"&amp;D729&amp;"|"&amp;E729&amp;"L"&amp;F729)</f>
        <v/>
      </c>
    </row>
    <row r="730">
      <c r="Z730">
        <f>IF(A730="","",COUNTIF('40_RAP_DE'!$C:$C,A730))</f>
        <v/>
      </c>
      <c r="AA730">
        <f>IF(A730="","","JFT|"&amp;C730&amp;"|"&amp;D730&amp;"|"&amp;E730&amp;"L"&amp;F730)</f>
        <v/>
      </c>
    </row>
    <row r="731">
      <c r="Z731">
        <f>IF(A731="","",COUNTIF('40_RAP_DE'!$C:$C,A731))</f>
        <v/>
      </c>
      <c r="AA731">
        <f>IF(A731="","","JFT|"&amp;C731&amp;"|"&amp;D731&amp;"|"&amp;E731&amp;"L"&amp;F731)</f>
        <v/>
      </c>
    </row>
    <row r="732">
      <c r="Z732">
        <f>IF(A732="","",COUNTIF('40_RAP_DE'!$C:$C,A732))</f>
        <v/>
      </c>
      <c r="AA732">
        <f>IF(A732="","","JFT|"&amp;C732&amp;"|"&amp;D732&amp;"|"&amp;E732&amp;"L"&amp;F732)</f>
        <v/>
      </c>
    </row>
    <row r="733">
      <c r="Z733">
        <f>IF(A733="","",COUNTIF('40_RAP_DE'!$C:$C,A733))</f>
        <v/>
      </c>
      <c r="AA733">
        <f>IF(A733="","","JFT|"&amp;C733&amp;"|"&amp;D733&amp;"|"&amp;E733&amp;"L"&amp;F733)</f>
        <v/>
      </c>
    </row>
    <row r="734">
      <c r="Z734">
        <f>IF(A734="","",COUNTIF('40_RAP_DE'!$C:$C,A734))</f>
        <v/>
      </c>
      <c r="AA734">
        <f>IF(A734="","","JFT|"&amp;C734&amp;"|"&amp;D734&amp;"|"&amp;E734&amp;"L"&amp;F734)</f>
        <v/>
      </c>
    </row>
    <row r="735">
      <c r="Z735">
        <f>IF(A735="","",COUNTIF('40_RAP_DE'!$C:$C,A735))</f>
        <v/>
      </c>
      <c r="AA735">
        <f>IF(A735="","","JFT|"&amp;C735&amp;"|"&amp;D735&amp;"|"&amp;E735&amp;"L"&amp;F735)</f>
        <v/>
      </c>
    </row>
    <row r="736">
      <c r="Z736">
        <f>IF(A736="","",COUNTIF('40_RAP_DE'!$C:$C,A736))</f>
        <v/>
      </c>
      <c r="AA736">
        <f>IF(A736="","","JFT|"&amp;C736&amp;"|"&amp;D736&amp;"|"&amp;E736&amp;"L"&amp;F736)</f>
        <v/>
      </c>
    </row>
    <row r="737">
      <c r="Z737">
        <f>IF(A737="","",COUNTIF('40_RAP_DE'!$C:$C,A737))</f>
        <v/>
      </c>
      <c r="AA737">
        <f>IF(A737="","","JFT|"&amp;C737&amp;"|"&amp;D737&amp;"|"&amp;E737&amp;"L"&amp;F737)</f>
        <v/>
      </c>
    </row>
    <row r="738">
      <c r="Z738">
        <f>IF(A738="","",COUNTIF('40_RAP_DE'!$C:$C,A738))</f>
        <v/>
      </c>
      <c r="AA738">
        <f>IF(A738="","","JFT|"&amp;C738&amp;"|"&amp;D738&amp;"|"&amp;E738&amp;"L"&amp;F738)</f>
        <v/>
      </c>
    </row>
    <row r="739">
      <c r="Z739">
        <f>IF(A739="","",COUNTIF('40_RAP_DE'!$C:$C,A739))</f>
        <v/>
      </c>
      <c r="AA739">
        <f>IF(A739="","","JFT|"&amp;C739&amp;"|"&amp;D739&amp;"|"&amp;E739&amp;"L"&amp;F739)</f>
        <v/>
      </c>
    </row>
    <row r="740">
      <c r="Z740">
        <f>IF(A740="","",COUNTIF('40_RAP_DE'!$C:$C,A740))</f>
        <v/>
      </c>
      <c r="AA740">
        <f>IF(A740="","","JFT|"&amp;C740&amp;"|"&amp;D740&amp;"|"&amp;E740&amp;"L"&amp;F740)</f>
        <v/>
      </c>
    </row>
    <row r="741">
      <c r="Z741">
        <f>IF(A741="","",COUNTIF('40_RAP_DE'!$C:$C,A741))</f>
        <v/>
      </c>
      <c r="AA741">
        <f>IF(A741="","","JFT|"&amp;C741&amp;"|"&amp;D741&amp;"|"&amp;E741&amp;"L"&amp;F741)</f>
        <v/>
      </c>
    </row>
    <row r="742">
      <c r="Z742">
        <f>IF(A742="","",COUNTIF('40_RAP_DE'!$C:$C,A742))</f>
        <v/>
      </c>
      <c r="AA742">
        <f>IF(A742="","","JFT|"&amp;C742&amp;"|"&amp;D742&amp;"|"&amp;E742&amp;"L"&amp;F742)</f>
        <v/>
      </c>
    </row>
    <row r="743">
      <c r="Z743">
        <f>IF(A743="","",COUNTIF('40_RAP_DE'!$C:$C,A743))</f>
        <v/>
      </c>
      <c r="AA743">
        <f>IF(A743="","","JFT|"&amp;C743&amp;"|"&amp;D743&amp;"|"&amp;E743&amp;"L"&amp;F743)</f>
        <v/>
      </c>
    </row>
    <row r="744">
      <c r="Z744">
        <f>IF(A744="","",COUNTIF('40_RAP_DE'!$C:$C,A744))</f>
        <v/>
      </c>
      <c r="AA744">
        <f>IF(A744="","","JFT|"&amp;C744&amp;"|"&amp;D744&amp;"|"&amp;E744&amp;"L"&amp;F744)</f>
        <v/>
      </c>
    </row>
    <row r="745">
      <c r="Z745">
        <f>IF(A745="","",COUNTIF('40_RAP_DE'!$C:$C,A745))</f>
        <v/>
      </c>
      <c r="AA745">
        <f>IF(A745="","","JFT|"&amp;C745&amp;"|"&amp;D745&amp;"|"&amp;E745&amp;"L"&amp;F745)</f>
        <v/>
      </c>
    </row>
    <row r="746">
      <c r="Z746">
        <f>IF(A746="","",COUNTIF('40_RAP_DE'!$C:$C,A746))</f>
        <v/>
      </c>
      <c r="AA746">
        <f>IF(A746="","","JFT|"&amp;C746&amp;"|"&amp;D746&amp;"|"&amp;E746&amp;"L"&amp;F746)</f>
        <v/>
      </c>
    </row>
    <row r="747">
      <c r="Z747">
        <f>IF(A747="","",COUNTIF('40_RAP_DE'!$C:$C,A747))</f>
        <v/>
      </c>
      <c r="AA747">
        <f>IF(A747="","","JFT|"&amp;C747&amp;"|"&amp;D747&amp;"|"&amp;E747&amp;"L"&amp;F747)</f>
        <v/>
      </c>
    </row>
    <row r="748">
      <c r="Z748">
        <f>IF(A748="","",COUNTIF('40_RAP_DE'!$C:$C,A748))</f>
        <v/>
      </c>
      <c r="AA748">
        <f>IF(A748="","","JFT|"&amp;C748&amp;"|"&amp;D748&amp;"|"&amp;E748&amp;"L"&amp;F748)</f>
        <v/>
      </c>
    </row>
    <row r="749">
      <c r="Z749">
        <f>IF(A749="","",COUNTIF('40_RAP_DE'!$C:$C,A749))</f>
        <v/>
      </c>
      <c r="AA749">
        <f>IF(A749="","","JFT|"&amp;C749&amp;"|"&amp;D749&amp;"|"&amp;E749&amp;"L"&amp;F749)</f>
        <v/>
      </c>
    </row>
    <row r="750">
      <c r="Z750">
        <f>IF(A750="","",COUNTIF('40_RAP_DE'!$C:$C,A750))</f>
        <v/>
      </c>
      <c r="AA750">
        <f>IF(A750="","","JFT|"&amp;C750&amp;"|"&amp;D750&amp;"|"&amp;E750&amp;"L"&amp;F750)</f>
        <v/>
      </c>
    </row>
    <row r="751">
      <c r="Z751">
        <f>IF(A751="","",COUNTIF('40_RAP_DE'!$C:$C,A751))</f>
        <v/>
      </c>
      <c r="AA751">
        <f>IF(A751="","","JFT|"&amp;C751&amp;"|"&amp;D751&amp;"|"&amp;E751&amp;"L"&amp;F751)</f>
        <v/>
      </c>
    </row>
    <row r="752">
      <c r="Z752">
        <f>IF(A752="","",COUNTIF('40_RAP_DE'!$C:$C,A752))</f>
        <v/>
      </c>
      <c r="AA752">
        <f>IF(A752="","","JFT|"&amp;C752&amp;"|"&amp;D752&amp;"|"&amp;E752&amp;"L"&amp;F752)</f>
        <v/>
      </c>
    </row>
    <row r="753">
      <c r="Z753">
        <f>IF(A753="","",COUNTIF('40_RAP_DE'!$C:$C,A753))</f>
        <v/>
      </c>
      <c r="AA753">
        <f>IF(A753="","","JFT|"&amp;C753&amp;"|"&amp;D753&amp;"|"&amp;E753&amp;"L"&amp;F753)</f>
        <v/>
      </c>
    </row>
    <row r="754">
      <c r="Z754">
        <f>IF(A754="","",COUNTIF('40_RAP_DE'!$C:$C,A754))</f>
        <v/>
      </c>
      <c r="AA754">
        <f>IF(A754="","","JFT|"&amp;C754&amp;"|"&amp;D754&amp;"|"&amp;E754&amp;"L"&amp;F754)</f>
        <v/>
      </c>
    </row>
    <row r="755">
      <c r="Z755">
        <f>IF(A755="","",COUNTIF('40_RAP_DE'!$C:$C,A755))</f>
        <v/>
      </c>
      <c r="AA755">
        <f>IF(A755="","","JFT|"&amp;C755&amp;"|"&amp;D755&amp;"|"&amp;E755&amp;"L"&amp;F755)</f>
        <v/>
      </c>
    </row>
    <row r="756">
      <c r="Z756">
        <f>IF(A756="","",COUNTIF('40_RAP_DE'!$C:$C,A756))</f>
        <v/>
      </c>
      <c r="AA756">
        <f>IF(A756="","","JFT|"&amp;C756&amp;"|"&amp;D756&amp;"|"&amp;E756&amp;"L"&amp;F756)</f>
        <v/>
      </c>
    </row>
    <row r="757">
      <c r="Z757">
        <f>IF(A757="","",COUNTIF('40_RAP_DE'!$C:$C,A757))</f>
        <v/>
      </c>
      <c r="AA757">
        <f>IF(A757="","","JFT|"&amp;C757&amp;"|"&amp;D757&amp;"|"&amp;E757&amp;"L"&amp;F757)</f>
        <v/>
      </c>
    </row>
    <row r="758">
      <c r="Z758">
        <f>IF(A758="","",COUNTIF('40_RAP_DE'!$C:$C,A758))</f>
        <v/>
      </c>
      <c r="AA758">
        <f>IF(A758="","","JFT|"&amp;C758&amp;"|"&amp;D758&amp;"|"&amp;E758&amp;"L"&amp;F758)</f>
        <v/>
      </c>
    </row>
    <row r="759">
      <c r="Z759">
        <f>IF(A759="","",COUNTIF('40_RAP_DE'!$C:$C,A759))</f>
        <v/>
      </c>
      <c r="AA759">
        <f>IF(A759="","","JFT|"&amp;C759&amp;"|"&amp;D759&amp;"|"&amp;E759&amp;"L"&amp;F759)</f>
        <v/>
      </c>
    </row>
    <row r="760">
      <c r="Z760">
        <f>IF(A760="","",COUNTIF('40_RAP_DE'!$C:$C,A760))</f>
        <v/>
      </c>
      <c r="AA760">
        <f>IF(A760="","","JFT|"&amp;C760&amp;"|"&amp;D760&amp;"|"&amp;E760&amp;"L"&amp;F760)</f>
        <v/>
      </c>
    </row>
    <row r="761">
      <c r="Z761">
        <f>IF(A761="","",COUNTIF('40_RAP_DE'!$C:$C,A761))</f>
        <v/>
      </c>
      <c r="AA761">
        <f>IF(A761="","","JFT|"&amp;C761&amp;"|"&amp;D761&amp;"|"&amp;E761&amp;"L"&amp;F761)</f>
        <v/>
      </c>
    </row>
    <row r="762">
      <c r="Z762">
        <f>IF(A762="","",COUNTIF('40_RAP_DE'!$C:$C,A762))</f>
        <v/>
      </c>
      <c r="AA762">
        <f>IF(A762="","","JFT|"&amp;C762&amp;"|"&amp;D762&amp;"|"&amp;E762&amp;"L"&amp;F762)</f>
        <v/>
      </c>
    </row>
    <row r="763">
      <c r="Z763">
        <f>IF(A763="","",COUNTIF('40_RAP_DE'!$C:$C,A763))</f>
        <v/>
      </c>
      <c r="AA763">
        <f>IF(A763="","","JFT|"&amp;C763&amp;"|"&amp;D763&amp;"|"&amp;E763&amp;"L"&amp;F763)</f>
        <v/>
      </c>
    </row>
    <row r="764">
      <c r="Z764">
        <f>IF(A764="","",COUNTIF('40_RAP_DE'!$C:$C,A764))</f>
        <v/>
      </c>
      <c r="AA764">
        <f>IF(A764="","","JFT|"&amp;C764&amp;"|"&amp;D764&amp;"|"&amp;E764&amp;"L"&amp;F764)</f>
        <v/>
      </c>
    </row>
    <row r="765">
      <c r="Z765">
        <f>IF(A765="","",COUNTIF('40_RAP_DE'!$C:$C,A765))</f>
        <v/>
      </c>
      <c r="AA765">
        <f>IF(A765="","","JFT|"&amp;C765&amp;"|"&amp;D765&amp;"|"&amp;E765&amp;"L"&amp;F765)</f>
        <v/>
      </c>
    </row>
    <row r="766">
      <c r="Z766">
        <f>IF(A766="","",COUNTIF('40_RAP_DE'!$C:$C,A766))</f>
        <v/>
      </c>
      <c r="AA766">
        <f>IF(A766="","","JFT|"&amp;C766&amp;"|"&amp;D766&amp;"|"&amp;E766&amp;"L"&amp;F766)</f>
        <v/>
      </c>
    </row>
    <row r="767">
      <c r="Z767">
        <f>IF(A767="","",COUNTIF('40_RAP_DE'!$C:$C,A767))</f>
        <v/>
      </c>
      <c r="AA767">
        <f>IF(A767="","","JFT|"&amp;C767&amp;"|"&amp;D767&amp;"|"&amp;E767&amp;"L"&amp;F767)</f>
        <v/>
      </c>
    </row>
    <row r="768">
      <c r="Z768">
        <f>IF(A768="","",COUNTIF('40_RAP_DE'!$C:$C,A768))</f>
        <v/>
      </c>
      <c r="AA768">
        <f>IF(A768="","","JFT|"&amp;C768&amp;"|"&amp;D768&amp;"|"&amp;E768&amp;"L"&amp;F768)</f>
        <v/>
      </c>
    </row>
    <row r="769">
      <c r="Z769">
        <f>IF(A769="","",COUNTIF('40_RAP_DE'!$C:$C,A769))</f>
        <v/>
      </c>
      <c r="AA769">
        <f>IF(A769="","","JFT|"&amp;C769&amp;"|"&amp;D769&amp;"|"&amp;E769&amp;"L"&amp;F769)</f>
        <v/>
      </c>
    </row>
    <row r="770">
      <c r="Z770">
        <f>IF(A770="","",COUNTIF('40_RAP_DE'!$C:$C,A770))</f>
        <v/>
      </c>
      <c r="AA770">
        <f>IF(A770="","","JFT|"&amp;C770&amp;"|"&amp;D770&amp;"|"&amp;E770&amp;"L"&amp;F770)</f>
        <v/>
      </c>
    </row>
    <row r="771">
      <c r="Z771">
        <f>IF(A771="","",COUNTIF('40_RAP_DE'!$C:$C,A771))</f>
        <v/>
      </c>
      <c r="AA771">
        <f>IF(A771="","","JFT|"&amp;C771&amp;"|"&amp;D771&amp;"|"&amp;E771&amp;"L"&amp;F771)</f>
        <v/>
      </c>
    </row>
    <row r="772">
      <c r="Z772">
        <f>IF(A772="","",COUNTIF('40_RAP_DE'!$C:$C,A772))</f>
        <v/>
      </c>
      <c r="AA772">
        <f>IF(A772="","","JFT|"&amp;C772&amp;"|"&amp;D772&amp;"|"&amp;E772&amp;"L"&amp;F772)</f>
        <v/>
      </c>
    </row>
    <row r="773">
      <c r="Z773">
        <f>IF(A773="","",COUNTIF('40_RAP_DE'!$C:$C,A773))</f>
        <v/>
      </c>
      <c r="AA773">
        <f>IF(A773="","","JFT|"&amp;C773&amp;"|"&amp;D773&amp;"|"&amp;E773&amp;"L"&amp;F773)</f>
        <v/>
      </c>
    </row>
    <row r="774">
      <c r="Z774">
        <f>IF(A774="","",COUNTIF('40_RAP_DE'!$C:$C,A774))</f>
        <v/>
      </c>
      <c r="AA774">
        <f>IF(A774="","","JFT|"&amp;C774&amp;"|"&amp;D774&amp;"|"&amp;E774&amp;"L"&amp;F774)</f>
        <v/>
      </c>
    </row>
    <row r="775">
      <c r="Z775">
        <f>IF(A775="","",COUNTIF('40_RAP_DE'!$C:$C,A775))</f>
        <v/>
      </c>
      <c r="AA775">
        <f>IF(A775="","","JFT|"&amp;C775&amp;"|"&amp;D775&amp;"|"&amp;E775&amp;"L"&amp;F775)</f>
        <v/>
      </c>
    </row>
    <row r="776">
      <c r="Z776">
        <f>IF(A776="","",COUNTIF('40_RAP_DE'!$C:$C,A776))</f>
        <v/>
      </c>
      <c r="AA776">
        <f>IF(A776="","","JFT|"&amp;C776&amp;"|"&amp;D776&amp;"|"&amp;E776&amp;"L"&amp;F776)</f>
        <v/>
      </c>
    </row>
    <row r="777">
      <c r="Z777">
        <f>IF(A777="","",COUNTIF('40_RAP_DE'!$C:$C,A777))</f>
        <v/>
      </c>
      <c r="AA777">
        <f>IF(A777="","","JFT|"&amp;C777&amp;"|"&amp;D777&amp;"|"&amp;E777&amp;"L"&amp;F777)</f>
        <v/>
      </c>
    </row>
    <row r="778">
      <c r="Z778">
        <f>IF(A778="","",COUNTIF('40_RAP_DE'!$C:$C,A778))</f>
        <v/>
      </c>
      <c r="AA778">
        <f>IF(A778="","","JFT|"&amp;C778&amp;"|"&amp;D778&amp;"|"&amp;E778&amp;"L"&amp;F778)</f>
        <v/>
      </c>
    </row>
    <row r="779">
      <c r="Z779">
        <f>IF(A779="","",COUNTIF('40_RAP_DE'!$C:$C,A779))</f>
        <v/>
      </c>
      <c r="AA779">
        <f>IF(A779="","","JFT|"&amp;C779&amp;"|"&amp;D779&amp;"|"&amp;E779&amp;"L"&amp;F779)</f>
        <v/>
      </c>
    </row>
    <row r="780">
      <c r="Z780">
        <f>IF(A780="","",COUNTIF('40_RAP_DE'!$C:$C,A780))</f>
        <v/>
      </c>
      <c r="AA780">
        <f>IF(A780="","","JFT|"&amp;C780&amp;"|"&amp;D780&amp;"|"&amp;E780&amp;"L"&amp;F780)</f>
        <v/>
      </c>
    </row>
    <row r="781">
      <c r="Z781">
        <f>IF(A781="","",COUNTIF('40_RAP_DE'!$C:$C,A781))</f>
        <v/>
      </c>
      <c r="AA781">
        <f>IF(A781="","","JFT|"&amp;C781&amp;"|"&amp;D781&amp;"|"&amp;E781&amp;"L"&amp;F781)</f>
        <v/>
      </c>
    </row>
    <row r="782">
      <c r="Z782">
        <f>IF(A782="","",COUNTIF('40_RAP_DE'!$C:$C,A782))</f>
        <v/>
      </c>
      <c r="AA782">
        <f>IF(A782="","","JFT|"&amp;C782&amp;"|"&amp;D782&amp;"|"&amp;E782&amp;"L"&amp;F782)</f>
        <v/>
      </c>
    </row>
    <row r="783">
      <c r="Z783">
        <f>IF(A783="","",COUNTIF('40_RAP_DE'!$C:$C,A783))</f>
        <v/>
      </c>
      <c r="AA783">
        <f>IF(A783="","","JFT|"&amp;C783&amp;"|"&amp;D783&amp;"|"&amp;E783&amp;"L"&amp;F783)</f>
        <v/>
      </c>
    </row>
    <row r="784">
      <c r="Z784">
        <f>IF(A784="","",COUNTIF('40_RAP_DE'!$C:$C,A784))</f>
        <v/>
      </c>
      <c r="AA784">
        <f>IF(A784="","","JFT|"&amp;C784&amp;"|"&amp;D784&amp;"|"&amp;E784&amp;"L"&amp;F784)</f>
        <v/>
      </c>
    </row>
    <row r="785">
      <c r="Z785">
        <f>IF(A785="","",COUNTIF('40_RAP_DE'!$C:$C,A785))</f>
        <v/>
      </c>
      <c r="AA785">
        <f>IF(A785="","","JFT|"&amp;C785&amp;"|"&amp;D785&amp;"|"&amp;E785&amp;"L"&amp;F785)</f>
        <v/>
      </c>
    </row>
    <row r="786">
      <c r="Z786">
        <f>IF(A786="","",COUNTIF('40_RAP_DE'!$C:$C,A786))</f>
        <v/>
      </c>
      <c r="AA786">
        <f>IF(A786="","","JFT|"&amp;C786&amp;"|"&amp;D786&amp;"|"&amp;E786&amp;"L"&amp;F786)</f>
        <v/>
      </c>
    </row>
    <row r="787">
      <c r="Z787">
        <f>IF(A787="","",COUNTIF('40_RAP_DE'!$C:$C,A787))</f>
        <v/>
      </c>
      <c r="AA787">
        <f>IF(A787="","","JFT|"&amp;C787&amp;"|"&amp;D787&amp;"|"&amp;E787&amp;"L"&amp;F787)</f>
        <v/>
      </c>
    </row>
    <row r="788">
      <c r="Z788">
        <f>IF(A788="","",COUNTIF('40_RAP_DE'!$C:$C,A788))</f>
        <v/>
      </c>
      <c r="AA788">
        <f>IF(A788="","","JFT|"&amp;C788&amp;"|"&amp;D788&amp;"|"&amp;E788&amp;"L"&amp;F788)</f>
        <v/>
      </c>
    </row>
    <row r="789">
      <c r="Z789">
        <f>IF(A789="","",COUNTIF('40_RAP_DE'!$C:$C,A789))</f>
        <v/>
      </c>
      <c r="AA789">
        <f>IF(A789="","","JFT|"&amp;C789&amp;"|"&amp;D789&amp;"|"&amp;E789&amp;"L"&amp;F789)</f>
        <v/>
      </c>
    </row>
    <row r="790">
      <c r="Z790">
        <f>IF(A790="","",COUNTIF('40_RAP_DE'!$C:$C,A790))</f>
        <v/>
      </c>
      <c r="AA790">
        <f>IF(A790="","","JFT|"&amp;C790&amp;"|"&amp;D790&amp;"|"&amp;E790&amp;"L"&amp;F790)</f>
        <v/>
      </c>
    </row>
    <row r="791">
      <c r="Z791">
        <f>IF(A791="","",COUNTIF('40_RAP_DE'!$C:$C,A791))</f>
        <v/>
      </c>
      <c r="AA791">
        <f>IF(A791="","","JFT|"&amp;C791&amp;"|"&amp;D791&amp;"|"&amp;E791&amp;"L"&amp;F791)</f>
        <v/>
      </c>
    </row>
    <row r="792">
      <c r="Z792">
        <f>IF(A792="","",COUNTIF('40_RAP_DE'!$C:$C,A792))</f>
        <v/>
      </c>
      <c r="AA792">
        <f>IF(A792="","","JFT|"&amp;C792&amp;"|"&amp;D792&amp;"|"&amp;E792&amp;"L"&amp;F792)</f>
        <v/>
      </c>
    </row>
    <row r="793">
      <c r="Z793">
        <f>IF(A793="","",COUNTIF('40_RAP_DE'!$C:$C,A793))</f>
        <v/>
      </c>
      <c r="AA793">
        <f>IF(A793="","","JFT|"&amp;C793&amp;"|"&amp;D793&amp;"|"&amp;E793&amp;"L"&amp;F793)</f>
        <v/>
      </c>
    </row>
    <row r="794">
      <c r="Z794">
        <f>IF(A794="","",COUNTIF('40_RAP_DE'!$C:$C,A794))</f>
        <v/>
      </c>
      <c r="AA794">
        <f>IF(A794="","","JFT|"&amp;C794&amp;"|"&amp;D794&amp;"|"&amp;E794&amp;"L"&amp;F794)</f>
        <v/>
      </c>
    </row>
    <row r="795">
      <c r="Z795">
        <f>IF(A795="","",COUNTIF('40_RAP_DE'!$C:$C,A795))</f>
        <v/>
      </c>
      <c r="AA795">
        <f>IF(A795="","","JFT|"&amp;C795&amp;"|"&amp;D795&amp;"|"&amp;E795&amp;"L"&amp;F795)</f>
        <v/>
      </c>
    </row>
    <row r="796">
      <c r="Z796">
        <f>IF(A796="","",COUNTIF('40_RAP_DE'!$C:$C,A796))</f>
        <v/>
      </c>
      <c r="AA796">
        <f>IF(A796="","","JFT|"&amp;C796&amp;"|"&amp;D796&amp;"|"&amp;E796&amp;"L"&amp;F796)</f>
        <v/>
      </c>
    </row>
    <row r="797">
      <c r="Z797">
        <f>IF(A797="","",COUNTIF('40_RAP_DE'!$C:$C,A797))</f>
        <v/>
      </c>
      <c r="AA797">
        <f>IF(A797="","","JFT|"&amp;C797&amp;"|"&amp;D797&amp;"|"&amp;E797&amp;"L"&amp;F797)</f>
        <v/>
      </c>
    </row>
    <row r="798">
      <c r="Z798">
        <f>IF(A798="","",COUNTIF('40_RAP_DE'!$C:$C,A798))</f>
        <v/>
      </c>
      <c r="AA798">
        <f>IF(A798="","","JFT|"&amp;C798&amp;"|"&amp;D798&amp;"|"&amp;E798&amp;"L"&amp;F798)</f>
        <v/>
      </c>
    </row>
    <row r="799">
      <c r="Z799">
        <f>IF(A799="","",COUNTIF('40_RAP_DE'!$C:$C,A799))</f>
        <v/>
      </c>
      <c r="AA799">
        <f>IF(A799="","","JFT|"&amp;C799&amp;"|"&amp;D799&amp;"|"&amp;E799&amp;"L"&amp;F799)</f>
        <v/>
      </c>
    </row>
    <row r="800">
      <c r="Z800">
        <f>IF(A800="","",COUNTIF('40_RAP_DE'!$C:$C,A800))</f>
        <v/>
      </c>
      <c r="AA800">
        <f>IF(A800="","","JFT|"&amp;C800&amp;"|"&amp;D800&amp;"|"&amp;E800&amp;"L"&amp;F800)</f>
        <v/>
      </c>
    </row>
    <row r="801">
      <c r="Z801">
        <f>IF(A801="","",COUNTIF('40_RAP_DE'!$C:$C,A801))</f>
        <v/>
      </c>
      <c r="AA801">
        <f>IF(A801="","","JFT|"&amp;C801&amp;"|"&amp;D801&amp;"|"&amp;E801&amp;"L"&amp;F801)</f>
        <v/>
      </c>
    </row>
    <row r="802">
      <c r="Z802">
        <f>IF(A802="","",COUNTIF('40_RAP_DE'!$C:$C,A802))</f>
        <v/>
      </c>
      <c r="AA802">
        <f>IF(A802="","","JFT|"&amp;C802&amp;"|"&amp;D802&amp;"|"&amp;E802&amp;"L"&amp;F802)</f>
        <v/>
      </c>
    </row>
    <row r="803">
      <c r="Z803">
        <f>IF(A803="","",COUNTIF('40_RAP_DE'!$C:$C,A803))</f>
        <v/>
      </c>
      <c r="AA803">
        <f>IF(A803="","","JFT|"&amp;C803&amp;"|"&amp;D803&amp;"|"&amp;E803&amp;"L"&amp;F803)</f>
        <v/>
      </c>
    </row>
    <row r="804">
      <c r="Z804">
        <f>IF(A804="","",COUNTIF('40_RAP_DE'!$C:$C,A804))</f>
        <v/>
      </c>
      <c r="AA804">
        <f>IF(A804="","","JFT|"&amp;C804&amp;"|"&amp;D804&amp;"|"&amp;E804&amp;"L"&amp;F804)</f>
        <v/>
      </c>
    </row>
    <row r="805">
      <c r="Z805">
        <f>IF(A805="","",COUNTIF('40_RAP_DE'!$C:$C,A805))</f>
        <v/>
      </c>
      <c r="AA805">
        <f>IF(A805="","","JFT|"&amp;C805&amp;"|"&amp;D805&amp;"|"&amp;E805&amp;"L"&amp;F805)</f>
        <v/>
      </c>
    </row>
    <row r="806">
      <c r="Z806">
        <f>IF(A806="","",COUNTIF('40_RAP_DE'!$C:$C,A806))</f>
        <v/>
      </c>
      <c r="AA806">
        <f>IF(A806="","","JFT|"&amp;C806&amp;"|"&amp;D806&amp;"|"&amp;E806&amp;"L"&amp;F806)</f>
        <v/>
      </c>
    </row>
    <row r="807">
      <c r="Z807">
        <f>IF(A807="","",COUNTIF('40_RAP_DE'!$C:$C,A807))</f>
        <v/>
      </c>
      <c r="AA807">
        <f>IF(A807="","","JFT|"&amp;C807&amp;"|"&amp;D807&amp;"|"&amp;E807&amp;"L"&amp;F807)</f>
        <v/>
      </c>
    </row>
    <row r="808">
      <c r="Z808">
        <f>IF(A808="","",COUNTIF('40_RAP_DE'!$C:$C,A808))</f>
        <v/>
      </c>
      <c r="AA808">
        <f>IF(A808="","","JFT|"&amp;C808&amp;"|"&amp;D808&amp;"|"&amp;E808&amp;"L"&amp;F808)</f>
        <v/>
      </c>
    </row>
    <row r="809">
      <c r="Z809">
        <f>IF(A809="","",COUNTIF('40_RAP_DE'!$C:$C,A809))</f>
        <v/>
      </c>
      <c r="AA809">
        <f>IF(A809="","","JFT|"&amp;C809&amp;"|"&amp;D809&amp;"|"&amp;E809&amp;"L"&amp;F809)</f>
        <v/>
      </c>
    </row>
    <row r="810">
      <c r="Z810">
        <f>IF(A810="","",COUNTIF('40_RAP_DE'!$C:$C,A810))</f>
        <v/>
      </c>
      <c r="AA810">
        <f>IF(A810="","","JFT|"&amp;C810&amp;"|"&amp;D810&amp;"|"&amp;E810&amp;"L"&amp;F810)</f>
        <v/>
      </c>
    </row>
    <row r="811">
      <c r="Z811">
        <f>IF(A811="","",COUNTIF('40_RAP_DE'!$C:$C,A811))</f>
        <v/>
      </c>
      <c r="AA811">
        <f>IF(A811="","","JFT|"&amp;C811&amp;"|"&amp;D811&amp;"|"&amp;E811&amp;"L"&amp;F811)</f>
        <v/>
      </c>
    </row>
    <row r="812">
      <c r="Z812">
        <f>IF(A812="","",COUNTIF('40_RAP_DE'!$C:$C,A812))</f>
        <v/>
      </c>
      <c r="AA812">
        <f>IF(A812="","","JFT|"&amp;C812&amp;"|"&amp;D812&amp;"|"&amp;E812&amp;"L"&amp;F812)</f>
        <v/>
      </c>
    </row>
    <row r="813">
      <c r="Z813">
        <f>IF(A813="","",COUNTIF('40_RAP_DE'!$C:$C,A813))</f>
        <v/>
      </c>
      <c r="AA813">
        <f>IF(A813="","","JFT|"&amp;C813&amp;"|"&amp;D813&amp;"|"&amp;E813&amp;"L"&amp;F813)</f>
        <v/>
      </c>
    </row>
    <row r="814">
      <c r="Z814">
        <f>IF(A814="","",COUNTIF('40_RAP_DE'!$C:$C,A814))</f>
        <v/>
      </c>
      <c r="AA814">
        <f>IF(A814="","","JFT|"&amp;C814&amp;"|"&amp;D814&amp;"|"&amp;E814&amp;"L"&amp;F814)</f>
        <v/>
      </c>
    </row>
    <row r="815">
      <c r="Z815">
        <f>IF(A815="","",COUNTIF('40_RAP_DE'!$C:$C,A815))</f>
        <v/>
      </c>
      <c r="AA815">
        <f>IF(A815="","","JFT|"&amp;C815&amp;"|"&amp;D815&amp;"|"&amp;E815&amp;"L"&amp;F815)</f>
        <v/>
      </c>
    </row>
    <row r="816">
      <c r="Z816">
        <f>IF(A816="","",COUNTIF('40_RAP_DE'!$C:$C,A816))</f>
        <v/>
      </c>
      <c r="AA816">
        <f>IF(A816="","","JFT|"&amp;C816&amp;"|"&amp;D816&amp;"|"&amp;E816&amp;"L"&amp;F816)</f>
        <v/>
      </c>
    </row>
    <row r="817">
      <c r="Z817">
        <f>IF(A817="","",COUNTIF('40_RAP_DE'!$C:$C,A817))</f>
        <v/>
      </c>
      <c r="AA817">
        <f>IF(A817="","","JFT|"&amp;C817&amp;"|"&amp;D817&amp;"|"&amp;E817&amp;"L"&amp;F817)</f>
        <v/>
      </c>
    </row>
    <row r="818">
      <c r="Z818">
        <f>IF(A818="","",COUNTIF('40_RAP_DE'!$C:$C,A818))</f>
        <v/>
      </c>
      <c r="AA818">
        <f>IF(A818="","","JFT|"&amp;C818&amp;"|"&amp;D818&amp;"|"&amp;E818&amp;"L"&amp;F818)</f>
        <v/>
      </c>
    </row>
    <row r="819">
      <c r="Z819">
        <f>IF(A819="","",COUNTIF('40_RAP_DE'!$C:$C,A819))</f>
        <v/>
      </c>
      <c r="AA819">
        <f>IF(A819="","","JFT|"&amp;C819&amp;"|"&amp;D819&amp;"|"&amp;E819&amp;"L"&amp;F819)</f>
        <v/>
      </c>
    </row>
    <row r="820">
      <c r="Z820">
        <f>IF(A820="","",COUNTIF('40_RAP_DE'!$C:$C,A820))</f>
        <v/>
      </c>
      <c r="AA820">
        <f>IF(A820="","","JFT|"&amp;C820&amp;"|"&amp;D820&amp;"|"&amp;E820&amp;"L"&amp;F820)</f>
        <v/>
      </c>
    </row>
    <row r="821">
      <c r="Z821">
        <f>IF(A821="","",COUNTIF('40_RAP_DE'!$C:$C,A821))</f>
        <v/>
      </c>
      <c r="AA821">
        <f>IF(A821="","","JFT|"&amp;C821&amp;"|"&amp;D821&amp;"|"&amp;E821&amp;"L"&amp;F821)</f>
        <v/>
      </c>
    </row>
    <row r="822">
      <c r="Z822">
        <f>IF(A822="","",COUNTIF('40_RAP_DE'!$C:$C,A822))</f>
        <v/>
      </c>
      <c r="AA822">
        <f>IF(A822="","","JFT|"&amp;C822&amp;"|"&amp;D822&amp;"|"&amp;E822&amp;"L"&amp;F822)</f>
        <v/>
      </c>
    </row>
    <row r="823">
      <c r="Z823">
        <f>IF(A823="","",COUNTIF('40_RAP_DE'!$C:$C,A823))</f>
        <v/>
      </c>
      <c r="AA823">
        <f>IF(A823="","","JFT|"&amp;C823&amp;"|"&amp;D823&amp;"|"&amp;E823&amp;"L"&amp;F823)</f>
        <v/>
      </c>
    </row>
    <row r="824">
      <c r="Z824">
        <f>IF(A824="","",COUNTIF('40_RAP_DE'!$C:$C,A824))</f>
        <v/>
      </c>
      <c r="AA824">
        <f>IF(A824="","","JFT|"&amp;C824&amp;"|"&amp;D824&amp;"|"&amp;E824&amp;"L"&amp;F824)</f>
        <v/>
      </c>
    </row>
    <row r="825">
      <c r="Z825">
        <f>IF(A825="","",COUNTIF('40_RAP_DE'!$C:$C,A825))</f>
        <v/>
      </c>
      <c r="AA825">
        <f>IF(A825="","","JFT|"&amp;C825&amp;"|"&amp;D825&amp;"|"&amp;E825&amp;"L"&amp;F825)</f>
        <v/>
      </c>
    </row>
    <row r="826">
      <c r="Z826">
        <f>IF(A826="","",COUNTIF('40_RAP_DE'!$C:$C,A826))</f>
        <v/>
      </c>
      <c r="AA826">
        <f>IF(A826="","","JFT|"&amp;C826&amp;"|"&amp;D826&amp;"|"&amp;E826&amp;"L"&amp;F826)</f>
        <v/>
      </c>
    </row>
    <row r="827">
      <c r="Z827">
        <f>IF(A827="","",COUNTIF('40_RAP_DE'!$C:$C,A827))</f>
        <v/>
      </c>
      <c r="AA827">
        <f>IF(A827="","","JFT|"&amp;C827&amp;"|"&amp;D827&amp;"|"&amp;E827&amp;"L"&amp;F827)</f>
        <v/>
      </c>
    </row>
    <row r="828">
      <c r="Z828">
        <f>IF(A828="","",COUNTIF('40_RAP_DE'!$C:$C,A828))</f>
        <v/>
      </c>
      <c r="AA828">
        <f>IF(A828="","","JFT|"&amp;C828&amp;"|"&amp;D828&amp;"|"&amp;E828&amp;"L"&amp;F828)</f>
        <v/>
      </c>
    </row>
    <row r="829">
      <c r="Z829">
        <f>IF(A829="","",COUNTIF('40_RAP_DE'!$C:$C,A829))</f>
        <v/>
      </c>
      <c r="AA829">
        <f>IF(A829="","","JFT|"&amp;C829&amp;"|"&amp;D829&amp;"|"&amp;E829&amp;"L"&amp;F829)</f>
        <v/>
      </c>
    </row>
    <row r="830">
      <c r="Z830">
        <f>IF(A830="","",COUNTIF('40_RAP_DE'!$C:$C,A830))</f>
        <v/>
      </c>
      <c r="AA830">
        <f>IF(A830="","","JFT|"&amp;C830&amp;"|"&amp;D830&amp;"|"&amp;E830&amp;"L"&amp;F830)</f>
        <v/>
      </c>
    </row>
    <row r="831">
      <c r="Z831">
        <f>IF(A831="","",COUNTIF('40_RAP_DE'!$C:$C,A831))</f>
        <v/>
      </c>
      <c r="AA831">
        <f>IF(A831="","","JFT|"&amp;C831&amp;"|"&amp;D831&amp;"|"&amp;E831&amp;"L"&amp;F831)</f>
        <v/>
      </c>
    </row>
    <row r="832">
      <c r="Z832">
        <f>IF(A832="","",COUNTIF('40_RAP_DE'!$C:$C,A832))</f>
        <v/>
      </c>
      <c r="AA832">
        <f>IF(A832="","","JFT|"&amp;C832&amp;"|"&amp;D832&amp;"|"&amp;E832&amp;"L"&amp;F832)</f>
        <v/>
      </c>
    </row>
    <row r="833">
      <c r="Z833">
        <f>IF(A833="","",COUNTIF('40_RAP_DE'!$C:$C,A833))</f>
        <v/>
      </c>
      <c r="AA833">
        <f>IF(A833="","","JFT|"&amp;C833&amp;"|"&amp;D833&amp;"|"&amp;E833&amp;"L"&amp;F833)</f>
        <v/>
      </c>
    </row>
    <row r="834">
      <c r="Z834">
        <f>IF(A834="","",COUNTIF('40_RAP_DE'!$C:$C,A834))</f>
        <v/>
      </c>
      <c r="AA834">
        <f>IF(A834="","","JFT|"&amp;C834&amp;"|"&amp;D834&amp;"|"&amp;E834&amp;"L"&amp;F834)</f>
        <v/>
      </c>
    </row>
    <row r="835">
      <c r="Z835">
        <f>IF(A835="","",COUNTIF('40_RAP_DE'!$C:$C,A835))</f>
        <v/>
      </c>
      <c r="AA835">
        <f>IF(A835="","","JFT|"&amp;C835&amp;"|"&amp;D835&amp;"|"&amp;E835&amp;"L"&amp;F835)</f>
        <v/>
      </c>
    </row>
    <row r="836">
      <c r="Z836">
        <f>IF(A836="","",COUNTIF('40_RAP_DE'!$C:$C,A836))</f>
        <v/>
      </c>
      <c r="AA836">
        <f>IF(A836="","","JFT|"&amp;C836&amp;"|"&amp;D836&amp;"|"&amp;E836&amp;"L"&amp;F836)</f>
        <v/>
      </c>
    </row>
    <row r="837">
      <c r="Z837">
        <f>IF(A837="","",COUNTIF('40_RAP_DE'!$C:$C,A837))</f>
        <v/>
      </c>
      <c r="AA837">
        <f>IF(A837="","","JFT|"&amp;C837&amp;"|"&amp;D837&amp;"|"&amp;E837&amp;"L"&amp;F837)</f>
        <v/>
      </c>
    </row>
    <row r="838">
      <c r="Z838">
        <f>IF(A838="","",COUNTIF('40_RAP_DE'!$C:$C,A838))</f>
        <v/>
      </c>
      <c r="AA838">
        <f>IF(A838="","","JFT|"&amp;C838&amp;"|"&amp;D838&amp;"|"&amp;E838&amp;"L"&amp;F838)</f>
        <v/>
      </c>
    </row>
    <row r="839">
      <c r="Z839">
        <f>IF(A839="","",COUNTIF('40_RAP_DE'!$C:$C,A839))</f>
        <v/>
      </c>
      <c r="AA839">
        <f>IF(A839="","","JFT|"&amp;C839&amp;"|"&amp;D839&amp;"|"&amp;E839&amp;"L"&amp;F839)</f>
        <v/>
      </c>
    </row>
    <row r="840">
      <c r="Z840">
        <f>IF(A840="","",COUNTIF('40_RAP_DE'!$C:$C,A840))</f>
        <v/>
      </c>
      <c r="AA840">
        <f>IF(A840="","","JFT|"&amp;C840&amp;"|"&amp;D840&amp;"|"&amp;E840&amp;"L"&amp;F840)</f>
        <v/>
      </c>
    </row>
    <row r="841">
      <c r="Z841">
        <f>IF(A841="","",COUNTIF('40_RAP_DE'!$C:$C,A841))</f>
        <v/>
      </c>
      <c r="AA841">
        <f>IF(A841="","","JFT|"&amp;C841&amp;"|"&amp;D841&amp;"|"&amp;E841&amp;"L"&amp;F841)</f>
        <v/>
      </c>
    </row>
    <row r="842">
      <c r="Z842">
        <f>IF(A842="","",COUNTIF('40_RAP_DE'!$C:$C,A842))</f>
        <v/>
      </c>
      <c r="AA842">
        <f>IF(A842="","","JFT|"&amp;C842&amp;"|"&amp;D842&amp;"|"&amp;E842&amp;"L"&amp;F842)</f>
        <v/>
      </c>
    </row>
    <row r="843">
      <c r="Z843">
        <f>IF(A843="","",COUNTIF('40_RAP_DE'!$C:$C,A843))</f>
        <v/>
      </c>
      <c r="AA843">
        <f>IF(A843="","","JFT|"&amp;C843&amp;"|"&amp;D843&amp;"|"&amp;E843&amp;"L"&amp;F843)</f>
        <v/>
      </c>
    </row>
    <row r="844">
      <c r="Z844">
        <f>IF(A844="","",COUNTIF('40_RAP_DE'!$C:$C,A844))</f>
        <v/>
      </c>
      <c r="AA844">
        <f>IF(A844="","","JFT|"&amp;C844&amp;"|"&amp;D844&amp;"|"&amp;E844&amp;"L"&amp;F844)</f>
        <v/>
      </c>
    </row>
    <row r="845">
      <c r="Z845">
        <f>IF(A845="","",COUNTIF('40_RAP_DE'!$C:$C,A845))</f>
        <v/>
      </c>
      <c r="AA845">
        <f>IF(A845="","","JFT|"&amp;C845&amp;"|"&amp;D845&amp;"|"&amp;E845&amp;"L"&amp;F845)</f>
        <v/>
      </c>
    </row>
    <row r="846">
      <c r="Z846">
        <f>IF(A846="","",COUNTIF('40_RAP_DE'!$C:$C,A846))</f>
        <v/>
      </c>
      <c r="AA846">
        <f>IF(A846="","","JFT|"&amp;C846&amp;"|"&amp;D846&amp;"|"&amp;E846&amp;"L"&amp;F846)</f>
        <v/>
      </c>
    </row>
    <row r="847">
      <c r="Z847">
        <f>IF(A847="","",COUNTIF('40_RAP_DE'!$C:$C,A847))</f>
        <v/>
      </c>
      <c r="AA847">
        <f>IF(A847="","","JFT|"&amp;C847&amp;"|"&amp;D847&amp;"|"&amp;E847&amp;"L"&amp;F847)</f>
        <v/>
      </c>
    </row>
    <row r="848">
      <c r="Z848">
        <f>IF(A848="","",COUNTIF('40_RAP_DE'!$C:$C,A848))</f>
        <v/>
      </c>
      <c r="AA848">
        <f>IF(A848="","","JFT|"&amp;C848&amp;"|"&amp;D848&amp;"|"&amp;E848&amp;"L"&amp;F848)</f>
        <v/>
      </c>
    </row>
    <row r="849">
      <c r="Z849">
        <f>IF(A849="","",COUNTIF('40_RAP_DE'!$C:$C,A849))</f>
        <v/>
      </c>
      <c r="AA849">
        <f>IF(A849="","","JFT|"&amp;C849&amp;"|"&amp;D849&amp;"|"&amp;E849&amp;"L"&amp;F849)</f>
        <v/>
      </c>
    </row>
    <row r="850">
      <c r="Z850">
        <f>IF(A850="","",COUNTIF('40_RAP_DE'!$C:$C,A850))</f>
        <v/>
      </c>
      <c r="AA850">
        <f>IF(A850="","","JFT|"&amp;C850&amp;"|"&amp;D850&amp;"|"&amp;E850&amp;"L"&amp;F850)</f>
        <v/>
      </c>
    </row>
    <row r="851">
      <c r="Z851">
        <f>IF(A851="","",COUNTIF('40_RAP_DE'!$C:$C,A851))</f>
        <v/>
      </c>
      <c r="AA851">
        <f>IF(A851="","","JFT|"&amp;C851&amp;"|"&amp;D851&amp;"|"&amp;E851&amp;"L"&amp;F851)</f>
        <v/>
      </c>
    </row>
    <row r="852">
      <c r="Z852">
        <f>IF(A852="","",COUNTIF('40_RAP_DE'!$C:$C,A852))</f>
        <v/>
      </c>
      <c r="AA852">
        <f>IF(A852="","","JFT|"&amp;C852&amp;"|"&amp;D852&amp;"|"&amp;E852&amp;"L"&amp;F852)</f>
        <v/>
      </c>
    </row>
    <row r="853">
      <c r="Z853">
        <f>IF(A853="","",COUNTIF('40_RAP_DE'!$C:$C,A853))</f>
        <v/>
      </c>
      <c r="AA853">
        <f>IF(A853="","","JFT|"&amp;C853&amp;"|"&amp;D853&amp;"|"&amp;E853&amp;"L"&amp;F853)</f>
        <v/>
      </c>
    </row>
    <row r="854">
      <c r="Z854">
        <f>IF(A854="","",COUNTIF('40_RAP_DE'!$C:$C,A854))</f>
        <v/>
      </c>
      <c r="AA854">
        <f>IF(A854="","","JFT|"&amp;C854&amp;"|"&amp;D854&amp;"|"&amp;E854&amp;"L"&amp;F854)</f>
        <v/>
      </c>
    </row>
    <row r="855">
      <c r="Z855">
        <f>IF(A855="","",COUNTIF('40_RAP_DE'!$C:$C,A855))</f>
        <v/>
      </c>
      <c r="AA855">
        <f>IF(A855="","","JFT|"&amp;C855&amp;"|"&amp;D855&amp;"|"&amp;E855&amp;"L"&amp;F855)</f>
        <v/>
      </c>
    </row>
    <row r="856">
      <c r="Z856">
        <f>IF(A856="","",COUNTIF('40_RAP_DE'!$C:$C,A856))</f>
        <v/>
      </c>
      <c r="AA856">
        <f>IF(A856="","","JFT|"&amp;C856&amp;"|"&amp;D856&amp;"|"&amp;E856&amp;"L"&amp;F856)</f>
        <v/>
      </c>
    </row>
    <row r="857">
      <c r="Z857">
        <f>IF(A857="","",COUNTIF('40_RAP_DE'!$C:$C,A857))</f>
        <v/>
      </c>
      <c r="AA857">
        <f>IF(A857="","","JFT|"&amp;C857&amp;"|"&amp;D857&amp;"|"&amp;E857&amp;"L"&amp;F857)</f>
        <v/>
      </c>
    </row>
    <row r="858">
      <c r="Z858">
        <f>IF(A858="","",COUNTIF('40_RAP_DE'!$C:$C,A858))</f>
        <v/>
      </c>
      <c r="AA858">
        <f>IF(A858="","","JFT|"&amp;C858&amp;"|"&amp;D858&amp;"|"&amp;E858&amp;"L"&amp;F858)</f>
        <v/>
      </c>
    </row>
    <row r="859">
      <c r="Z859">
        <f>IF(A859="","",COUNTIF('40_RAP_DE'!$C:$C,A859))</f>
        <v/>
      </c>
      <c r="AA859">
        <f>IF(A859="","","JFT|"&amp;C859&amp;"|"&amp;D859&amp;"|"&amp;E859&amp;"L"&amp;F859)</f>
        <v/>
      </c>
    </row>
    <row r="860">
      <c r="Z860">
        <f>IF(A860="","",COUNTIF('40_RAP_DE'!$C:$C,A860))</f>
        <v/>
      </c>
      <c r="AA860">
        <f>IF(A860="","","JFT|"&amp;C860&amp;"|"&amp;D860&amp;"|"&amp;E860&amp;"L"&amp;F860)</f>
        <v/>
      </c>
    </row>
    <row r="861">
      <c r="Z861">
        <f>IF(A861="","",COUNTIF('40_RAP_DE'!$C:$C,A861))</f>
        <v/>
      </c>
      <c r="AA861">
        <f>IF(A861="","","JFT|"&amp;C861&amp;"|"&amp;D861&amp;"|"&amp;E861&amp;"L"&amp;F861)</f>
        <v/>
      </c>
    </row>
    <row r="862">
      <c r="Z862">
        <f>IF(A862="","",COUNTIF('40_RAP_DE'!$C:$C,A862))</f>
        <v/>
      </c>
      <c r="AA862">
        <f>IF(A862="","","JFT|"&amp;C862&amp;"|"&amp;D862&amp;"|"&amp;E862&amp;"L"&amp;F862)</f>
        <v/>
      </c>
    </row>
    <row r="863">
      <c r="Z863">
        <f>IF(A863="","",COUNTIF('40_RAP_DE'!$C:$C,A863))</f>
        <v/>
      </c>
      <c r="AA863">
        <f>IF(A863="","","JFT|"&amp;C863&amp;"|"&amp;D863&amp;"|"&amp;E863&amp;"L"&amp;F863)</f>
        <v/>
      </c>
    </row>
    <row r="864">
      <c r="Z864">
        <f>IF(A864="","",COUNTIF('40_RAP_DE'!$C:$C,A864))</f>
        <v/>
      </c>
      <c r="AA864">
        <f>IF(A864="","","JFT|"&amp;C864&amp;"|"&amp;D864&amp;"|"&amp;E864&amp;"L"&amp;F864)</f>
        <v/>
      </c>
    </row>
    <row r="865">
      <c r="Z865">
        <f>IF(A865="","",COUNTIF('40_RAP_DE'!$C:$C,A865))</f>
        <v/>
      </c>
      <c r="AA865">
        <f>IF(A865="","","JFT|"&amp;C865&amp;"|"&amp;D865&amp;"|"&amp;E865&amp;"L"&amp;F865)</f>
        <v/>
      </c>
    </row>
    <row r="866">
      <c r="Z866">
        <f>IF(A866="","",COUNTIF('40_RAP_DE'!$C:$C,A866))</f>
        <v/>
      </c>
      <c r="AA866">
        <f>IF(A866="","","JFT|"&amp;C866&amp;"|"&amp;D866&amp;"|"&amp;E866&amp;"L"&amp;F866)</f>
        <v/>
      </c>
    </row>
    <row r="867">
      <c r="Z867">
        <f>IF(A867="","",COUNTIF('40_RAP_DE'!$C:$C,A867))</f>
        <v/>
      </c>
      <c r="AA867">
        <f>IF(A867="","","JFT|"&amp;C867&amp;"|"&amp;D867&amp;"|"&amp;E867&amp;"L"&amp;F867)</f>
        <v/>
      </c>
    </row>
    <row r="868">
      <c r="Z868">
        <f>IF(A868="","",COUNTIF('40_RAP_DE'!$C:$C,A868))</f>
        <v/>
      </c>
      <c r="AA868">
        <f>IF(A868="","","JFT|"&amp;C868&amp;"|"&amp;D868&amp;"|"&amp;E868&amp;"L"&amp;F868)</f>
        <v/>
      </c>
    </row>
    <row r="869">
      <c r="Z869">
        <f>IF(A869="","",COUNTIF('40_RAP_DE'!$C:$C,A869))</f>
        <v/>
      </c>
      <c r="AA869">
        <f>IF(A869="","","JFT|"&amp;C869&amp;"|"&amp;D869&amp;"|"&amp;E869&amp;"L"&amp;F869)</f>
        <v/>
      </c>
    </row>
    <row r="870">
      <c r="Z870">
        <f>IF(A870="","",COUNTIF('40_RAP_DE'!$C:$C,A870))</f>
        <v/>
      </c>
      <c r="AA870">
        <f>IF(A870="","","JFT|"&amp;C870&amp;"|"&amp;D870&amp;"|"&amp;E870&amp;"L"&amp;F870)</f>
        <v/>
      </c>
    </row>
    <row r="871">
      <c r="Z871">
        <f>IF(A871="","",COUNTIF('40_RAP_DE'!$C:$C,A871))</f>
        <v/>
      </c>
      <c r="AA871">
        <f>IF(A871="","","JFT|"&amp;C871&amp;"|"&amp;D871&amp;"|"&amp;E871&amp;"L"&amp;F871)</f>
        <v/>
      </c>
    </row>
    <row r="872">
      <c r="Z872">
        <f>IF(A872="","",COUNTIF('40_RAP_DE'!$C:$C,A872))</f>
        <v/>
      </c>
      <c r="AA872">
        <f>IF(A872="","","JFT|"&amp;C872&amp;"|"&amp;D872&amp;"|"&amp;E872&amp;"L"&amp;F872)</f>
        <v/>
      </c>
    </row>
    <row r="873">
      <c r="Z873">
        <f>IF(A873="","",COUNTIF('40_RAP_DE'!$C:$C,A873))</f>
        <v/>
      </c>
      <c r="AA873">
        <f>IF(A873="","","JFT|"&amp;C873&amp;"|"&amp;D873&amp;"|"&amp;E873&amp;"L"&amp;F873)</f>
        <v/>
      </c>
    </row>
    <row r="874">
      <c r="Z874">
        <f>IF(A874="","",COUNTIF('40_RAP_DE'!$C:$C,A874))</f>
        <v/>
      </c>
      <c r="AA874">
        <f>IF(A874="","","JFT|"&amp;C874&amp;"|"&amp;D874&amp;"|"&amp;E874&amp;"L"&amp;F874)</f>
        <v/>
      </c>
    </row>
    <row r="875">
      <c r="Z875">
        <f>IF(A875="","",COUNTIF('40_RAP_DE'!$C:$C,A875))</f>
        <v/>
      </c>
      <c r="AA875">
        <f>IF(A875="","","JFT|"&amp;C875&amp;"|"&amp;D875&amp;"|"&amp;E875&amp;"L"&amp;F875)</f>
        <v/>
      </c>
    </row>
    <row r="876">
      <c r="Z876">
        <f>IF(A876="","",COUNTIF('40_RAP_DE'!$C:$C,A876))</f>
        <v/>
      </c>
      <c r="AA876">
        <f>IF(A876="","","JFT|"&amp;C876&amp;"|"&amp;D876&amp;"|"&amp;E876&amp;"L"&amp;F876)</f>
        <v/>
      </c>
    </row>
    <row r="877">
      <c r="Z877">
        <f>IF(A877="","",COUNTIF('40_RAP_DE'!$C:$C,A877))</f>
        <v/>
      </c>
      <c r="AA877">
        <f>IF(A877="","","JFT|"&amp;C877&amp;"|"&amp;D877&amp;"|"&amp;E877&amp;"L"&amp;F877)</f>
        <v/>
      </c>
    </row>
    <row r="878">
      <c r="Z878">
        <f>IF(A878="","",COUNTIF('40_RAP_DE'!$C:$C,A878))</f>
        <v/>
      </c>
      <c r="AA878">
        <f>IF(A878="","","JFT|"&amp;C878&amp;"|"&amp;D878&amp;"|"&amp;E878&amp;"L"&amp;F878)</f>
        <v/>
      </c>
    </row>
    <row r="879">
      <c r="Z879">
        <f>IF(A879="","",COUNTIF('40_RAP_DE'!$C:$C,A879))</f>
        <v/>
      </c>
      <c r="AA879">
        <f>IF(A879="","","JFT|"&amp;C879&amp;"|"&amp;D879&amp;"|"&amp;E879&amp;"L"&amp;F879)</f>
        <v/>
      </c>
    </row>
    <row r="880">
      <c r="Z880">
        <f>IF(A880="","",COUNTIF('40_RAP_DE'!$C:$C,A880))</f>
        <v/>
      </c>
      <c r="AA880">
        <f>IF(A880="","","JFT|"&amp;C880&amp;"|"&amp;D880&amp;"|"&amp;E880&amp;"L"&amp;F880)</f>
        <v/>
      </c>
    </row>
    <row r="881">
      <c r="Z881">
        <f>IF(A881="","",COUNTIF('40_RAP_DE'!$C:$C,A881))</f>
        <v/>
      </c>
      <c r="AA881">
        <f>IF(A881="","","JFT|"&amp;C881&amp;"|"&amp;D881&amp;"|"&amp;E881&amp;"L"&amp;F881)</f>
        <v/>
      </c>
    </row>
    <row r="882">
      <c r="Z882">
        <f>IF(A882="","",COUNTIF('40_RAP_DE'!$C:$C,A882))</f>
        <v/>
      </c>
      <c r="AA882">
        <f>IF(A882="","","JFT|"&amp;C882&amp;"|"&amp;D882&amp;"|"&amp;E882&amp;"L"&amp;F882)</f>
        <v/>
      </c>
    </row>
    <row r="883">
      <c r="Z883">
        <f>IF(A883="","",COUNTIF('40_RAP_DE'!$C:$C,A883))</f>
        <v/>
      </c>
      <c r="AA883">
        <f>IF(A883="","","JFT|"&amp;C883&amp;"|"&amp;D883&amp;"|"&amp;E883&amp;"L"&amp;F883)</f>
        <v/>
      </c>
    </row>
    <row r="884">
      <c r="Z884">
        <f>IF(A884="","",COUNTIF('40_RAP_DE'!$C:$C,A884))</f>
        <v/>
      </c>
      <c r="AA884">
        <f>IF(A884="","","JFT|"&amp;C884&amp;"|"&amp;D884&amp;"|"&amp;E884&amp;"L"&amp;F884)</f>
        <v/>
      </c>
    </row>
    <row r="885">
      <c r="Z885">
        <f>IF(A885="","",COUNTIF('40_RAP_DE'!$C:$C,A885))</f>
        <v/>
      </c>
      <c r="AA885">
        <f>IF(A885="","","JFT|"&amp;C885&amp;"|"&amp;D885&amp;"|"&amp;E885&amp;"L"&amp;F885)</f>
        <v/>
      </c>
    </row>
    <row r="886">
      <c r="Z886">
        <f>IF(A886="","",COUNTIF('40_RAP_DE'!$C:$C,A886))</f>
        <v/>
      </c>
      <c r="AA886">
        <f>IF(A886="","","JFT|"&amp;C886&amp;"|"&amp;D886&amp;"|"&amp;E886&amp;"L"&amp;F886)</f>
        <v/>
      </c>
    </row>
    <row r="887">
      <c r="Z887">
        <f>IF(A887="","",COUNTIF('40_RAP_DE'!$C:$C,A887))</f>
        <v/>
      </c>
      <c r="AA887">
        <f>IF(A887="","","JFT|"&amp;C887&amp;"|"&amp;D887&amp;"|"&amp;E887&amp;"L"&amp;F887)</f>
        <v/>
      </c>
    </row>
    <row r="888">
      <c r="Z888">
        <f>IF(A888="","",COUNTIF('40_RAP_DE'!$C:$C,A888))</f>
        <v/>
      </c>
      <c r="AA888">
        <f>IF(A888="","","JFT|"&amp;C888&amp;"|"&amp;D888&amp;"|"&amp;E888&amp;"L"&amp;F888)</f>
        <v/>
      </c>
    </row>
    <row r="889">
      <c r="Z889">
        <f>IF(A889="","",COUNTIF('40_RAP_DE'!$C:$C,A889))</f>
        <v/>
      </c>
      <c r="AA889">
        <f>IF(A889="","","JFT|"&amp;C889&amp;"|"&amp;D889&amp;"|"&amp;E889&amp;"L"&amp;F889)</f>
        <v/>
      </c>
    </row>
    <row r="890">
      <c r="Z890">
        <f>IF(A890="","",COUNTIF('40_RAP_DE'!$C:$C,A890))</f>
        <v/>
      </c>
      <c r="AA890">
        <f>IF(A890="","","JFT|"&amp;C890&amp;"|"&amp;D890&amp;"|"&amp;E890&amp;"L"&amp;F890)</f>
        <v/>
      </c>
    </row>
    <row r="891">
      <c r="Z891">
        <f>IF(A891="","",COUNTIF('40_RAP_DE'!$C:$C,A891))</f>
        <v/>
      </c>
      <c r="AA891">
        <f>IF(A891="","","JFT|"&amp;C891&amp;"|"&amp;D891&amp;"|"&amp;E891&amp;"L"&amp;F891)</f>
        <v/>
      </c>
    </row>
    <row r="892">
      <c r="Z892">
        <f>IF(A892="","",COUNTIF('40_RAP_DE'!$C:$C,A892))</f>
        <v/>
      </c>
      <c r="AA892">
        <f>IF(A892="","","JFT|"&amp;C892&amp;"|"&amp;D892&amp;"|"&amp;E892&amp;"L"&amp;F892)</f>
        <v/>
      </c>
    </row>
    <row r="893">
      <c r="Z893">
        <f>IF(A893="","",COUNTIF('40_RAP_DE'!$C:$C,A893))</f>
        <v/>
      </c>
      <c r="AA893">
        <f>IF(A893="","","JFT|"&amp;C893&amp;"|"&amp;D893&amp;"|"&amp;E893&amp;"L"&amp;F893)</f>
        <v/>
      </c>
    </row>
    <row r="894">
      <c r="Z894">
        <f>IF(A894="","",COUNTIF('40_RAP_DE'!$C:$C,A894))</f>
        <v/>
      </c>
      <c r="AA894">
        <f>IF(A894="","","JFT|"&amp;C894&amp;"|"&amp;D894&amp;"|"&amp;E894&amp;"L"&amp;F894)</f>
        <v/>
      </c>
    </row>
    <row r="895">
      <c r="Z895">
        <f>IF(A895="","",COUNTIF('40_RAP_DE'!$C:$C,A895))</f>
        <v/>
      </c>
      <c r="AA895">
        <f>IF(A895="","","JFT|"&amp;C895&amp;"|"&amp;D895&amp;"|"&amp;E895&amp;"L"&amp;F895)</f>
        <v/>
      </c>
    </row>
    <row r="896">
      <c r="Z896">
        <f>IF(A896="","",COUNTIF('40_RAP_DE'!$C:$C,A896))</f>
        <v/>
      </c>
      <c r="AA896">
        <f>IF(A896="","","JFT|"&amp;C896&amp;"|"&amp;D896&amp;"|"&amp;E896&amp;"L"&amp;F896)</f>
        <v/>
      </c>
    </row>
    <row r="897">
      <c r="Z897">
        <f>IF(A897="","",COUNTIF('40_RAP_DE'!$C:$C,A897))</f>
        <v/>
      </c>
      <c r="AA897">
        <f>IF(A897="","","JFT|"&amp;C897&amp;"|"&amp;D897&amp;"|"&amp;E897&amp;"L"&amp;F897)</f>
        <v/>
      </c>
    </row>
    <row r="898">
      <c r="Z898">
        <f>IF(A898="","",COUNTIF('40_RAP_DE'!$C:$C,A898))</f>
        <v/>
      </c>
      <c r="AA898">
        <f>IF(A898="","","JFT|"&amp;C898&amp;"|"&amp;D898&amp;"|"&amp;E898&amp;"L"&amp;F898)</f>
        <v/>
      </c>
    </row>
    <row r="899">
      <c r="Z899">
        <f>IF(A899="","",COUNTIF('40_RAP_DE'!$C:$C,A899))</f>
        <v/>
      </c>
      <c r="AA899">
        <f>IF(A899="","","JFT|"&amp;C899&amp;"|"&amp;D899&amp;"|"&amp;E899&amp;"L"&amp;F899)</f>
        <v/>
      </c>
    </row>
    <row r="900">
      <c r="Z900">
        <f>IF(A900="","",COUNTIF('40_RAP_DE'!$C:$C,A900))</f>
        <v/>
      </c>
      <c r="AA900">
        <f>IF(A900="","","JFT|"&amp;C900&amp;"|"&amp;D900&amp;"|"&amp;E900&amp;"L"&amp;F900)</f>
        <v/>
      </c>
    </row>
    <row r="901">
      <c r="Z901">
        <f>IF(A901="","",COUNTIF('40_RAP_DE'!$C:$C,A901))</f>
        <v/>
      </c>
      <c r="AA901">
        <f>IF(A901="","","JFT|"&amp;C901&amp;"|"&amp;D901&amp;"|"&amp;E901&amp;"L"&amp;F901)</f>
        <v/>
      </c>
    </row>
    <row r="902">
      <c r="Z902">
        <f>IF(A902="","",COUNTIF('40_RAP_DE'!$C:$C,A902))</f>
        <v/>
      </c>
      <c r="AA902">
        <f>IF(A902="","","JFT|"&amp;C902&amp;"|"&amp;D902&amp;"|"&amp;E902&amp;"L"&amp;F902)</f>
        <v/>
      </c>
    </row>
    <row r="903">
      <c r="Z903">
        <f>IF(A903="","",COUNTIF('40_RAP_DE'!$C:$C,A903))</f>
        <v/>
      </c>
      <c r="AA903">
        <f>IF(A903="","","JFT|"&amp;C903&amp;"|"&amp;D903&amp;"|"&amp;E903&amp;"L"&amp;F903)</f>
        <v/>
      </c>
    </row>
    <row r="904">
      <c r="Z904">
        <f>IF(A904="","",COUNTIF('40_RAP_DE'!$C:$C,A904))</f>
        <v/>
      </c>
      <c r="AA904">
        <f>IF(A904="","","JFT|"&amp;C904&amp;"|"&amp;D904&amp;"|"&amp;E904&amp;"L"&amp;F904)</f>
        <v/>
      </c>
    </row>
    <row r="905">
      <c r="Z905">
        <f>IF(A905="","",COUNTIF('40_RAP_DE'!$C:$C,A905))</f>
        <v/>
      </c>
      <c r="AA905">
        <f>IF(A905="","","JFT|"&amp;C905&amp;"|"&amp;D905&amp;"|"&amp;E905&amp;"L"&amp;F905)</f>
        <v/>
      </c>
    </row>
    <row r="906">
      <c r="Z906">
        <f>IF(A906="","",COUNTIF('40_RAP_DE'!$C:$C,A906))</f>
        <v/>
      </c>
      <c r="AA906">
        <f>IF(A906="","","JFT|"&amp;C906&amp;"|"&amp;D906&amp;"|"&amp;E906&amp;"L"&amp;F906)</f>
        <v/>
      </c>
    </row>
    <row r="907">
      <c r="Z907">
        <f>IF(A907="","",COUNTIF('40_RAP_DE'!$C:$C,A907))</f>
        <v/>
      </c>
      <c r="AA907">
        <f>IF(A907="","","JFT|"&amp;C907&amp;"|"&amp;D907&amp;"|"&amp;E907&amp;"L"&amp;F907)</f>
        <v/>
      </c>
    </row>
    <row r="908">
      <c r="Z908">
        <f>IF(A908="","",COUNTIF('40_RAP_DE'!$C:$C,A908))</f>
        <v/>
      </c>
      <c r="AA908">
        <f>IF(A908="","","JFT|"&amp;C908&amp;"|"&amp;D908&amp;"|"&amp;E908&amp;"L"&amp;F908)</f>
        <v/>
      </c>
    </row>
    <row r="909">
      <c r="Z909">
        <f>IF(A909="","",COUNTIF('40_RAP_DE'!$C:$C,A909))</f>
        <v/>
      </c>
      <c r="AA909">
        <f>IF(A909="","","JFT|"&amp;C909&amp;"|"&amp;D909&amp;"|"&amp;E909&amp;"L"&amp;F909)</f>
        <v/>
      </c>
    </row>
    <row r="910">
      <c r="Z910">
        <f>IF(A910="","",COUNTIF('40_RAP_DE'!$C:$C,A910))</f>
        <v/>
      </c>
      <c r="AA910">
        <f>IF(A910="","","JFT|"&amp;C910&amp;"|"&amp;D910&amp;"|"&amp;E910&amp;"L"&amp;F910)</f>
        <v/>
      </c>
    </row>
    <row r="911">
      <c r="Z911">
        <f>IF(A911="","",COUNTIF('40_RAP_DE'!$C:$C,A911))</f>
        <v/>
      </c>
      <c r="AA911">
        <f>IF(A911="","","JFT|"&amp;C911&amp;"|"&amp;D911&amp;"|"&amp;E911&amp;"L"&amp;F911)</f>
        <v/>
      </c>
    </row>
    <row r="912">
      <c r="Z912">
        <f>IF(A912="","",COUNTIF('40_RAP_DE'!$C:$C,A912))</f>
        <v/>
      </c>
      <c r="AA912">
        <f>IF(A912="","","JFT|"&amp;C912&amp;"|"&amp;D912&amp;"|"&amp;E912&amp;"L"&amp;F912)</f>
        <v/>
      </c>
    </row>
    <row r="913">
      <c r="Z913">
        <f>IF(A913="","",COUNTIF('40_RAP_DE'!$C:$C,A913))</f>
        <v/>
      </c>
      <c r="AA913">
        <f>IF(A913="","","JFT|"&amp;C913&amp;"|"&amp;D913&amp;"|"&amp;E913&amp;"L"&amp;F913)</f>
        <v/>
      </c>
    </row>
    <row r="914">
      <c r="Z914">
        <f>IF(A914="","",COUNTIF('40_RAP_DE'!$C:$C,A914))</f>
        <v/>
      </c>
      <c r="AA914">
        <f>IF(A914="","","JFT|"&amp;C914&amp;"|"&amp;D914&amp;"|"&amp;E914&amp;"L"&amp;F914)</f>
        <v/>
      </c>
    </row>
    <row r="915">
      <c r="Z915">
        <f>IF(A915="","",COUNTIF('40_RAP_DE'!$C:$C,A915))</f>
        <v/>
      </c>
      <c r="AA915">
        <f>IF(A915="","","JFT|"&amp;C915&amp;"|"&amp;D915&amp;"|"&amp;E915&amp;"L"&amp;F915)</f>
        <v/>
      </c>
    </row>
    <row r="916">
      <c r="Z916">
        <f>IF(A916="","",COUNTIF('40_RAP_DE'!$C:$C,A916))</f>
        <v/>
      </c>
      <c r="AA916">
        <f>IF(A916="","","JFT|"&amp;C916&amp;"|"&amp;D916&amp;"|"&amp;E916&amp;"L"&amp;F916)</f>
        <v/>
      </c>
    </row>
    <row r="917">
      <c r="Z917">
        <f>IF(A917="","",COUNTIF('40_RAP_DE'!$C:$C,A917))</f>
        <v/>
      </c>
      <c r="AA917">
        <f>IF(A917="","","JFT|"&amp;C917&amp;"|"&amp;D917&amp;"|"&amp;E917&amp;"L"&amp;F917)</f>
        <v/>
      </c>
    </row>
    <row r="918">
      <c r="Z918">
        <f>IF(A918="","",COUNTIF('40_RAP_DE'!$C:$C,A918))</f>
        <v/>
      </c>
      <c r="AA918">
        <f>IF(A918="","","JFT|"&amp;C918&amp;"|"&amp;D918&amp;"|"&amp;E918&amp;"L"&amp;F918)</f>
        <v/>
      </c>
    </row>
    <row r="919">
      <c r="Z919">
        <f>IF(A919="","",COUNTIF('40_RAP_DE'!$C:$C,A919))</f>
        <v/>
      </c>
      <c r="AA919">
        <f>IF(A919="","","JFT|"&amp;C919&amp;"|"&amp;D919&amp;"|"&amp;E919&amp;"L"&amp;F919)</f>
        <v/>
      </c>
    </row>
    <row r="920">
      <c r="Z920">
        <f>IF(A920="","",COUNTIF('40_RAP_DE'!$C:$C,A920))</f>
        <v/>
      </c>
      <c r="AA920">
        <f>IF(A920="","","JFT|"&amp;C920&amp;"|"&amp;D920&amp;"|"&amp;E920&amp;"L"&amp;F920)</f>
        <v/>
      </c>
    </row>
    <row r="921">
      <c r="Z921">
        <f>IF(A921="","",COUNTIF('40_RAP_DE'!$C:$C,A921))</f>
        <v/>
      </c>
      <c r="AA921">
        <f>IF(A921="","","JFT|"&amp;C921&amp;"|"&amp;D921&amp;"|"&amp;E921&amp;"L"&amp;F921)</f>
        <v/>
      </c>
    </row>
    <row r="922">
      <c r="Z922">
        <f>IF(A922="","",COUNTIF('40_RAP_DE'!$C:$C,A922))</f>
        <v/>
      </c>
      <c r="AA922">
        <f>IF(A922="","","JFT|"&amp;C922&amp;"|"&amp;D922&amp;"|"&amp;E922&amp;"L"&amp;F922)</f>
        <v/>
      </c>
    </row>
    <row r="923">
      <c r="Z923">
        <f>IF(A923="","",COUNTIF('40_RAP_DE'!$C:$C,A923))</f>
        <v/>
      </c>
      <c r="AA923">
        <f>IF(A923="","","JFT|"&amp;C923&amp;"|"&amp;D923&amp;"|"&amp;E923&amp;"L"&amp;F923)</f>
        <v/>
      </c>
    </row>
    <row r="924">
      <c r="Z924">
        <f>IF(A924="","",COUNTIF('40_RAP_DE'!$C:$C,A924))</f>
        <v/>
      </c>
      <c r="AA924">
        <f>IF(A924="","","JFT|"&amp;C924&amp;"|"&amp;D924&amp;"|"&amp;E924&amp;"L"&amp;F924)</f>
        <v/>
      </c>
    </row>
    <row r="925">
      <c r="Z925">
        <f>IF(A925="","",COUNTIF('40_RAP_DE'!$C:$C,A925))</f>
        <v/>
      </c>
      <c r="AA925">
        <f>IF(A925="","","JFT|"&amp;C925&amp;"|"&amp;D925&amp;"|"&amp;E925&amp;"L"&amp;F925)</f>
        <v/>
      </c>
    </row>
    <row r="926">
      <c r="Z926">
        <f>IF(A926="","",COUNTIF('40_RAP_DE'!$C:$C,A926))</f>
        <v/>
      </c>
      <c r="AA926">
        <f>IF(A926="","","JFT|"&amp;C926&amp;"|"&amp;D926&amp;"|"&amp;E926&amp;"L"&amp;F926)</f>
        <v/>
      </c>
    </row>
    <row r="927">
      <c r="Z927">
        <f>IF(A927="","",COUNTIF('40_RAP_DE'!$C:$C,A927))</f>
        <v/>
      </c>
      <c r="AA927">
        <f>IF(A927="","","JFT|"&amp;C927&amp;"|"&amp;D927&amp;"|"&amp;E927&amp;"L"&amp;F927)</f>
        <v/>
      </c>
    </row>
    <row r="928">
      <c r="Z928">
        <f>IF(A928="","",COUNTIF('40_RAP_DE'!$C:$C,A928))</f>
        <v/>
      </c>
      <c r="AA928">
        <f>IF(A928="","","JFT|"&amp;C928&amp;"|"&amp;D928&amp;"|"&amp;E928&amp;"L"&amp;F928)</f>
        <v/>
      </c>
    </row>
    <row r="929">
      <c r="Z929">
        <f>IF(A929="","",COUNTIF('40_RAP_DE'!$C:$C,A929))</f>
        <v/>
      </c>
      <c r="AA929">
        <f>IF(A929="","","JFT|"&amp;C929&amp;"|"&amp;D929&amp;"|"&amp;E929&amp;"L"&amp;F929)</f>
        <v/>
      </c>
    </row>
    <row r="930">
      <c r="Z930">
        <f>IF(A930="","",COUNTIF('40_RAP_DE'!$C:$C,A930))</f>
        <v/>
      </c>
      <c r="AA930">
        <f>IF(A930="","","JFT|"&amp;C930&amp;"|"&amp;D930&amp;"|"&amp;E930&amp;"L"&amp;F930)</f>
        <v/>
      </c>
    </row>
    <row r="931">
      <c r="Z931">
        <f>IF(A931="","",COUNTIF('40_RAP_DE'!$C:$C,A931))</f>
        <v/>
      </c>
      <c r="AA931">
        <f>IF(A931="","","JFT|"&amp;C931&amp;"|"&amp;D931&amp;"|"&amp;E931&amp;"L"&amp;F931)</f>
        <v/>
      </c>
    </row>
    <row r="932">
      <c r="Z932">
        <f>IF(A932="","",COUNTIF('40_RAP_DE'!$C:$C,A932))</f>
        <v/>
      </c>
      <c r="AA932">
        <f>IF(A932="","","JFT|"&amp;C932&amp;"|"&amp;D932&amp;"|"&amp;E932&amp;"L"&amp;F932)</f>
        <v/>
      </c>
    </row>
    <row r="933">
      <c r="Z933">
        <f>IF(A933="","",COUNTIF('40_RAP_DE'!$C:$C,A933))</f>
        <v/>
      </c>
      <c r="AA933">
        <f>IF(A933="","","JFT|"&amp;C933&amp;"|"&amp;D933&amp;"|"&amp;E933&amp;"L"&amp;F933)</f>
        <v/>
      </c>
    </row>
    <row r="934">
      <c r="Z934">
        <f>IF(A934="","",COUNTIF('40_RAP_DE'!$C:$C,A934))</f>
        <v/>
      </c>
      <c r="AA934">
        <f>IF(A934="","","JFT|"&amp;C934&amp;"|"&amp;D934&amp;"|"&amp;E934&amp;"L"&amp;F934)</f>
        <v/>
      </c>
    </row>
    <row r="935">
      <c r="Z935">
        <f>IF(A935="","",COUNTIF('40_RAP_DE'!$C:$C,A935))</f>
        <v/>
      </c>
      <c r="AA935">
        <f>IF(A935="","","JFT|"&amp;C935&amp;"|"&amp;D935&amp;"|"&amp;E935&amp;"L"&amp;F935)</f>
        <v/>
      </c>
    </row>
    <row r="936">
      <c r="Z936">
        <f>IF(A936="","",COUNTIF('40_RAP_DE'!$C:$C,A936))</f>
        <v/>
      </c>
      <c r="AA936">
        <f>IF(A936="","","JFT|"&amp;C936&amp;"|"&amp;D936&amp;"|"&amp;E936&amp;"L"&amp;F936)</f>
        <v/>
      </c>
    </row>
    <row r="937">
      <c r="Z937">
        <f>IF(A937="","",COUNTIF('40_RAP_DE'!$C:$C,A937))</f>
        <v/>
      </c>
      <c r="AA937">
        <f>IF(A937="","","JFT|"&amp;C937&amp;"|"&amp;D937&amp;"|"&amp;E937&amp;"L"&amp;F937)</f>
        <v/>
      </c>
    </row>
    <row r="938">
      <c r="Z938">
        <f>IF(A938="","",COUNTIF('40_RAP_DE'!$C:$C,A938))</f>
        <v/>
      </c>
      <c r="AA938">
        <f>IF(A938="","","JFT|"&amp;C938&amp;"|"&amp;D938&amp;"|"&amp;E938&amp;"L"&amp;F938)</f>
        <v/>
      </c>
    </row>
    <row r="939">
      <c r="Z939">
        <f>IF(A939="","",COUNTIF('40_RAP_DE'!$C:$C,A939))</f>
        <v/>
      </c>
      <c r="AA939">
        <f>IF(A939="","","JFT|"&amp;C939&amp;"|"&amp;D939&amp;"|"&amp;E939&amp;"L"&amp;F939)</f>
        <v/>
      </c>
    </row>
    <row r="940">
      <c r="Z940">
        <f>IF(A940="","",COUNTIF('40_RAP_DE'!$C:$C,A940))</f>
        <v/>
      </c>
      <c r="AA940">
        <f>IF(A940="","","JFT|"&amp;C940&amp;"|"&amp;D940&amp;"|"&amp;E940&amp;"L"&amp;F940)</f>
        <v/>
      </c>
    </row>
    <row r="941">
      <c r="Z941">
        <f>IF(A941="","",COUNTIF('40_RAP_DE'!$C:$C,A941))</f>
        <v/>
      </c>
      <c r="AA941">
        <f>IF(A941="","","JFT|"&amp;C941&amp;"|"&amp;D941&amp;"|"&amp;E941&amp;"L"&amp;F941)</f>
        <v/>
      </c>
    </row>
    <row r="942">
      <c r="Z942">
        <f>IF(A942="","",COUNTIF('40_RAP_DE'!$C:$C,A942))</f>
        <v/>
      </c>
      <c r="AA942">
        <f>IF(A942="","","JFT|"&amp;C942&amp;"|"&amp;D942&amp;"|"&amp;E942&amp;"L"&amp;F942)</f>
        <v/>
      </c>
    </row>
    <row r="943">
      <c r="Z943">
        <f>IF(A943="","",COUNTIF('40_RAP_DE'!$C:$C,A943))</f>
        <v/>
      </c>
      <c r="AA943">
        <f>IF(A943="","","JFT|"&amp;C943&amp;"|"&amp;D943&amp;"|"&amp;E943&amp;"L"&amp;F943)</f>
        <v/>
      </c>
    </row>
    <row r="944">
      <c r="Z944">
        <f>IF(A944="","",COUNTIF('40_RAP_DE'!$C:$C,A944))</f>
        <v/>
      </c>
      <c r="AA944">
        <f>IF(A944="","","JFT|"&amp;C944&amp;"|"&amp;D944&amp;"|"&amp;E944&amp;"L"&amp;F944)</f>
        <v/>
      </c>
    </row>
    <row r="945">
      <c r="Z945">
        <f>IF(A945="","",COUNTIF('40_RAP_DE'!$C:$C,A945))</f>
        <v/>
      </c>
      <c r="AA945">
        <f>IF(A945="","","JFT|"&amp;C945&amp;"|"&amp;D945&amp;"|"&amp;E945&amp;"L"&amp;F945)</f>
        <v/>
      </c>
    </row>
    <row r="946">
      <c r="Z946">
        <f>IF(A946="","",COUNTIF('40_RAP_DE'!$C:$C,A946))</f>
        <v/>
      </c>
      <c r="AA946">
        <f>IF(A946="","","JFT|"&amp;C946&amp;"|"&amp;D946&amp;"|"&amp;E946&amp;"L"&amp;F946)</f>
        <v/>
      </c>
    </row>
    <row r="947">
      <c r="Z947">
        <f>IF(A947="","",COUNTIF('40_RAP_DE'!$C:$C,A947))</f>
        <v/>
      </c>
      <c r="AA947">
        <f>IF(A947="","","JFT|"&amp;C947&amp;"|"&amp;D947&amp;"|"&amp;E947&amp;"L"&amp;F947)</f>
        <v/>
      </c>
    </row>
    <row r="948">
      <c r="Z948">
        <f>IF(A948="","",COUNTIF('40_RAP_DE'!$C:$C,A948))</f>
        <v/>
      </c>
      <c r="AA948">
        <f>IF(A948="","","JFT|"&amp;C948&amp;"|"&amp;D948&amp;"|"&amp;E948&amp;"L"&amp;F948)</f>
        <v/>
      </c>
    </row>
    <row r="949">
      <c r="Z949">
        <f>IF(A949="","",COUNTIF('40_RAP_DE'!$C:$C,A949))</f>
        <v/>
      </c>
      <c r="AA949">
        <f>IF(A949="","","JFT|"&amp;C949&amp;"|"&amp;D949&amp;"|"&amp;E949&amp;"L"&amp;F949)</f>
        <v/>
      </c>
    </row>
    <row r="950">
      <c r="Z950">
        <f>IF(A950="","",COUNTIF('40_RAP_DE'!$C:$C,A950))</f>
        <v/>
      </c>
      <c r="AA950">
        <f>IF(A950="","","JFT|"&amp;C950&amp;"|"&amp;D950&amp;"|"&amp;E950&amp;"L"&amp;F950)</f>
        <v/>
      </c>
    </row>
    <row r="951">
      <c r="Z951">
        <f>IF(A951="","",COUNTIF('40_RAP_DE'!$C:$C,A951))</f>
        <v/>
      </c>
      <c r="AA951">
        <f>IF(A951="","","JFT|"&amp;C951&amp;"|"&amp;D951&amp;"|"&amp;E951&amp;"L"&amp;F951)</f>
        <v/>
      </c>
    </row>
    <row r="952">
      <c r="Z952">
        <f>IF(A952="","",COUNTIF('40_RAP_DE'!$C:$C,A952))</f>
        <v/>
      </c>
      <c r="AA952">
        <f>IF(A952="","","JFT|"&amp;C952&amp;"|"&amp;D952&amp;"|"&amp;E952&amp;"L"&amp;F952)</f>
        <v/>
      </c>
    </row>
    <row r="953">
      <c r="Z953">
        <f>IF(A953="","",COUNTIF('40_RAP_DE'!$C:$C,A953))</f>
        <v/>
      </c>
      <c r="AA953">
        <f>IF(A953="","","JFT|"&amp;C953&amp;"|"&amp;D953&amp;"|"&amp;E953&amp;"L"&amp;F953)</f>
        <v/>
      </c>
    </row>
    <row r="954">
      <c r="Z954">
        <f>IF(A954="","",COUNTIF('40_RAP_DE'!$C:$C,A954))</f>
        <v/>
      </c>
      <c r="AA954">
        <f>IF(A954="","","JFT|"&amp;C954&amp;"|"&amp;D954&amp;"|"&amp;E954&amp;"L"&amp;F954)</f>
        <v/>
      </c>
    </row>
    <row r="955">
      <c r="Z955">
        <f>IF(A955="","",COUNTIF('40_RAP_DE'!$C:$C,A955))</f>
        <v/>
      </c>
      <c r="AA955">
        <f>IF(A955="","","JFT|"&amp;C955&amp;"|"&amp;D955&amp;"|"&amp;E955&amp;"L"&amp;F955)</f>
        <v/>
      </c>
    </row>
    <row r="956">
      <c r="Z956">
        <f>IF(A956="","",COUNTIF('40_RAP_DE'!$C:$C,A956))</f>
        <v/>
      </c>
      <c r="AA956">
        <f>IF(A956="","","JFT|"&amp;C956&amp;"|"&amp;D956&amp;"|"&amp;E956&amp;"L"&amp;F956)</f>
        <v/>
      </c>
    </row>
    <row r="957">
      <c r="Z957">
        <f>IF(A957="","",COUNTIF('40_RAP_DE'!$C:$C,A957))</f>
        <v/>
      </c>
      <c r="AA957">
        <f>IF(A957="","","JFT|"&amp;C957&amp;"|"&amp;D957&amp;"|"&amp;E957&amp;"L"&amp;F957)</f>
        <v/>
      </c>
    </row>
    <row r="958">
      <c r="Z958">
        <f>IF(A958="","",COUNTIF('40_RAP_DE'!$C:$C,A958))</f>
        <v/>
      </c>
      <c r="AA958">
        <f>IF(A958="","","JFT|"&amp;C958&amp;"|"&amp;D958&amp;"|"&amp;E958&amp;"L"&amp;F958)</f>
        <v/>
      </c>
    </row>
    <row r="959">
      <c r="Z959">
        <f>IF(A959="","",COUNTIF('40_RAP_DE'!$C:$C,A959))</f>
        <v/>
      </c>
      <c r="AA959">
        <f>IF(A959="","","JFT|"&amp;C959&amp;"|"&amp;D959&amp;"|"&amp;E959&amp;"L"&amp;F959)</f>
        <v/>
      </c>
    </row>
    <row r="960">
      <c r="Z960">
        <f>IF(A960="","",COUNTIF('40_RAP_DE'!$C:$C,A960))</f>
        <v/>
      </c>
      <c r="AA960">
        <f>IF(A960="","","JFT|"&amp;C960&amp;"|"&amp;D960&amp;"|"&amp;E960&amp;"L"&amp;F960)</f>
        <v/>
      </c>
    </row>
    <row r="961">
      <c r="Z961">
        <f>IF(A961="","",COUNTIF('40_RAP_DE'!$C:$C,A961))</f>
        <v/>
      </c>
      <c r="AA961">
        <f>IF(A961="","","JFT|"&amp;C961&amp;"|"&amp;D961&amp;"|"&amp;E961&amp;"L"&amp;F961)</f>
        <v/>
      </c>
    </row>
    <row r="962">
      <c r="Z962">
        <f>IF(A962="","",COUNTIF('40_RAP_DE'!$C:$C,A962))</f>
        <v/>
      </c>
      <c r="AA962">
        <f>IF(A962="","","JFT|"&amp;C962&amp;"|"&amp;D962&amp;"|"&amp;E962&amp;"L"&amp;F962)</f>
        <v/>
      </c>
    </row>
    <row r="963">
      <c r="Z963">
        <f>IF(A963="","",COUNTIF('40_RAP_DE'!$C:$C,A963))</f>
        <v/>
      </c>
      <c r="AA963">
        <f>IF(A963="","","JFT|"&amp;C963&amp;"|"&amp;D963&amp;"|"&amp;E963&amp;"L"&amp;F963)</f>
        <v/>
      </c>
    </row>
    <row r="964">
      <c r="Z964">
        <f>IF(A964="","",COUNTIF('40_RAP_DE'!$C:$C,A964))</f>
        <v/>
      </c>
      <c r="AA964">
        <f>IF(A964="","","JFT|"&amp;C964&amp;"|"&amp;D964&amp;"|"&amp;E964&amp;"L"&amp;F964)</f>
        <v/>
      </c>
    </row>
    <row r="965">
      <c r="Z965">
        <f>IF(A965="","",COUNTIF('40_RAP_DE'!$C:$C,A965))</f>
        <v/>
      </c>
      <c r="AA965">
        <f>IF(A965="","","JFT|"&amp;C965&amp;"|"&amp;D965&amp;"|"&amp;E965&amp;"L"&amp;F965)</f>
        <v/>
      </c>
    </row>
    <row r="966">
      <c r="Z966">
        <f>IF(A966="","",COUNTIF('40_RAP_DE'!$C:$C,A966))</f>
        <v/>
      </c>
      <c r="AA966">
        <f>IF(A966="","","JFT|"&amp;C966&amp;"|"&amp;D966&amp;"|"&amp;E966&amp;"L"&amp;F966)</f>
        <v/>
      </c>
    </row>
    <row r="967">
      <c r="Z967">
        <f>IF(A967="","",COUNTIF('40_RAP_DE'!$C:$C,A967))</f>
        <v/>
      </c>
      <c r="AA967">
        <f>IF(A967="","","JFT|"&amp;C967&amp;"|"&amp;D967&amp;"|"&amp;E967&amp;"L"&amp;F967)</f>
        <v/>
      </c>
    </row>
    <row r="968">
      <c r="Z968">
        <f>IF(A968="","",COUNTIF('40_RAP_DE'!$C:$C,A968))</f>
        <v/>
      </c>
      <c r="AA968">
        <f>IF(A968="","","JFT|"&amp;C968&amp;"|"&amp;D968&amp;"|"&amp;E968&amp;"L"&amp;F968)</f>
        <v/>
      </c>
    </row>
    <row r="969">
      <c r="Z969">
        <f>IF(A969="","",COUNTIF('40_RAP_DE'!$C:$C,A969))</f>
        <v/>
      </c>
      <c r="AA969">
        <f>IF(A969="","","JFT|"&amp;C969&amp;"|"&amp;D969&amp;"|"&amp;E969&amp;"L"&amp;F969)</f>
        <v/>
      </c>
    </row>
    <row r="970">
      <c r="Z970">
        <f>IF(A970="","",COUNTIF('40_RAP_DE'!$C:$C,A970))</f>
        <v/>
      </c>
      <c r="AA970">
        <f>IF(A970="","","JFT|"&amp;C970&amp;"|"&amp;D970&amp;"|"&amp;E970&amp;"L"&amp;F970)</f>
        <v/>
      </c>
    </row>
    <row r="971">
      <c r="Z971">
        <f>IF(A971="","",COUNTIF('40_RAP_DE'!$C:$C,A971))</f>
        <v/>
      </c>
      <c r="AA971">
        <f>IF(A971="","","JFT|"&amp;C971&amp;"|"&amp;D971&amp;"|"&amp;E971&amp;"L"&amp;F971)</f>
        <v/>
      </c>
    </row>
    <row r="972">
      <c r="Z972">
        <f>IF(A972="","",COUNTIF('40_RAP_DE'!$C:$C,A972))</f>
        <v/>
      </c>
      <c r="AA972">
        <f>IF(A972="","","JFT|"&amp;C972&amp;"|"&amp;D972&amp;"|"&amp;E972&amp;"L"&amp;F972)</f>
        <v/>
      </c>
    </row>
    <row r="973">
      <c r="Z973">
        <f>IF(A973="","",COUNTIF('40_RAP_DE'!$C:$C,A973))</f>
        <v/>
      </c>
      <c r="AA973">
        <f>IF(A973="","","JFT|"&amp;C973&amp;"|"&amp;D973&amp;"|"&amp;E973&amp;"L"&amp;F973)</f>
        <v/>
      </c>
    </row>
    <row r="974">
      <c r="Z974">
        <f>IF(A974="","",COUNTIF('40_RAP_DE'!$C:$C,A974))</f>
        <v/>
      </c>
      <c r="AA974">
        <f>IF(A974="","","JFT|"&amp;C974&amp;"|"&amp;D974&amp;"|"&amp;E974&amp;"L"&amp;F974)</f>
        <v/>
      </c>
    </row>
    <row r="975">
      <c r="Z975">
        <f>IF(A975="","",COUNTIF('40_RAP_DE'!$C:$C,A975))</f>
        <v/>
      </c>
      <c r="AA975">
        <f>IF(A975="","","JFT|"&amp;C975&amp;"|"&amp;D975&amp;"|"&amp;E975&amp;"L"&amp;F975)</f>
        <v/>
      </c>
    </row>
    <row r="976">
      <c r="Z976">
        <f>IF(A976="","",COUNTIF('40_RAP_DE'!$C:$C,A976))</f>
        <v/>
      </c>
      <c r="AA976">
        <f>IF(A976="","","JFT|"&amp;C976&amp;"|"&amp;D976&amp;"|"&amp;E976&amp;"L"&amp;F976)</f>
        <v/>
      </c>
    </row>
    <row r="977">
      <c r="Z977">
        <f>IF(A977="","",COUNTIF('40_RAP_DE'!$C:$C,A977))</f>
        <v/>
      </c>
      <c r="AA977">
        <f>IF(A977="","","JFT|"&amp;C977&amp;"|"&amp;D977&amp;"|"&amp;E977&amp;"L"&amp;F977)</f>
        <v/>
      </c>
    </row>
    <row r="978">
      <c r="Z978">
        <f>IF(A978="","",COUNTIF('40_RAP_DE'!$C:$C,A978))</f>
        <v/>
      </c>
      <c r="AA978">
        <f>IF(A978="","","JFT|"&amp;C978&amp;"|"&amp;D978&amp;"|"&amp;E978&amp;"L"&amp;F978)</f>
        <v/>
      </c>
    </row>
    <row r="979">
      <c r="Z979">
        <f>IF(A979="","",COUNTIF('40_RAP_DE'!$C:$C,A979))</f>
        <v/>
      </c>
      <c r="AA979">
        <f>IF(A979="","","JFT|"&amp;C979&amp;"|"&amp;D979&amp;"|"&amp;E979&amp;"L"&amp;F979)</f>
        <v/>
      </c>
    </row>
    <row r="980">
      <c r="Z980">
        <f>IF(A980="","",COUNTIF('40_RAP_DE'!$C:$C,A980))</f>
        <v/>
      </c>
      <c r="AA980">
        <f>IF(A980="","","JFT|"&amp;C980&amp;"|"&amp;D980&amp;"|"&amp;E980&amp;"L"&amp;F980)</f>
        <v/>
      </c>
    </row>
    <row r="981">
      <c r="Z981">
        <f>IF(A981="","",COUNTIF('40_RAP_DE'!$C:$C,A981))</f>
        <v/>
      </c>
      <c r="AA981">
        <f>IF(A981="","","JFT|"&amp;C981&amp;"|"&amp;D981&amp;"|"&amp;E981&amp;"L"&amp;F981)</f>
        <v/>
      </c>
    </row>
    <row r="982">
      <c r="Z982">
        <f>IF(A982="","",COUNTIF('40_RAP_DE'!$C:$C,A982))</f>
        <v/>
      </c>
      <c r="AA982">
        <f>IF(A982="","","JFT|"&amp;C982&amp;"|"&amp;D982&amp;"|"&amp;E982&amp;"L"&amp;F982)</f>
        <v/>
      </c>
    </row>
    <row r="983">
      <c r="Z983">
        <f>IF(A983="","",COUNTIF('40_RAP_DE'!$C:$C,A983))</f>
        <v/>
      </c>
      <c r="AA983">
        <f>IF(A983="","","JFT|"&amp;C983&amp;"|"&amp;D983&amp;"|"&amp;E983&amp;"L"&amp;F983)</f>
        <v/>
      </c>
    </row>
    <row r="984">
      <c r="Z984">
        <f>IF(A984="","",COUNTIF('40_RAP_DE'!$C:$C,A984))</f>
        <v/>
      </c>
      <c r="AA984">
        <f>IF(A984="","","JFT|"&amp;C984&amp;"|"&amp;D984&amp;"|"&amp;E984&amp;"L"&amp;F984)</f>
        <v/>
      </c>
    </row>
    <row r="985">
      <c r="Z985">
        <f>IF(A985="","",COUNTIF('40_RAP_DE'!$C:$C,A985))</f>
        <v/>
      </c>
      <c r="AA985">
        <f>IF(A985="","","JFT|"&amp;C985&amp;"|"&amp;D985&amp;"|"&amp;E985&amp;"L"&amp;F985)</f>
        <v/>
      </c>
    </row>
    <row r="986">
      <c r="Z986">
        <f>IF(A986="","",COUNTIF('40_RAP_DE'!$C:$C,A986))</f>
        <v/>
      </c>
      <c r="AA986">
        <f>IF(A986="","","JFT|"&amp;C986&amp;"|"&amp;D986&amp;"|"&amp;E986&amp;"L"&amp;F986)</f>
        <v/>
      </c>
    </row>
    <row r="987">
      <c r="Z987">
        <f>IF(A987="","",COUNTIF('40_RAP_DE'!$C:$C,A987))</f>
        <v/>
      </c>
      <c r="AA987">
        <f>IF(A987="","","JFT|"&amp;C987&amp;"|"&amp;D987&amp;"|"&amp;E987&amp;"L"&amp;F987)</f>
        <v/>
      </c>
    </row>
    <row r="988">
      <c r="Z988">
        <f>IF(A988="","",COUNTIF('40_RAP_DE'!$C:$C,A988))</f>
        <v/>
      </c>
      <c r="AA988">
        <f>IF(A988="","","JFT|"&amp;C988&amp;"|"&amp;D988&amp;"|"&amp;E988&amp;"L"&amp;F988)</f>
        <v/>
      </c>
    </row>
    <row r="989">
      <c r="Z989">
        <f>IF(A989="","",COUNTIF('40_RAP_DE'!$C:$C,A989))</f>
        <v/>
      </c>
      <c r="AA989">
        <f>IF(A989="","","JFT|"&amp;C989&amp;"|"&amp;D989&amp;"|"&amp;E989&amp;"L"&amp;F989)</f>
        <v/>
      </c>
    </row>
    <row r="990">
      <c r="Z990">
        <f>IF(A990="","",COUNTIF('40_RAP_DE'!$C:$C,A990))</f>
        <v/>
      </c>
      <c r="AA990">
        <f>IF(A990="","","JFT|"&amp;C990&amp;"|"&amp;D990&amp;"|"&amp;E990&amp;"L"&amp;F990)</f>
        <v/>
      </c>
    </row>
    <row r="991">
      <c r="Z991">
        <f>IF(A991="","",COUNTIF('40_RAP_DE'!$C:$C,A991))</f>
        <v/>
      </c>
      <c r="AA991">
        <f>IF(A991="","","JFT|"&amp;C991&amp;"|"&amp;D991&amp;"|"&amp;E991&amp;"L"&amp;F991)</f>
        <v/>
      </c>
    </row>
    <row r="992">
      <c r="Z992">
        <f>IF(A992="","",COUNTIF('40_RAP_DE'!$C:$C,A992))</f>
        <v/>
      </c>
      <c r="AA992">
        <f>IF(A992="","","JFT|"&amp;C992&amp;"|"&amp;D992&amp;"|"&amp;E992&amp;"L"&amp;F992)</f>
        <v/>
      </c>
    </row>
    <row r="993">
      <c r="Z993">
        <f>IF(A993="","",COUNTIF('40_RAP_DE'!$C:$C,A993))</f>
        <v/>
      </c>
      <c r="AA993">
        <f>IF(A993="","","JFT|"&amp;C993&amp;"|"&amp;D993&amp;"|"&amp;E993&amp;"L"&amp;F993)</f>
        <v/>
      </c>
    </row>
    <row r="994">
      <c r="Z994">
        <f>IF(A994="","",COUNTIF('40_RAP_DE'!$C:$C,A994))</f>
        <v/>
      </c>
      <c r="AA994">
        <f>IF(A994="","","JFT|"&amp;C994&amp;"|"&amp;D994&amp;"|"&amp;E994&amp;"L"&amp;F994)</f>
        <v/>
      </c>
    </row>
    <row r="995">
      <c r="Z995">
        <f>IF(A995="","",COUNTIF('40_RAP_DE'!$C:$C,A995))</f>
        <v/>
      </c>
      <c r="AA995">
        <f>IF(A995="","","JFT|"&amp;C995&amp;"|"&amp;D995&amp;"|"&amp;E995&amp;"L"&amp;F995)</f>
        <v/>
      </c>
    </row>
    <row r="996">
      <c r="Z996">
        <f>IF(A996="","",COUNTIF('40_RAP_DE'!$C:$C,A996))</f>
        <v/>
      </c>
      <c r="AA996">
        <f>IF(A996="","","JFT|"&amp;C996&amp;"|"&amp;D996&amp;"|"&amp;E996&amp;"L"&amp;F996)</f>
        <v/>
      </c>
    </row>
    <row r="997">
      <c r="Z997">
        <f>IF(A997="","",COUNTIF('40_RAP_DE'!$C:$C,A997))</f>
        <v/>
      </c>
      <c r="AA997">
        <f>IF(A997="","","JFT|"&amp;C997&amp;"|"&amp;D997&amp;"|"&amp;E997&amp;"L"&amp;F997)</f>
        <v/>
      </c>
    </row>
    <row r="998">
      <c r="Z998">
        <f>IF(A998="","",COUNTIF('40_RAP_DE'!$C:$C,A998))</f>
        <v/>
      </c>
      <c r="AA998">
        <f>IF(A998="","","JFT|"&amp;C998&amp;"|"&amp;D998&amp;"|"&amp;E998&amp;"L"&amp;F998)</f>
        <v/>
      </c>
    </row>
    <row r="999">
      <c r="Z999">
        <f>IF(A999="","",COUNTIF('40_RAP_DE'!$C:$C,A999))</f>
        <v/>
      </c>
      <c r="AA999">
        <f>IF(A999="","","JFT|"&amp;C999&amp;"|"&amp;D999&amp;"|"&amp;E999&amp;"L"&amp;F999)</f>
        <v/>
      </c>
    </row>
    <row r="1000">
      <c r="Z1000">
        <f>IF(A1000="","",COUNTIF('40_RAP_DE'!$C:$C,A1000))</f>
        <v/>
      </c>
      <c r="AA1000">
        <f>IF(A1000="","","JFT|"&amp;C1000&amp;"|"&amp;D1000&amp;"|"&amp;E1000&amp;"L"&amp;F1000)</f>
        <v/>
      </c>
    </row>
    <row r="1001">
      <c r="Z1001">
        <f>IF(A1001="","",COUNTIF('40_RAP_DE'!$C:$C,A1001))</f>
        <v/>
      </c>
      <c r="AA1001">
        <f>IF(A1001="","","JFT|"&amp;C1001&amp;"|"&amp;D1001&amp;"|"&amp;E1001&amp;"L"&amp;F1001)</f>
        <v/>
      </c>
    </row>
    <row r="1002">
      <c r="Z1002">
        <f>IF(A1002="","",COUNTIF('40_RAP_DE'!$C:$C,A1002))</f>
        <v/>
      </c>
      <c r="AA1002">
        <f>IF(A1002="","","JFT|"&amp;C1002&amp;"|"&amp;D1002&amp;"|"&amp;E1002&amp;"L"&amp;F1002)</f>
        <v/>
      </c>
    </row>
    <row r="1003">
      <c r="Z1003">
        <f>IF(A1003="","",COUNTIF('40_RAP_DE'!$C:$C,A1003))</f>
        <v/>
      </c>
      <c r="AA1003">
        <f>IF(A1003="","","JFT|"&amp;C1003&amp;"|"&amp;D1003&amp;"|"&amp;E1003&amp;"L"&amp;F1003)</f>
        <v/>
      </c>
    </row>
    <row r="1004">
      <c r="Z1004">
        <f>IF(A1004="","",COUNTIF('40_RAP_DE'!$C:$C,A1004))</f>
        <v/>
      </c>
      <c r="AA1004">
        <f>IF(A1004="","","JFT|"&amp;C1004&amp;"|"&amp;D1004&amp;"|"&amp;E1004&amp;"L"&amp;F1004)</f>
        <v/>
      </c>
    </row>
    <row r="1005">
      <c r="Z1005">
        <f>IF(A1005="","",COUNTIF('40_RAP_DE'!$C:$C,A1005))</f>
        <v/>
      </c>
      <c r="AA1005">
        <f>IF(A1005="","","JFT|"&amp;C1005&amp;"|"&amp;D1005&amp;"|"&amp;E1005&amp;"L"&amp;F1005)</f>
        <v/>
      </c>
    </row>
    <row r="1006">
      <c r="Z1006">
        <f>IF(A1006="","",COUNTIF('40_RAP_DE'!$C:$C,A1006))</f>
        <v/>
      </c>
      <c r="AA1006">
        <f>IF(A1006="","","JFT|"&amp;C1006&amp;"|"&amp;D1006&amp;"|"&amp;E1006&amp;"L"&amp;F1006)</f>
        <v/>
      </c>
    </row>
    <row r="1007">
      <c r="Z1007">
        <f>IF(A1007="","",COUNTIF('40_RAP_DE'!$C:$C,A1007))</f>
        <v/>
      </c>
      <c r="AA1007">
        <f>IF(A1007="","","JFT|"&amp;C1007&amp;"|"&amp;D1007&amp;"|"&amp;E1007&amp;"L"&amp;F1007)</f>
        <v/>
      </c>
    </row>
    <row r="1008">
      <c r="Z1008">
        <f>IF(A1008="","",COUNTIF('40_RAP_DE'!$C:$C,A1008))</f>
        <v/>
      </c>
      <c r="AA1008">
        <f>IF(A1008="","","JFT|"&amp;C1008&amp;"|"&amp;D1008&amp;"|"&amp;E1008&amp;"L"&amp;F1008)</f>
        <v/>
      </c>
    </row>
    <row r="1009">
      <c r="Z1009">
        <f>IF(A1009="","",COUNTIF('40_RAP_DE'!$C:$C,A1009))</f>
        <v/>
      </c>
      <c r="AA1009">
        <f>IF(A1009="","","JFT|"&amp;C1009&amp;"|"&amp;D1009&amp;"|"&amp;E1009&amp;"L"&amp;F1009)</f>
        <v/>
      </c>
    </row>
    <row r="1010">
      <c r="Z1010">
        <f>IF(A1010="","",COUNTIF('40_RAP_DE'!$C:$C,A1010))</f>
        <v/>
      </c>
      <c r="AA1010">
        <f>IF(A1010="","","JFT|"&amp;C1010&amp;"|"&amp;D1010&amp;"|"&amp;E1010&amp;"L"&amp;F1010)</f>
        <v/>
      </c>
    </row>
    <row r="1011">
      <c r="Z1011">
        <f>IF(A1011="","",COUNTIF('40_RAP_DE'!$C:$C,A1011))</f>
        <v/>
      </c>
      <c r="AA1011">
        <f>IF(A1011="","","JFT|"&amp;C1011&amp;"|"&amp;D1011&amp;"|"&amp;E1011&amp;"L"&amp;F1011)</f>
        <v/>
      </c>
    </row>
    <row r="1012">
      <c r="Z1012">
        <f>IF(A1012="","",COUNTIF('40_RAP_DE'!$C:$C,A1012))</f>
        <v/>
      </c>
      <c r="AA1012">
        <f>IF(A1012="","","JFT|"&amp;C1012&amp;"|"&amp;D1012&amp;"|"&amp;E1012&amp;"L"&amp;F1012)</f>
        <v/>
      </c>
    </row>
    <row r="1013">
      <c r="Z1013">
        <f>IF(A1013="","",COUNTIF('40_RAP_DE'!$C:$C,A1013))</f>
        <v/>
      </c>
      <c r="AA1013">
        <f>IF(A1013="","","JFT|"&amp;C1013&amp;"|"&amp;D1013&amp;"|"&amp;E1013&amp;"L"&amp;F1013)</f>
        <v/>
      </c>
    </row>
    <row r="1014">
      <c r="Z1014">
        <f>IF(A1014="","",COUNTIF('40_RAP_DE'!$C:$C,A1014))</f>
        <v/>
      </c>
      <c r="AA1014">
        <f>IF(A1014="","","JFT|"&amp;C1014&amp;"|"&amp;D1014&amp;"|"&amp;E1014&amp;"L"&amp;F1014)</f>
        <v/>
      </c>
    </row>
    <row r="1015">
      <c r="Z1015">
        <f>IF(A1015="","",COUNTIF('40_RAP_DE'!$C:$C,A1015))</f>
        <v/>
      </c>
      <c r="AA1015">
        <f>IF(A1015="","","JFT|"&amp;C1015&amp;"|"&amp;D1015&amp;"|"&amp;E1015&amp;"L"&amp;F1015)</f>
        <v/>
      </c>
    </row>
    <row r="1016">
      <c r="Z1016">
        <f>IF(A1016="","",COUNTIF('40_RAP_DE'!$C:$C,A1016))</f>
        <v/>
      </c>
      <c r="AA1016">
        <f>IF(A1016="","","JFT|"&amp;C1016&amp;"|"&amp;D1016&amp;"|"&amp;E1016&amp;"L"&amp;F1016)</f>
        <v/>
      </c>
    </row>
    <row r="1017">
      <c r="Z1017">
        <f>IF(A1017="","",COUNTIF('40_RAP_DE'!$C:$C,A1017))</f>
        <v/>
      </c>
      <c r="AA1017">
        <f>IF(A1017="","","JFT|"&amp;C1017&amp;"|"&amp;D1017&amp;"|"&amp;E1017&amp;"L"&amp;F1017)</f>
        <v/>
      </c>
    </row>
    <row r="1018">
      <c r="Z1018">
        <f>IF(A1018="","",COUNTIF('40_RAP_DE'!$C:$C,A1018))</f>
        <v/>
      </c>
      <c r="AA1018">
        <f>IF(A1018="","","JFT|"&amp;C1018&amp;"|"&amp;D1018&amp;"|"&amp;E1018&amp;"L"&amp;F1018)</f>
        <v/>
      </c>
    </row>
    <row r="1019">
      <c r="Z1019">
        <f>IF(A1019="","",COUNTIF('40_RAP_DE'!$C:$C,A1019))</f>
        <v/>
      </c>
      <c r="AA1019">
        <f>IF(A1019="","","JFT|"&amp;C1019&amp;"|"&amp;D1019&amp;"|"&amp;E1019&amp;"L"&amp;F1019)</f>
        <v/>
      </c>
    </row>
    <row r="1020">
      <c r="Z1020">
        <f>IF(A1020="","",COUNTIF('40_RAP_DE'!$C:$C,A1020))</f>
        <v/>
      </c>
      <c r="AA1020">
        <f>IF(A1020="","","JFT|"&amp;C1020&amp;"|"&amp;D1020&amp;"|"&amp;E1020&amp;"L"&amp;F1020)</f>
        <v/>
      </c>
    </row>
    <row r="1021">
      <c r="Z1021">
        <f>IF(A1021="","",COUNTIF('40_RAP_DE'!$C:$C,A1021))</f>
        <v/>
      </c>
      <c r="AA1021">
        <f>IF(A1021="","","JFT|"&amp;C1021&amp;"|"&amp;D1021&amp;"|"&amp;E1021&amp;"L"&amp;F1021)</f>
        <v/>
      </c>
    </row>
    <row r="1022">
      <c r="Z1022">
        <f>IF(A1022="","",COUNTIF('40_RAP_DE'!$C:$C,A1022))</f>
        <v/>
      </c>
      <c r="AA1022">
        <f>IF(A1022="","","JFT|"&amp;C1022&amp;"|"&amp;D1022&amp;"|"&amp;E1022&amp;"L"&amp;F1022)</f>
        <v/>
      </c>
    </row>
    <row r="1023">
      <c r="Z1023">
        <f>IF(A1023="","",COUNTIF('40_RAP_DE'!$C:$C,A1023))</f>
        <v/>
      </c>
      <c r="AA1023">
        <f>IF(A1023="","","JFT|"&amp;C1023&amp;"|"&amp;D1023&amp;"|"&amp;E1023&amp;"L"&amp;F1023)</f>
        <v/>
      </c>
    </row>
    <row r="1024">
      <c r="Z1024">
        <f>IF(A1024="","",COUNTIF('40_RAP_DE'!$C:$C,A1024))</f>
        <v/>
      </c>
      <c r="AA1024">
        <f>IF(A1024="","","JFT|"&amp;C1024&amp;"|"&amp;D1024&amp;"|"&amp;E1024&amp;"L"&amp;F1024)</f>
        <v/>
      </c>
    </row>
    <row r="1025">
      <c r="Z1025">
        <f>IF(A1025="","",COUNTIF('40_RAP_DE'!$C:$C,A1025))</f>
        <v/>
      </c>
      <c r="AA1025">
        <f>IF(A1025="","","JFT|"&amp;C1025&amp;"|"&amp;D1025&amp;"|"&amp;E1025&amp;"L"&amp;F1025)</f>
        <v/>
      </c>
    </row>
    <row r="1026">
      <c r="Z1026">
        <f>IF(A1026="","",COUNTIF('40_RAP_DE'!$C:$C,A1026))</f>
        <v/>
      </c>
      <c r="AA1026">
        <f>IF(A1026="","","JFT|"&amp;C1026&amp;"|"&amp;D1026&amp;"|"&amp;E1026&amp;"L"&amp;F1026)</f>
        <v/>
      </c>
    </row>
    <row r="1027">
      <c r="Z1027">
        <f>IF(A1027="","",COUNTIF('40_RAP_DE'!$C:$C,A1027))</f>
        <v/>
      </c>
      <c r="AA1027">
        <f>IF(A1027="","","JFT|"&amp;C1027&amp;"|"&amp;D1027&amp;"|"&amp;E1027&amp;"L"&amp;F1027)</f>
        <v/>
      </c>
    </row>
    <row r="1028">
      <c r="Z1028">
        <f>IF(A1028="","",COUNTIF('40_RAP_DE'!$C:$C,A1028))</f>
        <v/>
      </c>
      <c r="AA1028">
        <f>IF(A1028="","","JFT|"&amp;C1028&amp;"|"&amp;D1028&amp;"|"&amp;E1028&amp;"L"&amp;F1028)</f>
        <v/>
      </c>
    </row>
    <row r="1029">
      <c r="Z1029">
        <f>IF(A1029="","",COUNTIF('40_RAP_DE'!$C:$C,A1029))</f>
        <v/>
      </c>
      <c r="AA1029">
        <f>IF(A1029="","","JFT|"&amp;C1029&amp;"|"&amp;D1029&amp;"|"&amp;E1029&amp;"L"&amp;F1029)</f>
        <v/>
      </c>
    </row>
    <row r="1030">
      <c r="Z1030">
        <f>IF(A1030="","",COUNTIF('40_RAP_DE'!$C:$C,A1030))</f>
        <v/>
      </c>
      <c r="AA1030">
        <f>IF(A1030="","","JFT|"&amp;C1030&amp;"|"&amp;D1030&amp;"|"&amp;E1030&amp;"L"&amp;F1030)</f>
        <v/>
      </c>
    </row>
    <row r="1031">
      <c r="Z1031">
        <f>IF(A1031="","",COUNTIF('40_RAP_DE'!$C:$C,A1031))</f>
        <v/>
      </c>
      <c r="AA1031">
        <f>IF(A1031="","","JFT|"&amp;C1031&amp;"|"&amp;D1031&amp;"|"&amp;E1031&amp;"L"&amp;F1031)</f>
        <v/>
      </c>
    </row>
    <row r="1032">
      <c r="Z1032">
        <f>IF(A1032="","",COUNTIF('40_RAP_DE'!$C:$C,A1032))</f>
        <v/>
      </c>
      <c r="AA1032">
        <f>IF(A1032="","","JFT|"&amp;C1032&amp;"|"&amp;D1032&amp;"|"&amp;E1032&amp;"L"&amp;F1032)</f>
        <v/>
      </c>
    </row>
    <row r="1033">
      <c r="Z1033">
        <f>IF(A1033="","",COUNTIF('40_RAP_DE'!$C:$C,A1033))</f>
        <v/>
      </c>
      <c r="AA1033">
        <f>IF(A1033="","","JFT|"&amp;C1033&amp;"|"&amp;D1033&amp;"|"&amp;E1033&amp;"L"&amp;F1033)</f>
        <v/>
      </c>
    </row>
    <row r="1034">
      <c r="Z1034">
        <f>IF(A1034="","",COUNTIF('40_RAP_DE'!$C:$C,A1034))</f>
        <v/>
      </c>
      <c r="AA1034">
        <f>IF(A1034="","","JFT|"&amp;C1034&amp;"|"&amp;D1034&amp;"|"&amp;E1034&amp;"L"&amp;F1034)</f>
        <v/>
      </c>
    </row>
    <row r="1035">
      <c r="Z1035">
        <f>IF(A1035="","",COUNTIF('40_RAP_DE'!$C:$C,A1035))</f>
        <v/>
      </c>
      <c r="AA1035">
        <f>IF(A1035="","","JFT|"&amp;C1035&amp;"|"&amp;D1035&amp;"|"&amp;E1035&amp;"L"&amp;F1035)</f>
        <v/>
      </c>
    </row>
    <row r="1036">
      <c r="Z1036">
        <f>IF(A1036="","",COUNTIF('40_RAP_DE'!$C:$C,A1036))</f>
        <v/>
      </c>
      <c r="AA1036">
        <f>IF(A1036="","","JFT|"&amp;C1036&amp;"|"&amp;D1036&amp;"|"&amp;E1036&amp;"L"&amp;F1036)</f>
        <v/>
      </c>
    </row>
    <row r="1037">
      <c r="Z1037">
        <f>IF(A1037="","",COUNTIF('40_RAP_DE'!$C:$C,A1037))</f>
        <v/>
      </c>
      <c r="AA1037">
        <f>IF(A1037="","","JFT|"&amp;C1037&amp;"|"&amp;D1037&amp;"|"&amp;E1037&amp;"L"&amp;F1037)</f>
        <v/>
      </c>
    </row>
    <row r="1038">
      <c r="Z1038">
        <f>IF(A1038="","",COUNTIF('40_RAP_DE'!$C:$C,A1038))</f>
        <v/>
      </c>
      <c r="AA1038">
        <f>IF(A1038="","","JFT|"&amp;C1038&amp;"|"&amp;D1038&amp;"|"&amp;E1038&amp;"L"&amp;F1038)</f>
        <v/>
      </c>
    </row>
    <row r="1039">
      <c r="Z1039">
        <f>IF(A1039="","",COUNTIF('40_RAP_DE'!$C:$C,A1039))</f>
        <v/>
      </c>
      <c r="AA1039">
        <f>IF(A1039="","","JFT|"&amp;C1039&amp;"|"&amp;D1039&amp;"|"&amp;E1039&amp;"L"&amp;F1039)</f>
        <v/>
      </c>
    </row>
    <row r="1040">
      <c r="Z1040">
        <f>IF(A1040="","",COUNTIF('40_RAP_DE'!$C:$C,A1040))</f>
        <v/>
      </c>
      <c r="AA1040">
        <f>IF(A1040="","","JFT|"&amp;C1040&amp;"|"&amp;D1040&amp;"|"&amp;E1040&amp;"L"&amp;F1040)</f>
        <v/>
      </c>
    </row>
    <row r="1041">
      <c r="Z1041">
        <f>IF(A1041="","",COUNTIF('40_RAP_DE'!$C:$C,A1041))</f>
        <v/>
      </c>
      <c r="AA1041">
        <f>IF(A1041="","","JFT|"&amp;C1041&amp;"|"&amp;D1041&amp;"|"&amp;E1041&amp;"L"&amp;F1041)</f>
        <v/>
      </c>
    </row>
    <row r="1042">
      <c r="Z1042">
        <f>IF(A1042="","",COUNTIF('40_RAP_DE'!$C:$C,A1042))</f>
        <v/>
      </c>
      <c r="AA1042">
        <f>IF(A1042="","","JFT|"&amp;C1042&amp;"|"&amp;D1042&amp;"|"&amp;E1042&amp;"L"&amp;F1042)</f>
        <v/>
      </c>
    </row>
    <row r="1043">
      <c r="Z1043">
        <f>IF(A1043="","",COUNTIF('40_RAP_DE'!$C:$C,A1043))</f>
        <v/>
      </c>
      <c r="AA1043">
        <f>IF(A1043="","","JFT|"&amp;C1043&amp;"|"&amp;D1043&amp;"|"&amp;E1043&amp;"L"&amp;F1043)</f>
        <v/>
      </c>
    </row>
    <row r="1044">
      <c r="Z1044">
        <f>IF(A1044="","",COUNTIF('40_RAP_DE'!$C:$C,A1044))</f>
        <v/>
      </c>
      <c r="AA1044">
        <f>IF(A1044="","","JFT|"&amp;C1044&amp;"|"&amp;D1044&amp;"|"&amp;E1044&amp;"L"&amp;F1044)</f>
        <v/>
      </c>
    </row>
    <row r="1045">
      <c r="Z1045">
        <f>IF(A1045="","",COUNTIF('40_RAP_DE'!$C:$C,A1045))</f>
        <v/>
      </c>
      <c r="AA1045">
        <f>IF(A1045="","","JFT|"&amp;C1045&amp;"|"&amp;D1045&amp;"|"&amp;E1045&amp;"L"&amp;F1045)</f>
        <v/>
      </c>
    </row>
    <row r="1046">
      <c r="Z1046">
        <f>IF(A1046="","",COUNTIF('40_RAP_DE'!$C:$C,A1046))</f>
        <v/>
      </c>
      <c r="AA1046">
        <f>IF(A1046="","","JFT|"&amp;C1046&amp;"|"&amp;D1046&amp;"|"&amp;E1046&amp;"L"&amp;F1046)</f>
        <v/>
      </c>
    </row>
    <row r="1047">
      <c r="Z1047">
        <f>IF(A1047="","",COUNTIF('40_RAP_DE'!$C:$C,A1047))</f>
        <v/>
      </c>
      <c r="AA1047">
        <f>IF(A1047="","","JFT|"&amp;C1047&amp;"|"&amp;D1047&amp;"|"&amp;E1047&amp;"L"&amp;F1047)</f>
        <v/>
      </c>
    </row>
    <row r="1048">
      <c r="Z1048">
        <f>IF(A1048="","",COUNTIF('40_RAP_DE'!$C:$C,A1048))</f>
        <v/>
      </c>
      <c r="AA1048">
        <f>IF(A1048="","","JFT|"&amp;C1048&amp;"|"&amp;D1048&amp;"|"&amp;E1048&amp;"L"&amp;F1048)</f>
        <v/>
      </c>
    </row>
    <row r="1049">
      <c r="Z1049">
        <f>IF(A1049="","",COUNTIF('40_RAP_DE'!$C:$C,A1049))</f>
        <v/>
      </c>
      <c r="AA1049">
        <f>IF(A1049="","","JFT|"&amp;C1049&amp;"|"&amp;D1049&amp;"|"&amp;E1049&amp;"L"&amp;F1049)</f>
        <v/>
      </c>
    </row>
    <row r="1050">
      <c r="Z1050">
        <f>IF(A1050="","",COUNTIF('40_RAP_DE'!$C:$C,A1050))</f>
        <v/>
      </c>
      <c r="AA1050">
        <f>IF(A1050="","","JFT|"&amp;C1050&amp;"|"&amp;D1050&amp;"|"&amp;E1050&amp;"L"&amp;F1050)</f>
        <v/>
      </c>
    </row>
    <row r="1051">
      <c r="Z1051">
        <f>IF(A1051="","",COUNTIF('40_RAP_DE'!$C:$C,A1051))</f>
        <v/>
      </c>
      <c r="AA1051">
        <f>IF(A1051="","","JFT|"&amp;C1051&amp;"|"&amp;D1051&amp;"|"&amp;E1051&amp;"L"&amp;F1051)</f>
        <v/>
      </c>
    </row>
    <row r="1052">
      <c r="Z1052">
        <f>IF(A1052="","",COUNTIF('40_RAP_DE'!$C:$C,A1052))</f>
        <v/>
      </c>
      <c r="AA1052">
        <f>IF(A1052="","","JFT|"&amp;C1052&amp;"|"&amp;D1052&amp;"|"&amp;E1052&amp;"L"&amp;F1052)</f>
        <v/>
      </c>
    </row>
    <row r="1053">
      <c r="Z1053">
        <f>IF(A1053="","",COUNTIF('40_RAP_DE'!$C:$C,A1053))</f>
        <v/>
      </c>
      <c r="AA1053">
        <f>IF(A1053="","","JFT|"&amp;C1053&amp;"|"&amp;D1053&amp;"|"&amp;E1053&amp;"L"&amp;F1053)</f>
        <v/>
      </c>
    </row>
    <row r="1054">
      <c r="Z1054">
        <f>IF(A1054="","",COUNTIF('40_RAP_DE'!$C:$C,A1054))</f>
        <v/>
      </c>
      <c r="AA1054">
        <f>IF(A1054="","","JFT|"&amp;C1054&amp;"|"&amp;D1054&amp;"|"&amp;E1054&amp;"L"&amp;F1054)</f>
        <v/>
      </c>
    </row>
    <row r="1055">
      <c r="Z1055">
        <f>IF(A1055="","",COUNTIF('40_RAP_DE'!$C:$C,A1055))</f>
        <v/>
      </c>
      <c r="AA1055">
        <f>IF(A1055="","","JFT|"&amp;C1055&amp;"|"&amp;D1055&amp;"|"&amp;E1055&amp;"L"&amp;F1055)</f>
        <v/>
      </c>
    </row>
    <row r="1056">
      <c r="Z1056">
        <f>IF(A1056="","",COUNTIF('40_RAP_DE'!$C:$C,A1056))</f>
        <v/>
      </c>
      <c r="AA1056">
        <f>IF(A1056="","","JFT|"&amp;C1056&amp;"|"&amp;D1056&amp;"|"&amp;E1056&amp;"L"&amp;F1056)</f>
        <v/>
      </c>
    </row>
    <row r="1057">
      <c r="Z1057">
        <f>IF(A1057="","",COUNTIF('40_RAP_DE'!$C:$C,A1057))</f>
        <v/>
      </c>
      <c r="AA1057">
        <f>IF(A1057="","","JFT|"&amp;C1057&amp;"|"&amp;D1057&amp;"|"&amp;E1057&amp;"L"&amp;F1057)</f>
        <v/>
      </c>
    </row>
    <row r="1058">
      <c r="Z1058">
        <f>IF(A1058="","",COUNTIF('40_RAP_DE'!$C:$C,A1058))</f>
        <v/>
      </c>
      <c r="AA1058">
        <f>IF(A1058="","","JFT|"&amp;C1058&amp;"|"&amp;D1058&amp;"|"&amp;E1058&amp;"L"&amp;F1058)</f>
        <v/>
      </c>
    </row>
    <row r="1059">
      <c r="Z1059">
        <f>IF(A1059="","",COUNTIF('40_RAP_DE'!$C:$C,A1059))</f>
        <v/>
      </c>
      <c r="AA1059">
        <f>IF(A1059="","","JFT|"&amp;C1059&amp;"|"&amp;D1059&amp;"|"&amp;E1059&amp;"L"&amp;F1059)</f>
        <v/>
      </c>
    </row>
    <row r="1060">
      <c r="Z1060">
        <f>IF(A1060="","",COUNTIF('40_RAP_DE'!$C:$C,A1060))</f>
        <v/>
      </c>
      <c r="AA1060">
        <f>IF(A1060="","","JFT|"&amp;C1060&amp;"|"&amp;D1060&amp;"|"&amp;E1060&amp;"L"&amp;F1060)</f>
        <v/>
      </c>
    </row>
    <row r="1061">
      <c r="Z1061">
        <f>IF(A1061="","",COUNTIF('40_RAP_DE'!$C:$C,A1061))</f>
        <v/>
      </c>
      <c r="AA1061">
        <f>IF(A1061="","","JFT|"&amp;C1061&amp;"|"&amp;D1061&amp;"|"&amp;E1061&amp;"L"&amp;F1061)</f>
        <v/>
      </c>
    </row>
    <row r="1062">
      <c r="Z1062">
        <f>IF(A1062="","",COUNTIF('40_RAP_DE'!$C:$C,A1062))</f>
        <v/>
      </c>
      <c r="AA1062">
        <f>IF(A1062="","","JFT|"&amp;C1062&amp;"|"&amp;D1062&amp;"|"&amp;E1062&amp;"L"&amp;F1062)</f>
        <v/>
      </c>
    </row>
    <row r="1063">
      <c r="Z1063">
        <f>IF(A1063="","",COUNTIF('40_RAP_DE'!$C:$C,A1063))</f>
        <v/>
      </c>
      <c r="AA1063">
        <f>IF(A1063="","","JFT|"&amp;C1063&amp;"|"&amp;D1063&amp;"|"&amp;E1063&amp;"L"&amp;F1063)</f>
        <v/>
      </c>
    </row>
    <row r="1064">
      <c r="Z1064">
        <f>IF(A1064="","",COUNTIF('40_RAP_DE'!$C:$C,A1064))</f>
        <v/>
      </c>
      <c r="AA1064">
        <f>IF(A1064="","","JFT|"&amp;C1064&amp;"|"&amp;D1064&amp;"|"&amp;E1064&amp;"L"&amp;F1064)</f>
        <v/>
      </c>
    </row>
    <row r="1065">
      <c r="Z1065">
        <f>IF(A1065="","",COUNTIF('40_RAP_DE'!$C:$C,A1065))</f>
        <v/>
      </c>
      <c r="AA1065">
        <f>IF(A1065="","","JFT|"&amp;C1065&amp;"|"&amp;D1065&amp;"|"&amp;E1065&amp;"L"&amp;F1065)</f>
        <v/>
      </c>
    </row>
    <row r="1066">
      <c r="Z1066">
        <f>IF(A1066="","",COUNTIF('40_RAP_DE'!$C:$C,A1066))</f>
        <v/>
      </c>
      <c r="AA1066">
        <f>IF(A1066="","","JFT|"&amp;C1066&amp;"|"&amp;D1066&amp;"|"&amp;E1066&amp;"L"&amp;F1066)</f>
        <v/>
      </c>
    </row>
    <row r="1067">
      <c r="Z1067">
        <f>IF(A1067="","",COUNTIF('40_RAP_DE'!$C:$C,A1067))</f>
        <v/>
      </c>
      <c r="AA1067">
        <f>IF(A1067="","","JFT|"&amp;C1067&amp;"|"&amp;D1067&amp;"|"&amp;E1067&amp;"L"&amp;F1067)</f>
        <v/>
      </c>
    </row>
    <row r="1068">
      <c r="Z1068">
        <f>IF(A1068="","",COUNTIF('40_RAP_DE'!$C:$C,A1068))</f>
        <v/>
      </c>
      <c r="AA1068">
        <f>IF(A1068="","","JFT|"&amp;C1068&amp;"|"&amp;D1068&amp;"|"&amp;E1068&amp;"L"&amp;F1068)</f>
        <v/>
      </c>
    </row>
    <row r="1069">
      <c r="Z1069">
        <f>IF(A1069="","",COUNTIF('40_RAP_DE'!$C:$C,A1069))</f>
        <v/>
      </c>
      <c r="AA1069">
        <f>IF(A1069="","","JFT|"&amp;C1069&amp;"|"&amp;D1069&amp;"|"&amp;E1069&amp;"L"&amp;F1069)</f>
        <v/>
      </c>
    </row>
    <row r="1070">
      <c r="Z1070">
        <f>IF(A1070="","",COUNTIF('40_RAP_DE'!$C:$C,A1070))</f>
        <v/>
      </c>
      <c r="AA1070">
        <f>IF(A1070="","","JFT|"&amp;C1070&amp;"|"&amp;D1070&amp;"|"&amp;E1070&amp;"L"&amp;F1070)</f>
        <v/>
      </c>
    </row>
    <row r="1071">
      <c r="Z1071">
        <f>IF(A1071="","",COUNTIF('40_RAP_DE'!$C:$C,A1071))</f>
        <v/>
      </c>
      <c r="AA1071">
        <f>IF(A1071="","","JFT|"&amp;C1071&amp;"|"&amp;D1071&amp;"|"&amp;E1071&amp;"L"&amp;F1071)</f>
        <v/>
      </c>
    </row>
    <row r="1072">
      <c r="Z1072">
        <f>IF(A1072="","",COUNTIF('40_RAP_DE'!$C:$C,A1072))</f>
        <v/>
      </c>
      <c r="AA1072">
        <f>IF(A1072="","","JFT|"&amp;C1072&amp;"|"&amp;D1072&amp;"|"&amp;E1072&amp;"L"&amp;F1072)</f>
        <v/>
      </c>
    </row>
    <row r="1073">
      <c r="Z1073">
        <f>IF(A1073="","",COUNTIF('40_RAP_DE'!$C:$C,A1073))</f>
        <v/>
      </c>
      <c r="AA1073">
        <f>IF(A1073="","","JFT|"&amp;C1073&amp;"|"&amp;D1073&amp;"|"&amp;E1073&amp;"L"&amp;F1073)</f>
        <v/>
      </c>
    </row>
    <row r="1074">
      <c r="Z1074">
        <f>IF(A1074="","",COUNTIF('40_RAP_DE'!$C:$C,A1074))</f>
        <v/>
      </c>
      <c r="AA1074">
        <f>IF(A1074="","","JFT|"&amp;C1074&amp;"|"&amp;D1074&amp;"|"&amp;E1074&amp;"L"&amp;F1074)</f>
        <v/>
      </c>
    </row>
    <row r="1075">
      <c r="Z1075">
        <f>IF(A1075="","",COUNTIF('40_RAP_DE'!$C:$C,A1075))</f>
        <v/>
      </c>
      <c r="AA1075">
        <f>IF(A1075="","","JFT|"&amp;C1075&amp;"|"&amp;D1075&amp;"|"&amp;E1075&amp;"L"&amp;F1075)</f>
        <v/>
      </c>
    </row>
    <row r="1076">
      <c r="Z1076">
        <f>IF(A1076="","",COUNTIF('40_RAP_DE'!$C:$C,A1076))</f>
        <v/>
      </c>
      <c r="AA1076">
        <f>IF(A1076="","","JFT|"&amp;C1076&amp;"|"&amp;D1076&amp;"|"&amp;E1076&amp;"L"&amp;F1076)</f>
        <v/>
      </c>
    </row>
    <row r="1077">
      <c r="Z1077">
        <f>IF(A1077="","",COUNTIF('40_RAP_DE'!$C:$C,A1077))</f>
        <v/>
      </c>
      <c r="AA1077">
        <f>IF(A1077="","","JFT|"&amp;C1077&amp;"|"&amp;D1077&amp;"|"&amp;E1077&amp;"L"&amp;F1077)</f>
        <v/>
      </c>
    </row>
    <row r="1078">
      <c r="Z1078">
        <f>IF(A1078="","",COUNTIF('40_RAP_DE'!$C:$C,A1078))</f>
        <v/>
      </c>
      <c r="AA1078">
        <f>IF(A1078="","","JFT|"&amp;C1078&amp;"|"&amp;D1078&amp;"|"&amp;E1078&amp;"L"&amp;F1078)</f>
        <v/>
      </c>
    </row>
    <row r="1079">
      <c r="Z1079">
        <f>IF(A1079="","",COUNTIF('40_RAP_DE'!$C:$C,A1079))</f>
        <v/>
      </c>
      <c r="AA1079">
        <f>IF(A1079="","","JFT|"&amp;C1079&amp;"|"&amp;D1079&amp;"|"&amp;E1079&amp;"L"&amp;F1079)</f>
        <v/>
      </c>
    </row>
    <row r="1080">
      <c r="Z1080">
        <f>IF(A1080="","",COUNTIF('40_RAP_DE'!$C:$C,A1080))</f>
        <v/>
      </c>
      <c r="AA1080">
        <f>IF(A1080="","","JFT|"&amp;C1080&amp;"|"&amp;D1080&amp;"|"&amp;E1080&amp;"L"&amp;F1080)</f>
        <v/>
      </c>
    </row>
    <row r="1081">
      <c r="Z1081">
        <f>IF(A1081="","",COUNTIF('40_RAP_DE'!$C:$C,A1081))</f>
        <v/>
      </c>
      <c r="AA1081">
        <f>IF(A1081="","","JFT|"&amp;C1081&amp;"|"&amp;D1081&amp;"|"&amp;E1081&amp;"L"&amp;F1081)</f>
        <v/>
      </c>
    </row>
    <row r="1082">
      <c r="Z1082">
        <f>IF(A1082="","",COUNTIF('40_RAP_DE'!$C:$C,A1082))</f>
        <v/>
      </c>
      <c r="AA1082">
        <f>IF(A1082="","","JFT|"&amp;C1082&amp;"|"&amp;D1082&amp;"|"&amp;E1082&amp;"L"&amp;F1082)</f>
        <v/>
      </c>
    </row>
    <row r="1083">
      <c r="Z1083">
        <f>IF(A1083="","",COUNTIF('40_RAP_DE'!$C:$C,A1083))</f>
        <v/>
      </c>
      <c r="AA1083">
        <f>IF(A1083="","","JFT|"&amp;C1083&amp;"|"&amp;D1083&amp;"|"&amp;E1083&amp;"L"&amp;F1083)</f>
        <v/>
      </c>
    </row>
    <row r="1084">
      <c r="Z1084">
        <f>IF(A1084="","",COUNTIF('40_RAP_DE'!$C:$C,A1084))</f>
        <v/>
      </c>
      <c r="AA1084">
        <f>IF(A1084="","","JFT|"&amp;C1084&amp;"|"&amp;D1084&amp;"|"&amp;E1084&amp;"L"&amp;F1084)</f>
        <v/>
      </c>
    </row>
    <row r="1085">
      <c r="Z1085">
        <f>IF(A1085="","",COUNTIF('40_RAP_DE'!$C:$C,A1085))</f>
        <v/>
      </c>
      <c r="AA1085">
        <f>IF(A1085="","","JFT|"&amp;C1085&amp;"|"&amp;D1085&amp;"|"&amp;E1085&amp;"L"&amp;F1085)</f>
        <v/>
      </c>
    </row>
    <row r="1086">
      <c r="Z1086">
        <f>IF(A1086="","",COUNTIF('40_RAP_DE'!$C:$C,A1086))</f>
        <v/>
      </c>
      <c r="AA1086">
        <f>IF(A1086="","","JFT|"&amp;C1086&amp;"|"&amp;D1086&amp;"|"&amp;E1086&amp;"L"&amp;F1086)</f>
        <v/>
      </c>
    </row>
    <row r="1087">
      <c r="Z1087">
        <f>IF(A1087="","",COUNTIF('40_RAP_DE'!$C:$C,A1087))</f>
        <v/>
      </c>
      <c r="AA1087">
        <f>IF(A1087="","","JFT|"&amp;C1087&amp;"|"&amp;D1087&amp;"|"&amp;E1087&amp;"L"&amp;F1087)</f>
        <v/>
      </c>
    </row>
    <row r="1088">
      <c r="Z1088">
        <f>IF(A1088="","",COUNTIF('40_RAP_DE'!$C:$C,A1088))</f>
        <v/>
      </c>
      <c r="AA1088">
        <f>IF(A1088="","","JFT|"&amp;C1088&amp;"|"&amp;D1088&amp;"|"&amp;E1088&amp;"L"&amp;F1088)</f>
        <v/>
      </c>
    </row>
    <row r="1089">
      <c r="Z1089">
        <f>IF(A1089="","",COUNTIF('40_RAP_DE'!$C:$C,A1089))</f>
        <v/>
      </c>
      <c r="AA1089">
        <f>IF(A1089="","","JFT|"&amp;C1089&amp;"|"&amp;D1089&amp;"|"&amp;E1089&amp;"L"&amp;F1089)</f>
        <v/>
      </c>
    </row>
    <row r="1090">
      <c r="Z1090">
        <f>IF(A1090="","",COUNTIF('40_RAP_DE'!$C:$C,A1090))</f>
        <v/>
      </c>
      <c r="AA1090">
        <f>IF(A1090="","","JFT|"&amp;C1090&amp;"|"&amp;D1090&amp;"|"&amp;E1090&amp;"L"&amp;F1090)</f>
        <v/>
      </c>
    </row>
    <row r="1091">
      <c r="Z1091">
        <f>IF(A1091="","",COUNTIF('40_RAP_DE'!$C:$C,A1091))</f>
        <v/>
      </c>
      <c r="AA1091">
        <f>IF(A1091="","","JFT|"&amp;C1091&amp;"|"&amp;D1091&amp;"|"&amp;E1091&amp;"L"&amp;F1091)</f>
        <v/>
      </c>
    </row>
    <row r="1092">
      <c r="Z1092">
        <f>IF(A1092="","",COUNTIF('40_RAP_DE'!$C:$C,A1092))</f>
        <v/>
      </c>
      <c r="AA1092">
        <f>IF(A1092="","","JFT|"&amp;C1092&amp;"|"&amp;D1092&amp;"|"&amp;E1092&amp;"L"&amp;F1092)</f>
        <v/>
      </c>
    </row>
    <row r="1093">
      <c r="Z1093">
        <f>IF(A1093="","",COUNTIF('40_RAP_DE'!$C:$C,A1093))</f>
        <v/>
      </c>
      <c r="AA1093">
        <f>IF(A1093="","","JFT|"&amp;C1093&amp;"|"&amp;D1093&amp;"|"&amp;E1093&amp;"L"&amp;F1093)</f>
        <v/>
      </c>
    </row>
    <row r="1094">
      <c r="Z1094">
        <f>IF(A1094="","",COUNTIF('40_RAP_DE'!$C:$C,A1094))</f>
        <v/>
      </c>
      <c r="AA1094">
        <f>IF(A1094="","","JFT|"&amp;C1094&amp;"|"&amp;D1094&amp;"|"&amp;E1094&amp;"L"&amp;F1094)</f>
        <v/>
      </c>
    </row>
    <row r="1095">
      <c r="Z1095">
        <f>IF(A1095="","",COUNTIF('40_RAP_DE'!$C:$C,A1095))</f>
        <v/>
      </c>
      <c r="AA1095">
        <f>IF(A1095="","","JFT|"&amp;C1095&amp;"|"&amp;D1095&amp;"|"&amp;E1095&amp;"L"&amp;F1095)</f>
        <v/>
      </c>
    </row>
    <row r="1096">
      <c r="Z1096">
        <f>IF(A1096="","",COUNTIF('40_RAP_DE'!$C:$C,A1096))</f>
        <v/>
      </c>
      <c r="AA1096">
        <f>IF(A1096="","","JFT|"&amp;C1096&amp;"|"&amp;D1096&amp;"|"&amp;E1096&amp;"L"&amp;F1096)</f>
        <v/>
      </c>
    </row>
    <row r="1097">
      <c r="Z1097">
        <f>IF(A1097="","",COUNTIF('40_RAP_DE'!$C:$C,A1097))</f>
        <v/>
      </c>
      <c r="AA1097">
        <f>IF(A1097="","","JFT|"&amp;C1097&amp;"|"&amp;D1097&amp;"|"&amp;E1097&amp;"L"&amp;F1097)</f>
        <v/>
      </c>
    </row>
    <row r="1098">
      <c r="Z1098">
        <f>IF(A1098="","",COUNTIF('40_RAP_DE'!$C:$C,A1098))</f>
        <v/>
      </c>
      <c r="AA1098">
        <f>IF(A1098="","","JFT|"&amp;C1098&amp;"|"&amp;D1098&amp;"|"&amp;E1098&amp;"L"&amp;F1098)</f>
        <v/>
      </c>
    </row>
    <row r="1099">
      <c r="Z1099">
        <f>IF(A1099="","",COUNTIF('40_RAP_DE'!$C:$C,A1099))</f>
        <v/>
      </c>
      <c r="AA1099">
        <f>IF(A1099="","","JFT|"&amp;C1099&amp;"|"&amp;D1099&amp;"|"&amp;E1099&amp;"L"&amp;F1099)</f>
        <v/>
      </c>
    </row>
    <row r="1100">
      <c r="Z1100">
        <f>IF(A1100="","",COUNTIF('40_RAP_DE'!$C:$C,A1100))</f>
        <v/>
      </c>
      <c r="AA1100">
        <f>IF(A1100="","","JFT|"&amp;C1100&amp;"|"&amp;D1100&amp;"|"&amp;E1100&amp;"L"&amp;F1100)</f>
        <v/>
      </c>
    </row>
    <row r="1101">
      <c r="Z1101">
        <f>IF(A1101="","",COUNTIF('40_RAP_DE'!$C:$C,A1101))</f>
        <v/>
      </c>
      <c r="AA1101">
        <f>IF(A1101="","","JFT|"&amp;C1101&amp;"|"&amp;D1101&amp;"|"&amp;E1101&amp;"L"&amp;F1101)</f>
        <v/>
      </c>
    </row>
    <row r="1102">
      <c r="Z1102">
        <f>IF(A1102="","",COUNTIF('40_RAP_DE'!$C:$C,A1102))</f>
        <v/>
      </c>
      <c r="AA1102">
        <f>IF(A1102="","","JFT|"&amp;C1102&amp;"|"&amp;D1102&amp;"|"&amp;E1102&amp;"L"&amp;F1102)</f>
        <v/>
      </c>
    </row>
    <row r="1103">
      <c r="Z1103">
        <f>IF(A1103="","",COUNTIF('40_RAP_DE'!$C:$C,A1103))</f>
        <v/>
      </c>
      <c r="AA1103">
        <f>IF(A1103="","","JFT|"&amp;C1103&amp;"|"&amp;D1103&amp;"|"&amp;E1103&amp;"L"&amp;F1103)</f>
        <v/>
      </c>
    </row>
    <row r="1104">
      <c r="Z1104">
        <f>IF(A1104="","",COUNTIF('40_RAP_DE'!$C:$C,A1104))</f>
        <v/>
      </c>
      <c r="AA1104">
        <f>IF(A1104="","","JFT|"&amp;C1104&amp;"|"&amp;D1104&amp;"|"&amp;E1104&amp;"L"&amp;F1104)</f>
        <v/>
      </c>
    </row>
    <row r="1105">
      <c r="Z1105">
        <f>IF(A1105="","",COUNTIF('40_RAP_DE'!$C:$C,A1105))</f>
        <v/>
      </c>
      <c r="AA1105">
        <f>IF(A1105="","","JFT|"&amp;C1105&amp;"|"&amp;D1105&amp;"|"&amp;E1105&amp;"L"&amp;F1105)</f>
        <v/>
      </c>
    </row>
    <row r="1106">
      <c r="Z1106">
        <f>IF(A1106="","",COUNTIF('40_RAP_DE'!$C:$C,A1106))</f>
        <v/>
      </c>
      <c r="AA1106">
        <f>IF(A1106="","","JFT|"&amp;C1106&amp;"|"&amp;D1106&amp;"|"&amp;E1106&amp;"L"&amp;F1106)</f>
        <v/>
      </c>
    </row>
    <row r="1107">
      <c r="Z1107">
        <f>IF(A1107="","",COUNTIF('40_RAP_DE'!$C:$C,A1107))</f>
        <v/>
      </c>
      <c r="AA1107">
        <f>IF(A1107="","","JFT|"&amp;C1107&amp;"|"&amp;D1107&amp;"|"&amp;E1107&amp;"L"&amp;F1107)</f>
        <v/>
      </c>
    </row>
    <row r="1108">
      <c r="Z1108">
        <f>IF(A1108="","",COUNTIF('40_RAP_DE'!$C:$C,A1108))</f>
        <v/>
      </c>
      <c r="AA1108">
        <f>IF(A1108="","","JFT|"&amp;C1108&amp;"|"&amp;D1108&amp;"|"&amp;E1108&amp;"L"&amp;F1108)</f>
        <v/>
      </c>
    </row>
    <row r="1109">
      <c r="Z1109">
        <f>IF(A1109="","",COUNTIF('40_RAP_DE'!$C:$C,A1109))</f>
        <v/>
      </c>
      <c r="AA1109">
        <f>IF(A1109="","","JFT|"&amp;C1109&amp;"|"&amp;D1109&amp;"|"&amp;E1109&amp;"L"&amp;F1109)</f>
        <v/>
      </c>
    </row>
    <row r="1110">
      <c r="Z1110">
        <f>IF(A1110="","",COUNTIF('40_RAP_DE'!$C:$C,A1110))</f>
        <v/>
      </c>
      <c r="AA1110">
        <f>IF(A1110="","","JFT|"&amp;C1110&amp;"|"&amp;D1110&amp;"|"&amp;E1110&amp;"L"&amp;F1110)</f>
        <v/>
      </c>
    </row>
    <row r="1111">
      <c r="Z1111">
        <f>IF(A1111="","",COUNTIF('40_RAP_DE'!$C:$C,A1111))</f>
        <v/>
      </c>
      <c r="AA1111">
        <f>IF(A1111="","","JFT|"&amp;C1111&amp;"|"&amp;D1111&amp;"|"&amp;E1111&amp;"L"&amp;F1111)</f>
        <v/>
      </c>
    </row>
    <row r="1112">
      <c r="Z1112">
        <f>IF(A1112="","",COUNTIF('40_RAP_DE'!$C:$C,A1112))</f>
        <v/>
      </c>
      <c r="AA1112">
        <f>IF(A1112="","","JFT|"&amp;C1112&amp;"|"&amp;D1112&amp;"|"&amp;E1112&amp;"L"&amp;F1112)</f>
        <v/>
      </c>
    </row>
    <row r="1113">
      <c r="Z1113">
        <f>IF(A1113="","",COUNTIF('40_RAP_DE'!$C:$C,A1113))</f>
        <v/>
      </c>
      <c r="AA1113">
        <f>IF(A1113="","","JFT|"&amp;C1113&amp;"|"&amp;D1113&amp;"|"&amp;E1113&amp;"L"&amp;F1113)</f>
        <v/>
      </c>
    </row>
    <row r="1114">
      <c r="Z1114">
        <f>IF(A1114="","",COUNTIF('40_RAP_DE'!$C:$C,A1114))</f>
        <v/>
      </c>
      <c r="AA1114">
        <f>IF(A1114="","","JFT|"&amp;C1114&amp;"|"&amp;D1114&amp;"|"&amp;E1114&amp;"L"&amp;F1114)</f>
        <v/>
      </c>
    </row>
    <row r="1115">
      <c r="Z1115">
        <f>IF(A1115="","",COUNTIF('40_RAP_DE'!$C:$C,A1115))</f>
        <v/>
      </c>
      <c r="AA1115">
        <f>IF(A1115="","","JFT|"&amp;C1115&amp;"|"&amp;D1115&amp;"|"&amp;E1115&amp;"L"&amp;F1115)</f>
        <v/>
      </c>
    </row>
    <row r="1116">
      <c r="Z1116">
        <f>IF(A1116="","",COUNTIF('40_RAP_DE'!$C:$C,A1116))</f>
        <v/>
      </c>
      <c r="AA1116">
        <f>IF(A1116="","","JFT|"&amp;C1116&amp;"|"&amp;D1116&amp;"|"&amp;E1116&amp;"L"&amp;F1116)</f>
        <v/>
      </c>
    </row>
    <row r="1117">
      <c r="Z1117">
        <f>IF(A1117="","",COUNTIF('40_RAP_DE'!$C:$C,A1117))</f>
        <v/>
      </c>
      <c r="AA1117">
        <f>IF(A1117="","","JFT|"&amp;C1117&amp;"|"&amp;D1117&amp;"|"&amp;E1117&amp;"L"&amp;F1117)</f>
        <v/>
      </c>
    </row>
    <row r="1118">
      <c r="Z1118">
        <f>IF(A1118="","",COUNTIF('40_RAP_DE'!$C:$C,A1118))</f>
        <v/>
      </c>
      <c r="AA1118">
        <f>IF(A1118="","","JFT|"&amp;C1118&amp;"|"&amp;D1118&amp;"|"&amp;E1118&amp;"L"&amp;F1118)</f>
        <v/>
      </c>
    </row>
    <row r="1119">
      <c r="Z1119">
        <f>IF(A1119="","",COUNTIF('40_RAP_DE'!$C:$C,A1119))</f>
        <v/>
      </c>
      <c r="AA1119">
        <f>IF(A1119="","","JFT|"&amp;C1119&amp;"|"&amp;D1119&amp;"|"&amp;E1119&amp;"L"&amp;F1119)</f>
        <v/>
      </c>
    </row>
    <row r="1120">
      <c r="Z1120">
        <f>IF(A1120="","",COUNTIF('40_RAP_DE'!$C:$C,A1120))</f>
        <v/>
      </c>
      <c r="AA1120">
        <f>IF(A1120="","","JFT|"&amp;C1120&amp;"|"&amp;D1120&amp;"|"&amp;E1120&amp;"L"&amp;F1120)</f>
        <v/>
      </c>
    </row>
    <row r="1121">
      <c r="Z1121">
        <f>IF(A1121="","",COUNTIF('40_RAP_DE'!$C:$C,A1121))</f>
        <v/>
      </c>
      <c r="AA1121">
        <f>IF(A1121="","","JFT|"&amp;C1121&amp;"|"&amp;D1121&amp;"|"&amp;E1121&amp;"L"&amp;F1121)</f>
        <v/>
      </c>
    </row>
    <row r="1122">
      <c r="Z1122">
        <f>IF(A1122="","",COUNTIF('40_RAP_DE'!$C:$C,A1122))</f>
        <v/>
      </c>
      <c r="AA1122">
        <f>IF(A1122="","","JFT|"&amp;C1122&amp;"|"&amp;D1122&amp;"|"&amp;E1122&amp;"L"&amp;F1122)</f>
        <v/>
      </c>
    </row>
    <row r="1123">
      <c r="Z1123">
        <f>IF(A1123="","",COUNTIF('40_RAP_DE'!$C:$C,A1123))</f>
        <v/>
      </c>
      <c r="AA1123">
        <f>IF(A1123="","","JFT|"&amp;C1123&amp;"|"&amp;D1123&amp;"|"&amp;E1123&amp;"L"&amp;F1123)</f>
        <v/>
      </c>
    </row>
    <row r="1124">
      <c r="Z1124">
        <f>IF(A1124="","",COUNTIF('40_RAP_DE'!$C:$C,A1124))</f>
        <v/>
      </c>
      <c r="AA1124">
        <f>IF(A1124="","","JFT|"&amp;C1124&amp;"|"&amp;D1124&amp;"|"&amp;E1124&amp;"L"&amp;F1124)</f>
        <v/>
      </c>
    </row>
    <row r="1125">
      <c r="Z1125">
        <f>IF(A1125="","",COUNTIF('40_RAP_DE'!$C:$C,A1125))</f>
        <v/>
      </c>
      <c r="AA1125">
        <f>IF(A1125="","","JFT|"&amp;C1125&amp;"|"&amp;D1125&amp;"|"&amp;E1125&amp;"L"&amp;F1125)</f>
        <v/>
      </c>
    </row>
    <row r="1126">
      <c r="Z1126">
        <f>IF(A1126="","",COUNTIF('40_RAP_DE'!$C:$C,A1126))</f>
        <v/>
      </c>
      <c r="AA1126">
        <f>IF(A1126="","","JFT|"&amp;C1126&amp;"|"&amp;D1126&amp;"|"&amp;E1126&amp;"L"&amp;F1126)</f>
        <v/>
      </c>
    </row>
    <row r="1127">
      <c r="Z1127">
        <f>IF(A1127="","",COUNTIF('40_RAP_DE'!$C:$C,A1127))</f>
        <v/>
      </c>
      <c r="AA1127">
        <f>IF(A1127="","","JFT|"&amp;C1127&amp;"|"&amp;D1127&amp;"|"&amp;E1127&amp;"L"&amp;F1127)</f>
        <v/>
      </c>
    </row>
    <row r="1128">
      <c r="Z1128">
        <f>IF(A1128="","",COUNTIF('40_RAP_DE'!$C:$C,A1128))</f>
        <v/>
      </c>
      <c r="AA1128">
        <f>IF(A1128="","","JFT|"&amp;C1128&amp;"|"&amp;D1128&amp;"|"&amp;E1128&amp;"L"&amp;F1128)</f>
        <v/>
      </c>
    </row>
    <row r="1129">
      <c r="Z1129">
        <f>IF(A1129="","",COUNTIF('40_RAP_DE'!$C:$C,A1129))</f>
        <v/>
      </c>
      <c r="AA1129">
        <f>IF(A1129="","","JFT|"&amp;C1129&amp;"|"&amp;D1129&amp;"|"&amp;E1129&amp;"L"&amp;F1129)</f>
        <v/>
      </c>
    </row>
    <row r="1130">
      <c r="Z1130">
        <f>IF(A1130="","",COUNTIF('40_RAP_DE'!$C:$C,A1130))</f>
        <v/>
      </c>
      <c r="AA1130">
        <f>IF(A1130="","","JFT|"&amp;C1130&amp;"|"&amp;D1130&amp;"|"&amp;E1130&amp;"L"&amp;F1130)</f>
        <v/>
      </c>
    </row>
    <row r="1131">
      <c r="Z1131">
        <f>IF(A1131="","",COUNTIF('40_RAP_DE'!$C:$C,A1131))</f>
        <v/>
      </c>
      <c r="AA1131">
        <f>IF(A1131="","","JFT|"&amp;C1131&amp;"|"&amp;D1131&amp;"|"&amp;E1131&amp;"L"&amp;F1131)</f>
        <v/>
      </c>
    </row>
    <row r="1132">
      <c r="Z1132">
        <f>IF(A1132="","",COUNTIF('40_RAP_DE'!$C:$C,A1132))</f>
        <v/>
      </c>
      <c r="AA1132">
        <f>IF(A1132="","","JFT|"&amp;C1132&amp;"|"&amp;D1132&amp;"|"&amp;E1132&amp;"L"&amp;F1132)</f>
        <v/>
      </c>
    </row>
    <row r="1133">
      <c r="Z1133">
        <f>IF(A1133="","",COUNTIF('40_RAP_DE'!$C:$C,A1133))</f>
        <v/>
      </c>
      <c r="AA1133">
        <f>IF(A1133="","","JFT|"&amp;C1133&amp;"|"&amp;D1133&amp;"|"&amp;E1133&amp;"L"&amp;F1133)</f>
        <v/>
      </c>
    </row>
    <row r="1134">
      <c r="Z1134">
        <f>IF(A1134="","",COUNTIF('40_RAP_DE'!$C:$C,A1134))</f>
        <v/>
      </c>
      <c r="AA1134">
        <f>IF(A1134="","","JFT|"&amp;C1134&amp;"|"&amp;D1134&amp;"|"&amp;E1134&amp;"L"&amp;F1134)</f>
        <v/>
      </c>
    </row>
    <row r="1135">
      <c r="Z1135">
        <f>IF(A1135="","",COUNTIF('40_RAP_DE'!$C:$C,A1135))</f>
        <v/>
      </c>
      <c r="AA1135">
        <f>IF(A1135="","","JFT|"&amp;C1135&amp;"|"&amp;D1135&amp;"|"&amp;E1135&amp;"L"&amp;F1135)</f>
        <v/>
      </c>
    </row>
    <row r="1136">
      <c r="Z1136">
        <f>IF(A1136="","",COUNTIF('40_RAP_DE'!$C:$C,A1136))</f>
        <v/>
      </c>
      <c r="AA1136">
        <f>IF(A1136="","","JFT|"&amp;C1136&amp;"|"&amp;D1136&amp;"|"&amp;E1136&amp;"L"&amp;F1136)</f>
        <v/>
      </c>
    </row>
    <row r="1137">
      <c r="Z1137">
        <f>IF(A1137="","",COUNTIF('40_RAP_DE'!$C:$C,A1137))</f>
        <v/>
      </c>
      <c r="AA1137">
        <f>IF(A1137="","","JFT|"&amp;C1137&amp;"|"&amp;D1137&amp;"|"&amp;E1137&amp;"L"&amp;F1137)</f>
        <v/>
      </c>
    </row>
    <row r="1138">
      <c r="Z1138">
        <f>IF(A1138="","",COUNTIF('40_RAP_DE'!$C:$C,A1138))</f>
        <v/>
      </c>
      <c r="AA1138">
        <f>IF(A1138="","","JFT|"&amp;C1138&amp;"|"&amp;D1138&amp;"|"&amp;E1138&amp;"L"&amp;F1138)</f>
        <v/>
      </c>
    </row>
    <row r="1139">
      <c r="Z1139">
        <f>IF(A1139="","",COUNTIF('40_RAP_DE'!$C:$C,A1139))</f>
        <v/>
      </c>
      <c r="AA1139">
        <f>IF(A1139="","","JFT|"&amp;C1139&amp;"|"&amp;D1139&amp;"|"&amp;E1139&amp;"L"&amp;F1139)</f>
        <v/>
      </c>
    </row>
    <row r="1140">
      <c r="Z1140">
        <f>IF(A1140="","",COUNTIF('40_RAP_DE'!$C:$C,A1140))</f>
        <v/>
      </c>
      <c r="AA1140">
        <f>IF(A1140="","","JFT|"&amp;C1140&amp;"|"&amp;D1140&amp;"|"&amp;E1140&amp;"L"&amp;F1140)</f>
        <v/>
      </c>
    </row>
    <row r="1141">
      <c r="Z1141">
        <f>IF(A1141="","",COUNTIF('40_RAP_DE'!$C:$C,A1141))</f>
        <v/>
      </c>
      <c r="AA1141">
        <f>IF(A1141="","","JFT|"&amp;C1141&amp;"|"&amp;D1141&amp;"|"&amp;E1141&amp;"L"&amp;F1141)</f>
        <v/>
      </c>
    </row>
    <row r="1142">
      <c r="Z1142">
        <f>IF(A1142="","",COUNTIF('40_RAP_DE'!$C:$C,A1142))</f>
        <v/>
      </c>
      <c r="AA1142">
        <f>IF(A1142="","","JFT|"&amp;C1142&amp;"|"&amp;D1142&amp;"|"&amp;E1142&amp;"L"&amp;F1142)</f>
        <v/>
      </c>
    </row>
    <row r="1143">
      <c r="Z1143">
        <f>IF(A1143="","",COUNTIF('40_RAP_DE'!$C:$C,A1143))</f>
        <v/>
      </c>
      <c r="AA1143">
        <f>IF(A1143="","","JFT|"&amp;C1143&amp;"|"&amp;D1143&amp;"|"&amp;E1143&amp;"L"&amp;F1143)</f>
        <v/>
      </c>
    </row>
    <row r="1144">
      <c r="Z1144">
        <f>IF(A1144="","",COUNTIF('40_RAP_DE'!$C:$C,A1144))</f>
        <v/>
      </c>
      <c r="AA1144">
        <f>IF(A1144="","","JFT|"&amp;C1144&amp;"|"&amp;D1144&amp;"|"&amp;E1144&amp;"L"&amp;F1144)</f>
        <v/>
      </c>
    </row>
    <row r="1145">
      <c r="Z1145">
        <f>IF(A1145="","",COUNTIF('40_RAP_DE'!$C:$C,A1145))</f>
        <v/>
      </c>
      <c r="AA1145">
        <f>IF(A1145="","","JFT|"&amp;C1145&amp;"|"&amp;D1145&amp;"|"&amp;E1145&amp;"L"&amp;F1145)</f>
        <v/>
      </c>
    </row>
    <row r="1146">
      <c r="Z1146">
        <f>IF(A1146="","",COUNTIF('40_RAP_DE'!$C:$C,A1146))</f>
        <v/>
      </c>
      <c r="AA1146">
        <f>IF(A1146="","","JFT|"&amp;C1146&amp;"|"&amp;D1146&amp;"|"&amp;E1146&amp;"L"&amp;F1146)</f>
        <v/>
      </c>
    </row>
    <row r="1147">
      <c r="Z1147">
        <f>IF(A1147="","",COUNTIF('40_RAP_DE'!$C:$C,A1147))</f>
        <v/>
      </c>
      <c r="AA1147">
        <f>IF(A1147="","","JFT|"&amp;C1147&amp;"|"&amp;D1147&amp;"|"&amp;E1147&amp;"L"&amp;F1147)</f>
        <v/>
      </c>
    </row>
    <row r="1148">
      <c r="Z1148">
        <f>IF(A1148="","",COUNTIF('40_RAP_DE'!$C:$C,A1148))</f>
        <v/>
      </c>
      <c r="AA1148">
        <f>IF(A1148="","","JFT|"&amp;C1148&amp;"|"&amp;D1148&amp;"|"&amp;E1148&amp;"L"&amp;F1148)</f>
        <v/>
      </c>
    </row>
    <row r="1149">
      <c r="Z1149">
        <f>IF(A1149="","",COUNTIF('40_RAP_DE'!$C:$C,A1149))</f>
        <v/>
      </c>
      <c r="AA1149">
        <f>IF(A1149="","","JFT|"&amp;C1149&amp;"|"&amp;D1149&amp;"|"&amp;E1149&amp;"L"&amp;F1149)</f>
        <v/>
      </c>
    </row>
    <row r="1150">
      <c r="Z1150">
        <f>IF(A1150="","",COUNTIF('40_RAP_DE'!$C:$C,A1150))</f>
        <v/>
      </c>
      <c r="AA1150">
        <f>IF(A1150="","","JFT|"&amp;C1150&amp;"|"&amp;D1150&amp;"|"&amp;E1150&amp;"L"&amp;F1150)</f>
        <v/>
      </c>
    </row>
    <row r="1151">
      <c r="Z1151">
        <f>IF(A1151="","",COUNTIF('40_RAP_DE'!$C:$C,A1151))</f>
        <v/>
      </c>
      <c r="AA1151">
        <f>IF(A1151="","","JFT|"&amp;C1151&amp;"|"&amp;D1151&amp;"|"&amp;E1151&amp;"L"&amp;F1151)</f>
        <v/>
      </c>
    </row>
    <row r="1152">
      <c r="Z1152">
        <f>IF(A1152="","",COUNTIF('40_RAP_DE'!$C:$C,A1152))</f>
        <v/>
      </c>
      <c r="AA1152">
        <f>IF(A1152="","","JFT|"&amp;C1152&amp;"|"&amp;D1152&amp;"|"&amp;E1152&amp;"L"&amp;F1152)</f>
        <v/>
      </c>
    </row>
    <row r="1153">
      <c r="Z1153">
        <f>IF(A1153="","",COUNTIF('40_RAP_DE'!$C:$C,A1153))</f>
        <v/>
      </c>
      <c r="AA1153">
        <f>IF(A1153="","","JFT|"&amp;C1153&amp;"|"&amp;D1153&amp;"|"&amp;E1153&amp;"L"&amp;F1153)</f>
        <v/>
      </c>
    </row>
    <row r="1154">
      <c r="Z1154">
        <f>IF(A1154="","",COUNTIF('40_RAP_DE'!$C:$C,A1154))</f>
        <v/>
      </c>
      <c r="AA1154">
        <f>IF(A1154="","","JFT|"&amp;C1154&amp;"|"&amp;D1154&amp;"|"&amp;E1154&amp;"L"&amp;F1154)</f>
        <v/>
      </c>
    </row>
    <row r="1155">
      <c r="Z1155">
        <f>IF(A1155="","",COUNTIF('40_RAP_DE'!$C:$C,A1155))</f>
        <v/>
      </c>
      <c r="AA1155">
        <f>IF(A1155="","","JFT|"&amp;C1155&amp;"|"&amp;D1155&amp;"|"&amp;E1155&amp;"L"&amp;F1155)</f>
        <v/>
      </c>
    </row>
    <row r="1156">
      <c r="Z1156">
        <f>IF(A1156="","",COUNTIF('40_RAP_DE'!$C:$C,A1156))</f>
        <v/>
      </c>
      <c r="AA1156">
        <f>IF(A1156="","","JFT|"&amp;C1156&amp;"|"&amp;D1156&amp;"|"&amp;E1156&amp;"L"&amp;F1156)</f>
        <v/>
      </c>
    </row>
    <row r="1157">
      <c r="Z1157">
        <f>IF(A1157="","",COUNTIF('40_RAP_DE'!$C:$C,A1157))</f>
        <v/>
      </c>
      <c r="AA1157">
        <f>IF(A1157="","","JFT|"&amp;C1157&amp;"|"&amp;D1157&amp;"|"&amp;E1157&amp;"L"&amp;F1157)</f>
        <v/>
      </c>
    </row>
    <row r="1158">
      <c r="Z1158">
        <f>IF(A1158="","",COUNTIF('40_RAP_DE'!$C:$C,A1158))</f>
        <v/>
      </c>
      <c r="AA1158">
        <f>IF(A1158="","","JFT|"&amp;C1158&amp;"|"&amp;D1158&amp;"|"&amp;E1158&amp;"L"&amp;F1158)</f>
        <v/>
      </c>
    </row>
    <row r="1159">
      <c r="Z1159">
        <f>IF(A1159="","",COUNTIF('40_RAP_DE'!$C:$C,A1159))</f>
        <v/>
      </c>
      <c r="AA1159">
        <f>IF(A1159="","","JFT|"&amp;C1159&amp;"|"&amp;D1159&amp;"|"&amp;E1159&amp;"L"&amp;F1159)</f>
        <v/>
      </c>
    </row>
    <row r="1160">
      <c r="Z1160">
        <f>IF(A1160="","",COUNTIF('40_RAP_DE'!$C:$C,A1160))</f>
        <v/>
      </c>
      <c r="AA1160">
        <f>IF(A1160="","","JFT|"&amp;C1160&amp;"|"&amp;D1160&amp;"|"&amp;E1160&amp;"L"&amp;F1160)</f>
        <v/>
      </c>
    </row>
    <row r="1161">
      <c r="Z1161">
        <f>IF(A1161="","",COUNTIF('40_RAP_DE'!$C:$C,A1161))</f>
        <v/>
      </c>
      <c r="AA1161">
        <f>IF(A1161="","","JFT|"&amp;C1161&amp;"|"&amp;D1161&amp;"|"&amp;E1161&amp;"L"&amp;F1161)</f>
        <v/>
      </c>
    </row>
    <row r="1162">
      <c r="Z1162">
        <f>IF(A1162="","",COUNTIF('40_RAP_DE'!$C:$C,A1162))</f>
        <v/>
      </c>
      <c r="AA1162">
        <f>IF(A1162="","","JFT|"&amp;C1162&amp;"|"&amp;D1162&amp;"|"&amp;E1162&amp;"L"&amp;F1162)</f>
        <v/>
      </c>
    </row>
    <row r="1163">
      <c r="Z1163">
        <f>IF(A1163="","",COUNTIF('40_RAP_DE'!$C:$C,A1163))</f>
        <v/>
      </c>
      <c r="AA1163">
        <f>IF(A1163="","","JFT|"&amp;C1163&amp;"|"&amp;D1163&amp;"|"&amp;E1163&amp;"L"&amp;F1163)</f>
        <v/>
      </c>
    </row>
    <row r="1164">
      <c r="Z1164">
        <f>IF(A1164="","",COUNTIF('40_RAP_DE'!$C:$C,A1164))</f>
        <v/>
      </c>
      <c r="AA1164">
        <f>IF(A1164="","","JFT|"&amp;C1164&amp;"|"&amp;D1164&amp;"|"&amp;E1164&amp;"L"&amp;F1164)</f>
        <v/>
      </c>
    </row>
    <row r="1165">
      <c r="Z1165">
        <f>IF(A1165="","",COUNTIF('40_RAP_DE'!$C:$C,A1165))</f>
        <v/>
      </c>
      <c r="AA1165">
        <f>IF(A1165="","","JFT|"&amp;C1165&amp;"|"&amp;D1165&amp;"|"&amp;E1165&amp;"L"&amp;F1165)</f>
        <v/>
      </c>
    </row>
    <row r="1166">
      <c r="Z1166">
        <f>IF(A1166="","",COUNTIF('40_RAP_DE'!$C:$C,A1166))</f>
        <v/>
      </c>
      <c r="AA1166">
        <f>IF(A1166="","","JFT|"&amp;C1166&amp;"|"&amp;D1166&amp;"|"&amp;E1166&amp;"L"&amp;F1166)</f>
        <v/>
      </c>
    </row>
    <row r="1167">
      <c r="Z1167">
        <f>IF(A1167="","",COUNTIF('40_RAP_DE'!$C:$C,A1167))</f>
        <v/>
      </c>
      <c r="AA1167">
        <f>IF(A1167="","","JFT|"&amp;C1167&amp;"|"&amp;D1167&amp;"|"&amp;E1167&amp;"L"&amp;F1167)</f>
        <v/>
      </c>
    </row>
    <row r="1168">
      <c r="Z1168">
        <f>IF(A1168="","",COUNTIF('40_RAP_DE'!$C:$C,A1168))</f>
        <v/>
      </c>
      <c r="AA1168">
        <f>IF(A1168="","","JFT|"&amp;C1168&amp;"|"&amp;D1168&amp;"|"&amp;E1168&amp;"L"&amp;F1168)</f>
        <v/>
      </c>
    </row>
    <row r="1169">
      <c r="Z1169">
        <f>IF(A1169="","",COUNTIF('40_RAP_DE'!$C:$C,A1169))</f>
        <v/>
      </c>
      <c r="AA1169">
        <f>IF(A1169="","","JFT|"&amp;C1169&amp;"|"&amp;D1169&amp;"|"&amp;E1169&amp;"L"&amp;F1169)</f>
        <v/>
      </c>
    </row>
    <row r="1170">
      <c r="Z1170">
        <f>IF(A1170="","",COUNTIF('40_RAP_DE'!$C:$C,A1170))</f>
        <v/>
      </c>
      <c r="AA1170">
        <f>IF(A1170="","","JFT|"&amp;C1170&amp;"|"&amp;D1170&amp;"|"&amp;E1170&amp;"L"&amp;F1170)</f>
        <v/>
      </c>
    </row>
    <row r="1171">
      <c r="Z1171">
        <f>IF(A1171="","",COUNTIF('40_RAP_DE'!$C:$C,A1171))</f>
        <v/>
      </c>
      <c r="AA1171">
        <f>IF(A1171="","","JFT|"&amp;C1171&amp;"|"&amp;D1171&amp;"|"&amp;E1171&amp;"L"&amp;F1171)</f>
        <v/>
      </c>
    </row>
    <row r="1172">
      <c r="Z1172">
        <f>IF(A1172="","",COUNTIF('40_RAP_DE'!$C:$C,A1172))</f>
        <v/>
      </c>
      <c r="AA1172">
        <f>IF(A1172="","","JFT|"&amp;C1172&amp;"|"&amp;D1172&amp;"|"&amp;E1172&amp;"L"&amp;F1172)</f>
        <v/>
      </c>
    </row>
    <row r="1173">
      <c r="Z1173">
        <f>IF(A1173="","",COUNTIF('40_RAP_DE'!$C:$C,A1173))</f>
        <v/>
      </c>
      <c r="AA1173">
        <f>IF(A1173="","","JFT|"&amp;C1173&amp;"|"&amp;D1173&amp;"|"&amp;E1173&amp;"L"&amp;F1173)</f>
        <v/>
      </c>
    </row>
    <row r="1174">
      <c r="Z1174">
        <f>IF(A1174="","",COUNTIF('40_RAP_DE'!$C:$C,A1174))</f>
        <v/>
      </c>
      <c r="AA1174">
        <f>IF(A1174="","","JFT|"&amp;C1174&amp;"|"&amp;D1174&amp;"|"&amp;E1174&amp;"L"&amp;F1174)</f>
        <v/>
      </c>
    </row>
    <row r="1175">
      <c r="Z1175">
        <f>IF(A1175="","",COUNTIF('40_RAP_DE'!$C:$C,A1175))</f>
        <v/>
      </c>
      <c r="AA1175">
        <f>IF(A1175="","","JFT|"&amp;C1175&amp;"|"&amp;D1175&amp;"|"&amp;E1175&amp;"L"&amp;F1175)</f>
        <v/>
      </c>
    </row>
    <row r="1176">
      <c r="Z1176">
        <f>IF(A1176="","",COUNTIF('40_RAP_DE'!$C:$C,A1176))</f>
        <v/>
      </c>
      <c r="AA1176">
        <f>IF(A1176="","","JFT|"&amp;C1176&amp;"|"&amp;D1176&amp;"|"&amp;E1176&amp;"L"&amp;F1176)</f>
        <v/>
      </c>
    </row>
    <row r="1177">
      <c r="Z1177">
        <f>IF(A1177="","",COUNTIF('40_RAP_DE'!$C:$C,A1177))</f>
        <v/>
      </c>
      <c r="AA1177">
        <f>IF(A1177="","","JFT|"&amp;C1177&amp;"|"&amp;D1177&amp;"|"&amp;E1177&amp;"L"&amp;F1177)</f>
        <v/>
      </c>
    </row>
    <row r="1178">
      <c r="Z1178">
        <f>IF(A1178="","",COUNTIF('40_RAP_DE'!$C:$C,A1178))</f>
        <v/>
      </c>
      <c r="AA1178">
        <f>IF(A1178="","","JFT|"&amp;C1178&amp;"|"&amp;D1178&amp;"|"&amp;E1178&amp;"L"&amp;F1178)</f>
        <v/>
      </c>
    </row>
    <row r="1179">
      <c r="Z1179">
        <f>IF(A1179="","",COUNTIF('40_RAP_DE'!$C:$C,A1179))</f>
        <v/>
      </c>
      <c r="AA1179">
        <f>IF(A1179="","","JFT|"&amp;C1179&amp;"|"&amp;D1179&amp;"|"&amp;E1179&amp;"L"&amp;F1179)</f>
        <v/>
      </c>
    </row>
    <row r="1180">
      <c r="Z1180">
        <f>IF(A1180="","",COUNTIF('40_RAP_DE'!$C:$C,A1180))</f>
        <v/>
      </c>
      <c r="AA1180">
        <f>IF(A1180="","","JFT|"&amp;C1180&amp;"|"&amp;D1180&amp;"|"&amp;E1180&amp;"L"&amp;F1180)</f>
        <v/>
      </c>
    </row>
    <row r="1181">
      <c r="Z1181">
        <f>IF(A1181="","",COUNTIF('40_RAP_DE'!$C:$C,A1181))</f>
        <v/>
      </c>
      <c r="AA1181">
        <f>IF(A1181="","","JFT|"&amp;C1181&amp;"|"&amp;D1181&amp;"|"&amp;E1181&amp;"L"&amp;F1181)</f>
        <v/>
      </c>
    </row>
    <row r="1182">
      <c r="Z1182">
        <f>IF(A1182="","",COUNTIF('40_RAP_DE'!$C:$C,A1182))</f>
        <v/>
      </c>
      <c r="AA1182">
        <f>IF(A1182="","","JFT|"&amp;C1182&amp;"|"&amp;D1182&amp;"|"&amp;E1182&amp;"L"&amp;F1182)</f>
        <v/>
      </c>
    </row>
    <row r="1183">
      <c r="Z1183">
        <f>IF(A1183="","",COUNTIF('40_RAP_DE'!$C:$C,A1183))</f>
        <v/>
      </c>
      <c r="AA1183">
        <f>IF(A1183="","","JFT|"&amp;C1183&amp;"|"&amp;D1183&amp;"|"&amp;E1183&amp;"L"&amp;F1183)</f>
        <v/>
      </c>
    </row>
    <row r="1184">
      <c r="Z1184">
        <f>IF(A1184="","",COUNTIF('40_RAP_DE'!$C:$C,A1184))</f>
        <v/>
      </c>
      <c r="AA1184">
        <f>IF(A1184="","","JFT|"&amp;C1184&amp;"|"&amp;D1184&amp;"|"&amp;E1184&amp;"L"&amp;F1184)</f>
        <v/>
      </c>
    </row>
    <row r="1185">
      <c r="Z1185">
        <f>IF(A1185="","",COUNTIF('40_RAP_DE'!$C:$C,A1185))</f>
        <v/>
      </c>
      <c r="AA1185">
        <f>IF(A1185="","","JFT|"&amp;C1185&amp;"|"&amp;D1185&amp;"|"&amp;E1185&amp;"L"&amp;F1185)</f>
        <v/>
      </c>
    </row>
    <row r="1186">
      <c r="Z1186">
        <f>IF(A1186="","",COUNTIF('40_RAP_DE'!$C:$C,A1186))</f>
        <v/>
      </c>
      <c r="AA1186">
        <f>IF(A1186="","","JFT|"&amp;C1186&amp;"|"&amp;D1186&amp;"|"&amp;E1186&amp;"L"&amp;F1186)</f>
        <v/>
      </c>
    </row>
    <row r="1187">
      <c r="Z1187">
        <f>IF(A1187="","",COUNTIF('40_RAP_DE'!$C:$C,A1187))</f>
        <v/>
      </c>
      <c r="AA1187">
        <f>IF(A1187="","","JFT|"&amp;C1187&amp;"|"&amp;D1187&amp;"|"&amp;E1187&amp;"L"&amp;F1187)</f>
        <v/>
      </c>
    </row>
    <row r="1188">
      <c r="Z1188">
        <f>IF(A1188="","",COUNTIF('40_RAP_DE'!$C:$C,A1188))</f>
        <v/>
      </c>
      <c r="AA1188">
        <f>IF(A1188="","","JFT|"&amp;C1188&amp;"|"&amp;D1188&amp;"|"&amp;E1188&amp;"L"&amp;F1188)</f>
        <v/>
      </c>
    </row>
    <row r="1189">
      <c r="Z1189">
        <f>IF(A1189="","",COUNTIF('40_RAP_DE'!$C:$C,A1189))</f>
        <v/>
      </c>
      <c r="AA1189">
        <f>IF(A1189="","","JFT|"&amp;C1189&amp;"|"&amp;D1189&amp;"|"&amp;E1189&amp;"L"&amp;F1189)</f>
        <v/>
      </c>
    </row>
    <row r="1190">
      <c r="Z1190">
        <f>IF(A1190="","",COUNTIF('40_RAP_DE'!$C:$C,A1190))</f>
        <v/>
      </c>
      <c r="AA1190">
        <f>IF(A1190="","","JFT|"&amp;C1190&amp;"|"&amp;D1190&amp;"|"&amp;E1190&amp;"L"&amp;F1190)</f>
        <v/>
      </c>
    </row>
    <row r="1191">
      <c r="Z1191">
        <f>IF(A1191="","",COUNTIF('40_RAP_DE'!$C:$C,A1191))</f>
        <v/>
      </c>
      <c r="AA1191">
        <f>IF(A1191="","","JFT|"&amp;C1191&amp;"|"&amp;D1191&amp;"|"&amp;E1191&amp;"L"&amp;F1191)</f>
        <v/>
      </c>
    </row>
    <row r="1192">
      <c r="Z1192">
        <f>IF(A1192="","",COUNTIF('40_RAP_DE'!$C:$C,A1192))</f>
        <v/>
      </c>
      <c r="AA1192">
        <f>IF(A1192="","","JFT|"&amp;C1192&amp;"|"&amp;D1192&amp;"|"&amp;E1192&amp;"L"&amp;F1192)</f>
        <v/>
      </c>
    </row>
    <row r="1193">
      <c r="Z1193">
        <f>IF(A1193="","",COUNTIF('40_RAP_DE'!$C:$C,A1193))</f>
        <v/>
      </c>
      <c r="AA1193">
        <f>IF(A1193="","","JFT|"&amp;C1193&amp;"|"&amp;D1193&amp;"|"&amp;E1193&amp;"L"&amp;F1193)</f>
        <v/>
      </c>
    </row>
    <row r="1194">
      <c r="Z1194">
        <f>IF(A1194="","",COUNTIF('40_RAP_DE'!$C:$C,A1194))</f>
        <v/>
      </c>
      <c r="AA1194">
        <f>IF(A1194="","","JFT|"&amp;C1194&amp;"|"&amp;D1194&amp;"|"&amp;E1194&amp;"L"&amp;F1194)</f>
        <v/>
      </c>
    </row>
    <row r="1195">
      <c r="Z1195">
        <f>IF(A1195="","",COUNTIF('40_RAP_DE'!$C:$C,A1195))</f>
        <v/>
      </c>
      <c r="AA1195">
        <f>IF(A1195="","","JFT|"&amp;C1195&amp;"|"&amp;D1195&amp;"|"&amp;E1195&amp;"L"&amp;F1195)</f>
        <v/>
      </c>
    </row>
    <row r="1196">
      <c r="Z1196">
        <f>IF(A1196="","",COUNTIF('40_RAP_DE'!$C:$C,A1196))</f>
        <v/>
      </c>
      <c r="AA1196">
        <f>IF(A1196="","","JFT|"&amp;C1196&amp;"|"&amp;D1196&amp;"|"&amp;E1196&amp;"L"&amp;F1196)</f>
        <v/>
      </c>
    </row>
    <row r="1197">
      <c r="Z1197">
        <f>IF(A1197="","",COUNTIF('40_RAP_DE'!$C:$C,A1197))</f>
        <v/>
      </c>
      <c r="AA1197">
        <f>IF(A1197="","","JFT|"&amp;C1197&amp;"|"&amp;D1197&amp;"|"&amp;E1197&amp;"L"&amp;F1197)</f>
        <v/>
      </c>
    </row>
    <row r="1198">
      <c r="Z1198">
        <f>IF(A1198="","",COUNTIF('40_RAP_DE'!$C:$C,A1198))</f>
        <v/>
      </c>
      <c r="AA1198">
        <f>IF(A1198="","","JFT|"&amp;C1198&amp;"|"&amp;D1198&amp;"|"&amp;E1198&amp;"L"&amp;F1198)</f>
        <v/>
      </c>
    </row>
    <row r="1199">
      <c r="Z1199">
        <f>IF(A1199="","",COUNTIF('40_RAP_DE'!$C:$C,A1199))</f>
        <v/>
      </c>
      <c r="AA1199">
        <f>IF(A1199="","","JFT|"&amp;C1199&amp;"|"&amp;D1199&amp;"|"&amp;E1199&amp;"L"&amp;F1199)</f>
        <v/>
      </c>
    </row>
    <row r="1200">
      <c r="Z1200">
        <f>IF(A1200="","",COUNTIF('40_RAP_DE'!$C:$C,A1200))</f>
        <v/>
      </c>
      <c r="AA1200">
        <f>IF(A1200="","","JFT|"&amp;C1200&amp;"|"&amp;D1200&amp;"|"&amp;E1200&amp;"L"&amp;F1200)</f>
        <v/>
      </c>
    </row>
    <row r="1201">
      <c r="Z1201">
        <f>IF(A1201="","",COUNTIF('40_RAP_DE'!$C:$C,A1201))</f>
        <v/>
      </c>
      <c r="AA1201">
        <f>IF(A1201="","","JFT|"&amp;C1201&amp;"|"&amp;D1201&amp;"|"&amp;E1201&amp;"L"&amp;F1201)</f>
        <v/>
      </c>
    </row>
    <row r="1202">
      <c r="Z1202">
        <f>IF(A1202="","",COUNTIF('40_RAP_DE'!$C:$C,A1202))</f>
        <v/>
      </c>
      <c r="AA1202">
        <f>IF(A1202="","","JFT|"&amp;C1202&amp;"|"&amp;D1202&amp;"|"&amp;E1202&amp;"L"&amp;F1202)</f>
        <v/>
      </c>
    </row>
    <row r="1203">
      <c r="Z1203">
        <f>IF(A1203="","",COUNTIF('40_RAP_DE'!$C:$C,A1203))</f>
        <v/>
      </c>
      <c r="AA1203">
        <f>IF(A1203="","","JFT|"&amp;C1203&amp;"|"&amp;D1203&amp;"|"&amp;E1203&amp;"L"&amp;F1203)</f>
        <v/>
      </c>
    </row>
    <row r="1204">
      <c r="Z1204">
        <f>IF(A1204="","",COUNTIF('40_RAP_DE'!$C:$C,A1204))</f>
        <v/>
      </c>
      <c r="AA1204">
        <f>IF(A1204="","","JFT|"&amp;C1204&amp;"|"&amp;D1204&amp;"|"&amp;E1204&amp;"L"&amp;F1204)</f>
        <v/>
      </c>
    </row>
    <row r="1205">
      <c r="Z1205">
        <f>IF(A1205="","",COUNTIF('40_RAP_DE'!$C:$C,A1205))</f>
        <v/>
      </c>
      <c r="AA1205">
        <f>IF(A1205="","","JFT|"&amp;C1205&amp;"|"&amp;D1205&amp;"|"&amp;E1205&amp;"L"&amp;F1205)</f>
        <v/>
      </c>
    </row>
    <row r="1206">
      <c r="Z1206">
        <f>IF(A1206="","",COUNTIF('40_RAP_DE'!$C:$C,A1206))</f>
        <v/>
      </c>
      <c r="AA1206">
        <f>IF(A1206="","","JFT|"&amp;C1206&amp;"|"&amp;D1206&amp;"|"&amp;E1206&amp;"L"&amp;F1206)</f>
        <v/>
      </c>
    </row>
    <row r="1207">
      <c r="Z1207">
        <f>IF(A1207="","",COUNTIF('40_RAP_DE'!$C:$C,A1207))</f>
        <v/>
      </c>
      <c r="AA1207">
        <f>IF(A1207="","","JFT|"&amp;C1207&amp;"|"&amp;D1207&amp;"|"&amp;E1207&amp;"L"&amp;F1207)</f>
        <v/>
      </c>
    </row>
    <row r="1208">
      <c r="Z1208">
        <f>IF(A1208="","",COUNTIF('40_RAP_DE'!$C:$C,A1208))</f>
        <v/>
      </c>
      <c r="AA1208">
        <f>IF(A1208="","","JFT|"&amp;C1208&amp;"|"&amp;D1208&amp;"|"&amp;E1208&amp;"L"&amp;F1208)</f>
        <v/>
      </c>
    </row>
    <row r="1209">
      <c r="Z1209">
        <f>IF(A1209="","",COUNTIF('40_RAP_DE'!$C:$C,A1209))</f>
        <v/>
      </c>
      <c r="AA1209">
        <f>IF(A1209="","","JFT|"&amp;C1209&amp;"|"&amp;D1209&amp;"|"&amp;E1209&amp;"L"&amp;F1209)</f>
        <v/>
      </c>
    </row>
    <row r="1210">
      <c r="Z1210">
        <f>IF(A1210="","",COUNTIF('40_RAP_DE'!$C:$C,A1210))</f>
        <v/>
      </c>
      <c r="AA1210">
        <f>IF(A1210="","","JFT|"&amp;C1210&amp;"|"&amp;D1210&amp;"|"&amp;E1210&amp;"L"&amp;F1210)</f>
        <v/>
      </c>
    </row>
    <row r="1211">
      <c r="Z1211">
        <f>IF(A1211="","",COUNTIF('40_RAP_DE'!$C:$C,A1211))</f>
        <v/>
      </c>
      <c r="AA1211">
        <f>IF(A1211="","","JFT|"&amp;C1211&amp;"|"&amp;D1211&amp;"|"&amp;E1211&amp;"L"&amp;F1211)</f>
        <v/>
      </c>
    </row>
    <row r="1212">
      <c r="Z1212">
        <f>IF(A1212="","",COUNTIF('40_RAP_DE'!$C:$C,A1212))</f>
        <v/>
      </c>
      <c r="AA1212">
        <f>IF(A1212="","","JFT|"&amp;C1212&amp;"|"&amp;D1212&amp;"|"&amp;E1212&amp;"L"&amp;F1212)</f>
        <v/>
      </c>
    </row>
    <row r="1213">
      <c r="Z1213">
        <f>IF(A1213="","",COUNTIF('40_RAP_DE'!$C:$C,A1213))</f>
        <v/>
      </c>
      <c r="AA1213">
        <f>IF(A1213="","","JFT|"&amp;C1213&amp;"|"&amp;D1213&amp;"|"&amp;E1213&amp;"L"&amp;F1213)</f>
        <v/>
      </c>
    </row>
    <row r="1214">
      <c r="Z1214">
        <f>IF(A1214="","",COUNTIF('40_RAP_DE'!$C:$C,A1214))</f>
        <v/>
      </c>
      <c r="AA1214">
        <f>IF(A1214="","","JFT|"&amp;C1214&amp;"|"&amp;D1214&amp;"|"&amp;E1214&amp;"L"&amp;F1214)</f>
        <v/>
      </c>
    </row>
    <row r="1215">
      <c r="Z1215">
        <f>IF(A1215="","",COUNTIF('40_RAP_DE'!$C:$C,A1215))</f>
        <v/>
      </c>
      <c r="AA1215">
        <f>IF(A1215="","","JFT|"&amp;C1215&amp;"|"&amp;D1215&amp;"|"&amp;E1215&amp;"L"&amp;F1215)</f>
        <v/>
      </c>
    </row>
    <row r="1216">
      <c r="Z1216">
        <f>IF(A1216="","",COUNTIF('40_RAP_DE'!$C:$C,A1216))</f>
        <v/>
      </c>
      <c r="AA1216">
        <f>IF(A1216="","","JFT|"&amp;C1216&amp;"|"&amp;D1216&amp;"|"&amp;E1216&amp;"L"&amp;F1216)</f>
        <v/>
      </c>
    </row>
    <row r="1217">
      <c r="Z1217">
        <f>IF(A1217="","",COUNTIF('40_RAP_DE'!$C:$C,A1217))</f>
        <v/>
      </c>
      <c r="AA1217">
        <f>IF(A1217="","","JFT|"&amp;C1217&amp;"|"&amp;D1217&amp;"|"&amp;E1217&amp;"L"&amp;F1217)</f>
        <v/>
      </c>
    </row>
    <row r="1218">
      <c r="Z1218">
        <f>IF(A1218="","",COUNTIF('40_RAP_DE'!$C:$C,A1218))</f>
        <v/>
      </c>
      <c r="AA1218">
        <f>IF(A1218="","","JFT|"&amp;C1218&amp;"|"&amp;D1218&amp;"|"&amp;E1218&amp;"L"&amp;F1218)</f>
        <v/>
      </c>
    </row>
    <row r="1219">
      <c r="Z1219">
        <f>IF(A1219="","",COUNTIF('40_RAP_DE'!$C:$C,A1219))</f>
        <v/>
      </c>
      <c r="AA1219">
        <f>IF(A1219="","","JFT|"&amp;C1219&amp;"|"&amp;D1219&amp;"|"&amp;E1219&amp;"L"&amp;F1219)</f>
        <v/>
      </c>
    </row>
    <row r="1220">
      <c r="Z1220">
        <f>IF(A1220="","",COUNTIF('40_RAP_DE'!$C:$C,A1220))</f>
        <v/>
      </c>
      <c r="AA1220">
        <f>IF(A1220="","","JFT|"&amp;C1220&amp;"|"&amp;D1220&amp;"|"&amp;E1220&amp;"L"&amp;F1220)</f>
        <v/>
      </c>
    </row>
    <row r="1221">
      <c r="Z1221">
        <f>IF(A1221="","",COUNTIF('40_RAP_DE'!$C:$C,A1221))</f>
        <v/>
      </c>
      <c r="AA1221">
        <f>IF(A1221="","","JFT|"&amp;C1221&amp;"|"&amp;D1221&amp;"|"&amp;E1221&amp;"L"&amp;F1221)</f>
        <v/>
      </c>
    </row>
    <row r="1222">
      <c r="Z1222">
        <f>IF(A1222="","",COUNTIF('40_RAP_DE'!$C:$C,A1222))</f>
        <v/>
      </c>
      <c r="AA1222">
        <f>IF(A1222="","","JFT|"&amp;C1222&amp;"|"&amp;D1222&amp;"|"&amp;E1222&amp;"L"&amp;F1222)</f>
        <v/>
      </c>
    </row>
    <row r="1223">
      <c r="Z1223">
        <f>IF(A1223="","",COUNTIF('40_RAP_DE'!$C:$C,A1223))</f>
        <v/>
      </c>
      <c r="AA1223">
        <f>IF(A1223="","","JFT|"&amp;C1223&amp;"|"&amp;D1223&amp;"|"&amp;E1223&amp;"L"&amp;F1223)</f>
        <v/>
      </c>
    </row>
    <row r="1224">
      <c r="Z1224">
        <f>IF(A1224="","",COUNTIF('40_RAP_DE'!$C:$C,A1224))</f>
        <v/>
      </c>
      <c r="AA1224">
        <f>IF(A1224="","","JFT|"&amp;C1224&amp;"|"&amp;D1224&amp;"|"&amp;E1224&amp;"L"&amp;F1224)</f>
        <v/>
      </c>
    </row>
    <row r="1225">
      <c r="Z1225">
        <f>IF(A1225="","",COUNTIF('40_RAP_DE'!$C:$C,A1225))</f>
        <v/>
      </c>
      <c r="AA1225">
        <f>IF(A1225="","","JFT|"&amp;C1225&amp;"|"&amp;D1225&amp;"|"&amp;E1225&amp;"L"&amp;F1225)</f>
        <v/>
      </c>
    </row>
    <row r="1226">
      <c r="Z1226">
        <f>IF(A1226="","",COUNTIF('40_RAP_DE'!$C:$C,A1226))</f>
        <v/>
      </c>
      <c r="AA1226">
        <f>IF(A1226="","","JFT|"&amp;C1226&amp;"|"&amp;D1226&amp;"|"&amp;E1226&amp;"L"&amp;F1226)</f>
        <v/>
      </c>
    </row>
    <row r="1227">
      <c r="Z1227">
        <f>IF(A1227="","",COUNTIF('40_RAP_DE'!$C:$C,A1227))</f>
        <v/>
      </c>
      <c r="AA1227">
        <f>IF(A1227="","","JFT|"&amp;C1227&amp;"|"&amp;D1227&amp;"|"&amp;E1227&amp;"L"&amp;F1227)</f>
        <v/>
      </c>
    </row>
    <row r="1228">
      <c r="Z1228">
        <f>IF(A1228="","",COUNTIF('40_RAP_DE'!$C:$C,A1228))</f>
        <v/>
      </c>
      <c r="AA1228">
        <f>IF(A1228="","","JFT|"&amp;C1228&amp;"|"&amp;D1228&amp;"|"&amp;E1228&amp;"L"&amp;F1228)</f>
        <v/>
      </c>
    </row>
    <row r="1229">
      <c r="Z1229">
        <f>IF(A1229="","",COUNTIF('40_RAP_DE'!$C:$C,A1229))</f>
        <v/>
      </c>
      <c r="AA1229">
        <f>IF(A1229="","","JFT|"&amp;C1229&amp;"|"&amp;D1229&amp;"|"&amp;E1229&amp;"L"&amp;F1229)</f>
        <v/>
      </c>
    </row>
    <row r="1230">
      <c r="Z1230">
        <f>IF(A1230="","",COUNTIF('40_RAP_DE'!$C:$C,A1230))</f>
        <v/>
      </c>
      <c r="AA1230">
        <f>IF(A1230="","","JFT|"&amp;C1230&amp;"|"&amp;D1230&amp;"|"&amp;E1230&amp;"L"&amp;F1230)</f>
        <v/>
      </c>
    </row>
    <row r="1231">
      <c r="Z1231">
        <f>IF(A1231="","",COUNTIF('40_RAP_DE'!$C:$C,A1231))</f>
        <v/>
      </c>
      <c r="AA1231">
        <f>IF(A1231="","","JFT|"&amp;C1231&amp;"|"&amp;D1231&amp;"|"&amp;E1231&amp;"L"&amp;F1231)</f>
        <v/>
      </c>
    </row>
    <row r="1232">
      <c r="Z1232">
        <f>IF(A1232="","",COUNTIF('40_RAP_DE'!$C:$C,A1232))</f>
        <v/>
      </c>
      <c r="AA1232">
        <f>IF(A1232="","","JFT|"&amp;C1232&amp;"|"&amp;D1232&amp;"|"&amp;E1232&amp;"L"&amp;F1232)</f>
        <v/>
      </c>
    </row>
    <row r="1233">
      <c r="Z1233">
        <f>IF(A1233="","",COUNTIF('40_RAP_DE'!$C:$C,A1233))</f>
        <v/>
      </c>
      <c r="AA1233">
        <f>IF(A1233="","","JFT|"&amp;C1233&amp;"|"&amp;D1233&amp;"|"&amp;E1233&amp;"L"&amp;F1233)</f>
        <v/>
      </c>
    </row>
    <row r="1234">
      <c r="Z1234">
        <f>IF(A1234="","",COUNTIF('40_RAP_DE'!$C:$C,A1234))</f>
        <v/>
      </c>
      <c r="AA1234">
        <f>IF(A1234="","","JFT|"&amp;C1234&amp;"|"&amp;D1234&amp;"|"&amp;E1234&amp;"L"&amp;F1234)</f>
        <v/>
      </c>
    </row>
    <row r="1235">
      <c r="Z1235">
        <f>IF(A1235="","",COUNTIF('40_RAP_DE'!$C:$C,A1235))</f>
        <v/>
      </c>
      <c r="AA1235">
        <f>IF(A1235="","","JFT|"&amp;C1235&amp;"|"&amp;D1235&amp;"|"&amp;E1235&amp;"L"&amp;F1235)</f>
        <v/>
      </c>
    </row>
    <row r="1236">
      <c r="Z1236">
        <f>IF(A1236="","",COUNTIF('40_RAP_DE'!$C:$C,A1236))</f>
        <v/>
      </c>
      <c r="AA1236">
        <f>IF(A1236="","","JFT|"&amp;C1236&amp;"|"&amp;D1236&amp;"|"&amp;E1236&amp;"L"&amp;F1236)</f>
        <v/>
      </c>
    </row>
    <row r="1237">
      <c r="Z1237">
        <f>IF(A1237="","",COUNTIF('40_RAP_DE'!$C:$C,A1237))</f>
        <v/>
      </c>
      <c r="AA1237">
        <f>IF(A1237="","","JFT|"&amp;C1237&amp;"|"&amp;D1237&amp;"|"&amp;E1237&amp;"L"&amp;F1237)</f>
        <v/>
      </c>
    </row>
    <row r="1238">
      <c r="Z1238">
        <f>IF(A1238="","",COUNTIF('40_RAP_DE'!$C:$C,A1238))</f>
        <v/>
      </c>
      <c r="AA1238">
        <f>IF(A1238="","","JFT|"&amp;C1238&amp;"|"&amp;D1238&amp;"|"&amp;E1238&amp;"L"&amp;F1238)</f>
        <v/>
      </c>
    </row>
    <row r="1239">
      <c r="Z1239">
        <f>IF(A1239="","",COUNTIF('40_RAP_DE'!$C:$C,A1239))</f>
        <v/>
      </c>
      <c r="AA1239">
        <f>IF(A1239="","","JFT|"&amp;C1239&amp;"|"&amp;D1239&amp;"|"&amp;E1239&amp;"L"&amp;F1239)</f>
        <v/>
      </c>
    </row>
    <row r="1240">
      <c r="Z1240">
        <f>IF(A1240="","",COUNTIF('40_RAP_DE'!$C:$C,A1240))</f>
        <v/>
      </c>
      <c r="AA1240">
        <f>IF(A1240="","","JFT|"&amp;C1240&amp;"|"&amp;D1240&amp;"|"&amp;E1240&amp;"L"&amp;F1240)</f>
        <v/>
      </c>
    </row>
    <row r="1241">
      <c r="Z1241">
        <f>IF(A1241="","",COUNTIF('40_RAP_DE'!$C:$C,A1241))</f>
        <v/>
      </c>
      <c r="AA1241">
        <f>IF(A1241="","","JFT|"&amp;C1241&amp;"|"&amp;D1241&amp;"|"&amp;E1241&amp;"L"&amp;F1241)</f>
        <v/>
      </c>
    </row>
    <row r="1242">
      <c r="Z1242">
        <f>IF(A1242="","",COUNTIF('40_RAP_DE'!$C:$C,A1242))</f>
        <v/>
      </c>
      <c r="AA1242">
        <f>IF(A1242="","","JFT|"&amp;C1242&amp;"|"&amp;D1242&amp;"|"&amp;E1242&amp;"L"&amp;F1242)</f>
        <v/>
      </c>
    </row>
    <row r="1243">
      <c r="Z1243">
        <f>IF(A1243="","",COUNTIF('40_RAP_DE'!$C:$C,A1243))</f>
        <v/>
      </c>
      <c r="AA1243">
        <f>IF(A1243="","","JFT|"&amp;C1243&amp;"|"&amp;D1243&amp;"|"&amp;E1243&amp;"L"&amp;F1243)</f>
        <v/>
      </c>
    </row>
    <row r="1244">
      <c r="Z1244">
        <f>IF(A1244="","",COUNTIF('40_RAP_DE'!$C:$C,A1244))</f>
        <v/>
      </c>
      <c r="AA1244">
        <f>IF(A1244="","","JFT|"&amp;C1244&amp;"|"&amp;D1244&amp;"|"&amp;E1244&amp;"L"&amp;F1244)</f>
        <v/>
      </c>
    </row>
    <row r="1245">
      <c r="Z1245">
        <f>IF(A1245="","",COUNTIF('40_RAP_DE'!$C:$C,A1245))</f>
        <v/>
      </c>
      <c r="AA1245">
        <f>IF(A1245="","","JFT|"&amp;C1245&amp;"|"&amp;D1245&amp;"|"&amp;E1245&amp;"L"&amp;F1245)</f>
        <v/>
      </c>
    </row>
    <row r="1246">
      <c r="Z1246">
        <f>IF(A1246="","",COUNTIF('40_RAP_DE'!$C:$C,A1246))</f>
        <v/>
      </c>
      <c r="AA1246">
        <f>IF(A1246="","","JFT|"&amp;C1246&amp;"|"&amp;D1246&amp;"|"&amp;E1246&amp;"L"&amp;F1246)</f>
        <v/>
      </c>
    </row>
    <row r="1247">
      <c r="Z1247">
        <f>IF(A1247="","",COUNTIF('40_RAP_DE'!$C:$C,A1247))</f>
        <v/>
      </c>
      <c r="AA1247">
        <f>IF(A1247="","","JFT|"&amp;C1247&amp;"|"&amp;D1247&amp;"|"&amp;E1247&amp;"L"&amp;F1247)</f>
        <v/>
      </c>
    </row>
    <row r="1248">
      <c r="Z1248">
        <f>IF(A1248="","",COUNTIF('40_RAP_DE'!$C:$C,A1248))</f>
        <v/>
      </c>
      <c r="AA1248">
        <f>IF(A1248="","","JFT|"&amp;C1248&amp;"|"&amp;D1248&amp;"|"&amp;E1248&amp;"L"&amp;F1248)</f>
        <v/>
      </c>
    </row>
    <row r="1249">
      <c r="Z1249">
        <f>IF(A1249="","",COUNTIF('40_RAP_DE'!$C:$C,A1249))</f>
        <v/>
      </c>
      <c r="AA1249">
        <f>IF(A1249="","","JFT|"&amp;C1249&amp;"|"&amp;D1249&amp;"|"&amp;E1249&amp;"L"&amp;F1249)</f>
        <v/>
      </c>
    </row>
    <row r="1250">
      <c r="Z1250">
        <f>IF(A1250="","",COUNTIF('40_RAP_DE'!$C:$C,A1250))</f>
        <v/>
      </c>
      <c r="AA1250">
        <f>IF(A1250="","","JFT|"&amp;C1250&amp;"|"&amp;D1250&amp;"|"&amp;E1250&amp;"L"&amp;F1250)</f>
        <v/>
      </c>
    </row>
    <row r="1251">
      <c r="Z1251">
        <f>IF(A1251="","",COUNTIF('40_RAP_DE'!$C:$C,A1251))</f>
        <v/>
      </c>
      <c r="AA1251">
        <f>IF(A1251="","","JFT|"&amp;C1251&amp;"|"&amp;D1251&amp;"|"&amp;E1251&amp;"L"&amp;F1251)</f>
        <v/>
      </c>
    </row>
    <row r="1252">
      <c r="Z1252">
        <f>IF(A1252="","",COUNTIF('40_RAP_DE'!$C:$C,A1252))</f>
        <v/>
      </c>
      <c r="AA1252">
        <f>IF(A1252="","","JFT|"&amp;C1252&amp;"|"&amp;D1252&amp;"|"&amp;E1252&amp;"L"&amp;F1252)</f>
        <v/>
      </c>
    </row>
    <row r="1253">
      <c r="Z1253">
        <f>IF(A1253="","",COUNTIF('40_RAP_DE'!$C:$C,A1253))</f>
        <v/>
      </c>
      <c r="AA1253">
        <f>IF(A1253="","","JFT|"&amp;C1253&amp;"|"&amp;D1253&amp;"|"&amp;E1253&amp;"L"&amp;F1253)</f>
        <v/>
      </c>
    </row>
    <row r="1254">
      <c r="Z1254">
        <f>IF(A1254="","",COUNTIF('40_RAP_DE'!$C:$C,A1254))</f>
        <v/>
      </c>
      <c r="AA1254">
        <f>IF(A1254="","","JFT|"&amp;C1254&amp;"|"&amp;D1254&amp;"|"&amp;E1254&amp;"L"&amp;F1254)</f>
        <v/>
      </c>
    </row>
    <row r="1255">
      <c r="Z1255">
        <f>IF(A1255="","",COUNTIF('40_RAP_DE'!$C:$C,A1255))</f>
        <v/>
      </c>
      <c r="AA1255">
        <f>IF(A1255="","","JFT|"&amp;C1255&amp;"|"&amp;D1255&amp;"|"&amp;E1255&amp;"L"&amp;F1255)</f>
        <v/>
      </c>
    </row>
    <row r="1256">
      <c r="Z1256">
        <f>IF(A1256="","",COUNTIF('40_RAP_DE'!$C:$C,A1256))</f>
        <v/>
      </c>
      <c r="AA1256">
        <f>IF(A1256="","","JFT|"&amp;C1256&amp;"|"&amp;D1256&amp;"|"&amp;E1256&amp;"L"&amp;F1256)</f>
        <v/>
      </c>
    </row>
    <row r="1257">
      <c r="Z1257">
        <f>IF(A1257="","",COUNTIF('40_RAP_DE'!$C:$C,A1257))</f>
        <v/>
      </c>
      <c r="AA1257">
        <f>IF(A1257="","","JFT|"&amp;C1257&amp;"|"&amp;D1257&amp;"|"&amp;E1257&amp;"L"&amp;F1257)</f>
        <v/>
      </c>
    </row>
    <row r="1258">
      <c r="Z1258">
        <f>IF(A1258="","",COUNTIF('40_RAP_DE'!$C:$C,A1258))</f>
        <v/>
      </c>
      <c r="AA1258">
        <f>IF(A1258="","","JFT|"&amp;C1258&amp;"|"&amp;D1258&amp;"|"&amp;E1258&amp;"L"&amp;F1258)</f>
        <v/>
      </c>
    </row>
    <row r="1259">
      <c r="Z1259">
        <f>IF(A1259="","",COUNTIF('40_RAP_DE'!$C:$C,A1259))</f>
        <v/>
      </c>
      <c r="AA1259">
        <f>IF(A1259="","","JFT|"&amp;C1259&amp;"|"&amp;D1259&amp;"|"&amp;E1259&amp;"L"&amp;F1259)</f>
        <v/>
      </c>
    </row>
    <row r="1260">
      <c r="Z1260">
        <f>IF(A1260="","",COUNTIF('40_RAP_DE'!$C:$C,A1260))</f>
        <v/>
      </c>
      <c r="AA1260">
        <f>IF(A1260="","","JFT|"&amp;C1260&amp;"|"&amp;D1260&amp;"|"&amp;E1260&amp;"L"&amp;F1260)</f>
        <v/>
      </c>
    </row>
    <row r="1261">
      <c r="Z1261">
        <f>IF(A1261="","",COUNTIF('40_RAP_DE'!$C:$C,A1261))</f>
        <v/>
      </c>
      <c r="AA1261">
        <f>IF(A1261="","","JFT|"&amp;C1261&amp;"|"&amp;D1261&amp;"|"&amp;E1261&amp;"L"&amp;F1261)</f>
        <v/>
      </c>
    </row>
    <row r="1262">
      <c r="Z1262">
        <f>IF(A1262="","",COUNTIF('40_RAP_DE'!$C:$C,A1262))</f>
        <v/>
      </c>
      <c r="AA1262">
        <f>IF(A1262="","","JFT|"&amp;C1262&amp;"|"&amp;D1262&amp;"|"&amp;E1262&amp;"L"&amp;F1262)</f>
        <v/>
      </c>
    </row>
    <row r="1263">
      <c r="Z1263">
        <f>IF(A1263="","",COUNTIF('40_RAP_DE'!$C:$C,A1263))</f>
        <v/>
      </c>
      <c r="AA1263">
        <f>IF(A1263="","","JFT|"&amp;C1263&amp;"|"&amp;D1263&amp;"|"&amp;E1263&amp;"L"&amp;F1263)</f>
        <v/>
      </c>
    </row>
    <row r="1264">
      <c r="Z1264">
        <f>IF(A1264="","",COUNTIF('40_RAP_DE'!$C:$C,A1264))</f>
        <v/>
      </c>
      <c r="AA1264">
        <f>IF(A1264="","","JFT|"&amp;C1264&amp;"|"&amp;D1264&amp;"|"&amp;E1264&amp;"L"&amp;F1264)</f>
        <v/>
      </c>
    </row>
    <row r="1265">
      <c r="Z1265">
        <f>IF(A1265="","",COUNTIF('40_RAP_DE'!$C:$C,A1265))</f>
        <v/>
      </c>
      <c r="AA1265">
        <f>IF(A1265="","","JFT|"&amp;C1265&amp;"|"&amp;D1265&amp;"|"&amp;E1265&amp;"L"&amp;F1265)</f>
        <v/>
      </c>
    </row>
    <row r="1266">
      <c r="Z1266">
        <f>IF(A1266="","",COUNTIF('40_RAP_DE'!$C:$C,A1266))</f>
        <v/>
      </c>
      <c r="AA1266">
        <f>IF(A1266="","","JFT|"&amp;C1266&amp;"|"&amp;D1266&amp;"|"&amp;E1266&amp;"L"&amp;F1266)</f>
        <v/>
      </c>
    </row>
    <row r="1267">
      <c r="Z1267">
        <f>IF(A1267="","",COUNTIF('40_RAP_DE'!$C:$C,A1267))</f>
        <v/>
      </c>
      <c r="AA1267">
        <f>IF(A1267="","","JFT|"&amp;C1267&amp;"|"&amp;D1267&amp;"|"&amp;E1267&amp;"L"&amp;F1267)</f>
        <v/>
      </c>
    </row>
    <row r="1268">
      <c r="Z1268">
        <f>IF(A1268="","",COUNTIF('40_RAP_DE'!$C:$C,A1268))</f>
        <v/>
      </c>
      <c r="AA1268">
        <f>IF(A1268="","","JFT|"&amp;C1268&amp;"|"&amp;D1268&amp;"|"&amp;E1268&amp;"L"&amp;F1268)</f>
        <v/>
      </c>
    </row>
    <row r="1269">
      <c r="Z1269">
        <f>IF(A1269="","",COUNTIF('40_RAP_DE'!$C:$C,A1269))</f>
        <v/>
      </c>
      <c r="AA1269">
        <f>IF(A1269="","","JFT|"&amp;C1269&amp;"|"&amp;D1269&amp;"|"&amp;E1269&amp;"L"&amp;F1269)</f>
        <v/>
      </c>
    </row>
    <row r="1270">
      <c r="Z1270">
        <f>IF(A1270="","",COUNTIF('40_RAP_DE'!$C:$C,A1270))</f>
        <v/>
      </c>
      <c r="AA1270">
        <f>IF(A1270="","","JFT|"&amp;C1270&amp;"|"&amp;D1270&amp;"|"&amp;E1270&amp;"L"&amp;F1270)</f>
        <v/>
      </c>
    </row>
    <row r="1271">
      <c r="Z1271">
        <f>IF(A1271="","",COUNTIF('40_RAP_DE'!$C:$C,A1271))</f>
        <v/>
      </c>
      <c r="AA1271">
        <f>IF(A1271="","","JFT|"&amp;C1271&amp;"|"&amp;D1271&amp;"|"&amp;E1271&amp;"L"&amp;F1271)</f>
        <v/>
      </c>
    </row>
    <row r="1272">
      <c r="Z1272">
        <f>IF(A1272="","",COUNTIF('40_RAP_DE'!$C:$C,A1272))</f>
        <v/>
      </c>
      <c r="AA1272">
        <f>IF(A1272="","","JFT|"&amp;C1272&amp;"|"&amp;D1272&amp;"|"&amp;E1272&amp;"L"&amp;F1272)</f>
        <v/>
      </c>
    </row>
    <row r="1273">
      <c r="Z1273">
        <f>IF(A1273="","",COUNTIF('40_RAP_DE'!$C:$C,A1273))</f>
        <v/>
      </c>
      <c r="AA1273">
        <f>IF(A1273="","","JFT|"&amp;C1273&amp;"|"&amp;D1273&amp;"|"&amp;E1273&amp;"L"&amp;F1273)</f>
        <v/>
      </c>
    </row>
    <row r="1274">
      <c r="Z1274">
        <f>IF(A1274="","",COUNTIF('40_RAP_DE'!$C:$C,A1274))</f>
        <v/>
      </c>
      <c r="AA1274">
        <f>IF(A1274="","","JFT|"&amp;C1274&amp;"|"&amp;D1274&amp;"|"&amp;E1274&amp;"L"&amp;F1274)</f>
        <v/>
      </c>
    </row>
    <row r="1275">
      <c r="Z1275">
        <f>IF(A1275="","",COUNTIF('40_RAP_DE'!$C:$C,A1275))</f>
        <v/>
      </c>
      <c r="AA1275">
        <f>IF(A1275="","","JFT|"&amp;C1275&amp;"|"&amp;D1275&amp;"|"&amp;E1275&amp;"L"&amp;F1275)</f>
        <v/>
      </c>
    </row>
    <row r="1276">
      <c r="Z1276">
        <f>IF(A1276="","",COUNTIF('40_RAP_DE'!$C:$C,A1276))</f>
        <v/>
      </c>
      <c r="AA1276">
        <f>IF(A1276="","","JFT|"&amp;C1276&amp;"|"&amp;D1276&amp;"|"&amp;E1276&amp;"L"&amp;F1276)</f>
        <v/>
      </c>
    </row>
    <row r="1277">
      <c r="Z1277">
        <f>IF(A1277="","",COUNTIF('40_RAP_DE'!$C:$C,A1277))</f>
        <v/>
      </c>
      <c r="AA1277">
        <f>IF(A1277="","","JFT|"&amp;C1277&amp;"|"&amp;D1277&amp;"|"&amp;E1277&amp;"L"&amp;F1277)</f>
        <v/>
      </c>
    </row>
    <row r="1278">
      <c r="Z1278">
        <f>IF(A1278="","",COUNTIF('40_RAP_DE'!$C:$C,A1278))</f>
        <v/>
      </c>
      <c r="AA1278">
        <f>IF(A1278="","","JFT|"&amp;C1278&amp;"|"&amp;D1278&amp;"|"&amp;E1278&amp;"L"&amp;F1278)</f>
        <v/>
      </c>
    </row>
    <row r="1279">
      <c r="Z1279">
        <f>IF(A1279="","",COUNTIF('40_RAP_DE'!$C:$C,A1279))</f>
        <v/>
      </c>
      <c r="AA1279">
        <f>IF(A1279="","","JFT|"&amp;C1279&amp;"|"&amp;D1279&amp;"|"&amp;E1279&amp;"L"&amp;F1279)</f>
        <v/>
      </c>
    </row>
    <row r="1280">
      <c r="Z1280">
        <f>IF(A1280="","",COUNTIF('40_RAP_DE'!$C:$C,A1280))</f>
        <v/>
      </c>
      <c r="AA1280">
        <f>IF(A1280="","","JFT|"&amp;C1280&amp;"|"&amp;D1280&amp;"|"&amp;E1280&amp;"L"&amp;F1280)</f>
        <v/>
      </c>
    </row>
    <row r="1281">
      <c r="Z1281">
        <f>IF(A1281="","",COUNTIF('40_RAP_DE'!$C:$C,A1281))</f>
        <v/>
      </c>
      <c r="AA1281">
        <f>IF(A1281="","","JFT|"&amp;C1281&amp;"|"&amp;D1281&amp;"|"&amp;E1281&amp;"L"&amp;F1281)</f>
        <v/>
      </c>
    </row>
    <row r="1282">
      <c r="Z1282">
        <f>IF(A1282="","",COUNTIF('40_RAP_DE'!$C:$C,A1282))</f>
        <v/>
      </c>
      <c r="AA1282">
        <f>IF(A1282="","","JFT|"&amp;C1282&amp;"|"&amp;D1282&amp;"|"&amp;E1282&amp;"L"&amp;F1282)</f>
        <v/>
      </c>
    </row>
    <row r="1283">
      <c r="Z1283">
        <f>IF(A1283="","",COUNTIF('40_RAP_DE'!$C:$C,A1283))</f>
        <v/>
      </c>
      <c r="AA1283">
        <f>IF(A1283="","","JFT|"&amp;C1283&amp;"|"&amp;D1283&amp;"|"&amp;E1283&amp;"L"&amp;F1283)</f>
        <v/>
      </c>
    </row>
    <row r="1284">
      <c r="Z1284">
        <f>IF(A1284="","",COUNTIF('40_RAP_DE'!$C:$C,A1284))</f>
        <v/>
      </c>
      <c r="AA1284">
        <f>IF(A1284="","","JFT|"&amp;C1284&amp;"|"&amp;D1284&amp;"|"&amp;E1284&amp;"L"&amp;F1284)</f>
        <v/>
      </c>
    </row>
    <row r="1285">
      <c r="Z1285">
        <f>IF(A1285="","",COUNTIF('40_RAP_DE'!$C:$C,A1285))</f>
        <v/>
      </c>
      <c r="AA1285">
        <f>IF(A1285="","","JFT|"&amp;C1285&amp;"|"&amp;D1285&amp;"|"&amp;E1285&amp;"L"&amp;F1285)</f>
        <v/>
      </c>
    </row>
    <row r="1286">
      <c r="Z1286">
        <f>IF(A1286="","",COUNTIF('40_RAP_DE'!$C:$C,A1286))</f>
        <v/>
      </c>
      <c r="AA1286">
        <f>IF(A1286="","","JFT|"&amp;C1286&amp;"|"&amp;D1286&amp;"|"&amp;E1286&amp;"L"&amp;F1286)</f>
        <v/>
      </c>
    </row>
    <row r="1287">
      <c r="Z1287">
        <f>IF(A1287="","",COUNTIF('40_RAP_DE'!$C:$C,A1287))</f>
        <v/>
      </c>
      <c r="AA1287">
        <f>IF(A1287="","","JFT|"&amp;C1287&amp;"|"&amp;D1287&amp;"|"&amp;E1287&amp;"L"&amp;F1287)</f>
        <v/>
      </c>
    </row>
    <row r="1288">
      <c r="Z1288">
        <f>IF(A1288="","",COUNTIF('40_RAP_DE'!$C:$C,A1288))</f>
        <v/>
      </c>
      <c r="AA1288">
        <f>IF(A1288="","","JFT|"&amp;C1288&amp;"|"&amp;D1288&amp;"|"&amp;E1288&amp;"L"&amp;F1288)</f>
        <v/>
      </c>
    </row>
    <row r="1289">
      <c r="Z1289">
        <f>IF(A1289="","",COUNTIF('40_RAP_DE'!$C:$C,A1289))</f>
        <v/>
      </c>
      <c r="AA1289">
        <f>IF(A1289="","","JFT|"&amp;C1289&amp;"|"&amp;D1289&amp;"|"&amp;E1289&amp;"L"&amp;F1289)</f>
        <v/>
      </c>
    </row>
    <row r="1290">
      <c r="Z1290">
        <f>IF(A1290="","",COUNTIF('40_RAP_DE'!$C:$C,A1290))</f>
        <v/>
      </c>
      <c r="AA1290">
        <f>IF(A1290="","","JFT|"&amp;C1290&amp;"|"&amp;D1290&amp;"|"&amp;E1290&amp;"L"&amp;F1290)</f>
        <v/>
      </c>
    </row>
    <row r="1291">
      <c r="Z1291">
        <f>IF(A1291="","",COUNTIF('40_RAP_DE'!$C:$C,A1291))</f>
        <v/>
      </c>
      <c r="AA1291">
        <f>IF(A1291="","","JFT|"&amp;C1291&amp;"|"&amp;D1291&amp;"|"&amp;E1291&amp;"L"&amp;F1291)</f>
        <v/>
      </c>
    </row>
    <row r="1292">
      <c r="Z1292">
        <f>IF(A1292="","",COUNTIF('40_RAP_DE'!$C:$C,A1292))</f>
        <v/>
      </c>
      <c r="AA1292">
        <f>IF(A1292="","","JFT|"&amp;C1292&amp;"|"&amp;D1292&amp;"|"&amp;E1292&amp;"L"&amp;F1292)</f>
        <v/>
      </c>
    </row>
    <row r="1293">
      <c r="Z1293">
        <f>IF(A1293="","",COUNTIF('40_RAP_DE'!$C:$C,A1293))</f>
        <v/>
      </c>
      <c r="AA1293">
        <f>IF(A1293="","","JFT|"&amp;C1293&amp;"|"&amp;D1293&amp;"|"&amp;E1293&amp;"L"&amp;F1293)</f>
        <v/>
      </c>
    </row>
    <row r="1294">
      <c r="Z1294">
        <f>IF(A1294="","",COUNTIF('40_RAP_DE'!$C:$C,A1294))</f>
        <v/>
      </c>
      <c r="AA1294">
        <f>IF(A1294="","","JFT|"&amp;C1294&amp;"|"&amp;D1294&amp;"|"&amp;E1294&amp;"L"&amp;F1294)</f>
        <v/>
      </c>
    </row>
    <row r="1295">
      <c r="Z1295">
        <f>IF(A1295="","",COUNTIF('40_RAP_DE'!$C:$C,A1295))</f>
        <v/>
      </c>
      <c r="AA1295">
        <f>IF(A1295="","","JFT|"&amp;C1295&amp;"|"&amp;D1295&amp;"|"&amp;E1295&amp;"L"&amp;F1295)</f>
        <v/>
      </c>
    </row>
    <row r="1296">
      <c r="Z1296">
        <f>IF(A1296="","",COUNTIF('40_RAP_DE'!$C:$C,A1296))</f>
        <v/>
      </c>
      <c r="AA1296">
        <f>IF(A1296="","","JFT|"&amp;C1296&amp;"|"&amp;D1296&amp;"|"&amp;E1296&amp;"L"&amp;F1296)</f>
        <v/>
      </c>
    </row>
    <row r="1297">
      <c r="Z1297">
        <f>IF(A1297="","",COUNTIF('40_RAP_DE'!$C:$C,A1297))</f>
        <v/>
      </c>
      <c r="AA1297">
        <f>IF(A1297="","","JFT|"&amp;C1297&amp;"|"&amp;D1297&amp;"|"&amp;E1297&amp;"L"&amp;F1297)</f>
        <v/>
      </c>
    </row>
    <row r="1298">
      <c r="Z1298">
        <f>IF(A1298="","",COUNTIF('40_RAP_DE'!$C:$C,A1298))</f>
        <v/>
      </c>
      <c r="AA1298">
        <f>IF(A1298="","","JFT|"&amp;C1298&amp;"|"&amp;D1298&amp;"|"&amp;E1298&amp;"L"&amp;F1298)</f>
        <v/>
      </c>
    </row>
    <row r="1299">
      <c r="Z1299">
        <f>IF(A1299="","",COUNTIF('40_RAP_DE'!$C:$C,A1299))</f>
        <v/>
      </c>
      <c r="AA1299">
        <f>IF(A1299="","","JFT|"&amp;C1299&amp;"|"&amp;D1299&amp;"|"&amp;E1299&amp;"L"&amp;F1299)</f>
        <v/>
      </c>
    </row>
    <row r="1300">
      <c r="Z1300">
        <f>IF(A1300="","",COUNTIF('40_RAP_DE'!$C:$C,A1300))</f>
        <v/>
      </c>
      <c r="AA1300">
        <f>IF(A1300="","","JFT|"&amp;C1300&amp;"|"&amp;D1300&amp;"|"&amp;E1300&amp;"L"&amp;F1300)</f>
        <v/>
      </c>
    </row>
    <row r="1301">
      <c r="Z1301">
        <f>IF(A1301="","",COUNTIF('40_RAP_DE'!$C:$C,A1301))</f>
        <v/>
      </c>
      <c r="AA1301">
        <f>IF(A1301="","","JFT|"&amp;C1301&amp;"|"&amp;D1301&amp;"|"&amp;E1301&amp;"L"&amp;F1301)</f>
        <v/>
      </c>
    </row>
    <row r="1302">
      <c r="Z1302">
        <f>IF(A1302="","",COUNTIF('40_RAP_DE'!$C:$C,A1302))</f>
        <v/>
      </c>
      <c r="AA1302">
        <f>IF(A1302="","","JFT|"&amp;C1302&amp;"|"&amp;D1302&amp;"|"&amp;E1302&amp;"L"&amp;F1302)</f>
        <v/>
      </c>
    </row>
    <row r="1303">
      <c r="Z1303">
        <f>IF(A1303="","",COUNTIF('40_RAP_DE'!$C:$C,A1303))</f>
        <v/>
      </c>
      <c r="AA1303">
        <f>IF(A1303="","","JFT|"&amp;C1303&amp;"|"&amp;D1303&amp;"|"&amp;E1303&amp;"L"&amp;F1303)</f>
        <v/>
      </c>
    </row>
    <row r="1304">
      <c r="Z1304">
        <f>IF(A1304="","",COUNTIF('40_RAP_DE'!$C:$C,A1304))</f>
        <v/>
      </c>
      <c r="AA1304">
        <f>IF(A1304="","","JFT|"&amp;C1304&amp;"|"&amp;D1304&amp;"|"&amp;E1304&amp;"L"&amp;F1304)</f>
        <v/>
      </c>
    </row>
    <row r="1305">
      <c r="Z1305">
        <f>IF(A1305="","",COUNTIF('40_RAP_DE'!$C:$C,A1305))</f>
        <v/>
      </c>
      <c r="AA1305">
        <f>IF(A1305="","","JFT|"&amp;C1305&amp;"|"&amp;D1305&amp;"|"&amp;E1305&amp;"L"&amp;F1305)</f>
        <v/>
      </c>
    </row>
    <row r="1306">
      <c r="Z1306">
        <f>IF(A1306="","",COUNTIF('40_RAP_DE'!$C:$C,A1306))</f>
        <v/>
      </c>
      <c r="AA1306">
        <f>IF(A1306="","","JFT|"&amp;C1306&amp;"|"&amp;D1306&amp;"|"&amp;E1306&amp;"L"&amp;F1306)</f>
        <v/>
      </c>
    </row>
    <row r="1307">
      <c r="Z1307">
        <f>IF(A1307="","",COUNTIF('40_RAP_DE'!$C:$C,A1307))</f>
        <v/>
      </c>
      <c r="AA1307">
        <f>IF(A1307="","","JFT|"&amp;C1307&amp;"|"&amp;D1307&amp;"|"&amp;E1307&amp;"L"&amp;F1307)</f>
        <v/>
      </c>
    </row>
    <row r="1308">
      <c r="Z1308">
        <f>IF(A1308="","",COUNTIF('40_RAP_DE'!$C:$C,A1308))</f>
        <v/>
      </c>
      <c r="AA1308">
        <f>IF(A1308="","","JFT|"&amp;C1308&amp;"|"&amp;D1308&amp;"|"&amp;E1308&amp;"L"&amp;F1308)</f>
        <v/>
      </c>
    </row>
    <row r="1309">
      <c r="Z1309">
        <f>IF(A1309="","",COUNTIF('40_RAP_DE'!$C:$C,A1309))</f>
        <v/>
      </c>
      <c r="AA1309">
        <f>IF(A1309="","","JFT|"&amp;C1309&amp;"|"&amp;D1309&amp;"|"&amp;E1309&amp;"L"&amp;F1309)</f>
        <v/>
      </c>
    </row>
    <row r="1310">
      <c r="Z1310">
        <f>IF(A1310="","",COUNTIF('40_RAP_DE'!$C:$C,A1310))</f>
        <v/>
      </c>
      <c r="AA1310">
        <f>IF(A1310="","","JFT|"&amp;C1310&amp;"|"&amp;D1310&amp;"|"&amp;E1310&amp;"L"&amp;F1310)</f>
        <v/>
      </c>
    </row>
    <row r="1311">
      <c r="Z1311">
        <f>IF(A1311="","",COUNTIF('40_RAP_DE'!$C:$C,A1311))</f>
        <v/>
      </c>
      <c r="AA1311">
        <f>IF(A1311="","","JFT|"&amp;C1311&amp;"|"&amp;D1311&amp;"|"&amp;E1311&amp;"L"&amp;F1311)</f>
        <v/>
      </c>
    </row>
    <row r="1312">
      <c r="Z1312">
        <f>IF(A1312="","",COUNTIF('40_RAP_DE'!$C:$C,A1312))</f>
        <v/>
      </c>
      <c r="AA1312">
        <f>IF(A1312="","","JFT|"&amp;C1312&amp;"|"&amp;D1312&amp;"|"&amp;E1312&amp;"L"&amp;F1312)</f>
        <v/>
      </c>
    </row>
    <row r="1313">
      <c r="Z1313">
        <f>IF(A1313="","",COUNTIF('40_RAP_DE'!$C:$C,A1313))</f>
        <v/>
      </c>
      <c r="AA1313">
        <f>IF(A1313="","","JFT|"&amp;C1313&amp;"|"&amp;D1313&amp;"|"&amp;E1313&amp;"L"&amp;F1313)</f>
        <v/>
      </c>
    </row>
    <row r="1314">
      <c r="Z1314">
        <f>IF(A1314="","",COUNTIF('40_RAP_DE'!$C:$C,A1314))</f>
        <v/>
      </c>
      <c r="AA1314">
        <f>IF(A1314="","","JFT|"&amp;C1314&amp;"|"&amp;D1314&amp;"|"&amp;E1314&amp;"L"&amp;F1314)</f>
        <v/>
      </c>
    </row>
    <row r="1315">
      <c r="Z1315">
        <f>IF(A1315="","",COUNTIF('40_RAP_DE'!$C:$C,A1315))</f>
        <v/>
      </c>
      <c r="AA1315">
        <f>IF(A1315="","","JFT|"&amp;C1315&amp;"|"&amp;D1315&amp;"|"&amp;E1315&amp;"L"&amp;F1315)</f>
        <v/>
      </c>
    </row>
    <row r="1316">
      <c r="Z1316">
        <f>IF(A1316="","",COUNTIF('40_RAP_DE'!$C:$C,A1316))</f>
        <v/>
      </c>
      <c r="AA1316">
        <f>IF(A1316="","","JFT|"&amp;C1316&amp;"|"&amp;D1316&amp;"|"&amp;E1316&amp;"L"&amp;F1316)</f>
        <v/>
      </c>
    </row>
    <row r="1317">
      <c r="Z1317">
        <f>IF(A1317="","",COUNTIF('40_RAP_DE'!$C:$C,A1317))</f>
        <v/>
      </c>
      <c r="AA1317">
        <f>IF(A1317="","","JFT|"&amp;C1317&amp;"|"&amp;D1317&amp;"|"&amp;E1317&amp;"L"&amp;F1317)</f>
        <v/>
      </c>
    </row>
    <row r="1318">
      <c r="Z1318">
        <f>IF(A1318="","",COUNTIF('40_RAP_DE'!$C:$C,A1318))</f>
        <v/>
      </c>
      <c r="AA1318">
        <f>IF(A1318="","","JFT|"&amp;C1318&amp;"|"&amp;D1318&amp;"|"&amp;E1318&amp;"L"&amp;F1318)</f>
        <v/>
      </c>
    </row>
    <row r="1319">
      <c r="Z1319">
        <f>IF(A1319="","",COUNTIF('40_RAP_DE'!$C:$C,A1319))</f>
        <v/>
      </c>
      <c r="AA1319">
        <f>IF(A1319="","","JFT|"&amp;C1319&amp;"|"&amp;D1319&amp;"|"&amp;E1319&amp;"L"&amp;F1319)</f>
        <v/>
      </c>
    </row>
    <row r="1320">
      <c r="Z1320">
        <f>IF(A1320="","",COUNTIF('40_RAP_DE'!$C:$C,A1320))</f>
        <v/>
      </c>
      <c r="AA1320">
        <f>IF(A1320="","","JFT|"&amp;C1320&amp;"|"&amp;D1320&amp;"|"&amp;E1320&amp;"L"&amp;F1320)</f>
        <v/>
      </c>
    </row>
    <row r="1321">
      <c r="Z1321">
        <f>IF(A1321="","",COUNTIF('40_RAP_DE'!$C:$C,A1321))</f>
        <v/>
      </c>
      <c r="AA1321">
        <f>IF(A1321="","","JFT|"&amp;C1321&amp;"|"&amp;D1321&amp;"|"&amp;E1321&amp;"L"&amp;F1321)</f>
        <v/>
      </c>
    </row>
    <row r="1322">
      <c r="Z1322">
        <f>IF(A1322="","",COUNTIF('40_RAP_DE'!$C:$C,A1322))</f>
        <v/>
      </c>
      <c r="AA1322">
        <f>IF(A1322="","","JFT|"&amp;C1322&amp;"|"&amp;D1322&amp;"|"&amp;E1322&amp;"L"&amp;F1322)</f>
        <v/>
      </c>
    </row>
    <row r="1323">
      <c r="Z1323">
        <f>IF(A1323="","",COUNTIF('40_RAP_DE'!$C:$C,A1323))</f>
        <v/>
      </c>
      <c r="AA1323">
        <f>IF(A1323="","","JFT|"&amp;C1323&amp;"|"&amp;D1323&amp;"|"&amp;E1323&amp;"L"&amp;F1323)</f>
        <v/>
      </c>
    </row>
    <row r="1324">
      <c r="Z1324">
        <f>IF(A1324="","",COUNTIF('40_RAP_DE'!$C:$C,A1324))</f>
        <v/>
      </c>
      <c r="AA1324">
        <f>IF(A1324="","","JFT|"&amp;C1324&amp;"|"&amp;D1324&amp;"|"&amp;E1324&amp;"L"&amp;F1324)</f>
        <v/>
      </c>
    </row>
    <row r="1325">
      <c r="Z1325">
        <f>IF(A1325="","",COUNTIF('40_RAP_DE'!$C:$C,A1325))</f>
        <v/>
      </c>
      <c r="AA1325">
        <f>IF(A1325="","","JFT|"&amp;C1325&amp;"|"&amp;D1325&amp;"|"&amp;E1325&amp;"L"&amp;F1325)</f>
        <v/>
      </c>
    </row>
    <row r="1326">
      <c r="Z1326">
        <f>IF(A1326="","",COUNTIF('40_RAP_DE'!$C:$C,A1326))</f>
        <v/>
      </c>
      <c r="AA1326">
        <f>IF(A1326="","","JFT|"&amp;C1326&amp;"|"&amp;D1326&amp;"|"&amp;E1326&amp;"L"&amp;F1326)</f>
        <v/>
      </c>
    </row>
    <row r="1327">
      <c r="Z1327">
        <f>IF(A1327="","",COUNTIF('40_RAP_DE'!$C:$C,A1327))</f>
        <v/>
      </c>
      <c r="AA1327">
        <f>IF(A1327="","","JFT|"&amp;C1327&amp;"|"&amp;D1327&amp;"|"&amp;E1327&amp;"L"&amp;F1327)</f>
        <v/>
      </c>
    </row>
    <row r="1328">
      <c r="Z1328">
        <f>IF(A1328="","",COUNTIF('40_RAP_DE'!$C:$C,A1328))</f>
        <v/>
      </c>
      <c r="AA1328">
        <f>IF(A1328="","","JFT|"&amp;C1328&amp;"|"&amp;D1328&amp;"|"&amp;E1328&amp;"L"&amp;F1328)</f>
        <v/>
      </c>
    </row>
    <row r="1329">
      <c r="Z1329">
        <f>IF(A1329="","",COUNTIF('40_RAP_DE'!$C:$C,A1329))</f>
        <v/>
      </c>
      <c r="AA1329">
        <f>IF(A1329="","","JFT|"&amp;C1329&amp;"|"&amp;D1329&amp;"|"&amp;E1329&amp;"L"&amp;F1329)</f>
        <v/>
      </c>
    </row>
    <row r="1330">
      <c r="Z1330">
        <f>IF(A1330="","",COUNTIF('40_RAP_DE'!$C:$C,A1330))</f>
        <v/>
      </c>
      <c r="AA1330">
        <f>IF(A1330="","","JFT|"&amp;C1330&amp;"|"&amp;D1330&amp;"|"&amp;E1330&amp;"L"&amp;F1330)</f>
        <v/>
      </c>
    </row>
    <row r="1331">
      <c r="Z1331">
        <f>IF(A1331="","",COUNTIF('40_RAP_DE'!$C:$C,A1331))</f>
        <v/>
      </c>
      <c r="AA1331">
        <f>IF(A1331="","","JFT|"&amp;C1331&amp;"|"&amp;D1331&amp;"|"&amp;E1331&amp;"L"&amp;F1331)</f>
        <v/>
      </c>
    </row>
    <row r="1332">
      <c r="Z1332">
        <f>IF(A1332="","",COUNTIF('40_RAP_DE'!$C:$C,A1332))</f>
        <v/>
      </c>
      <c r="AA1332">
        <f>IF(A1332="","","JFT|"&amp;C1332&amp;"|"&amp;D1332&amp;"|"&amp;E1332&amp;"L"&amp;F1332)</f>
        <v/>
      </c>
    </row>
    <row r="1333">
      <c r="Z1333">
        <f>IF(A1333="","",COUNTIF('40_RAP_DE'!$C:$C,A1333))</f>
        <v/>
      </c>
      <c r="AA1333">
        <f>IF(A1333="","","JFT|"&amp;C1333&amp;"|"&amp;D1333&amp;"|"&amp;E1333&amp;"L"&amp;F1333)</f>
        <v/>
      </c>
    </row>
    <row r="1334">
      <c r="Z1334">
        <f>IF(A1334="","",COUNTIF('40_RAP_DE'!$C:$C,A1334))</f>
        <v/>
      </c>
      <c r="AA1334">
        <f>IF(A1334="","","JFT|"&amp;C1334&amp;"|"&amp;D1334&amp;"|"&amp;E1334&amp;"L"&amp;F1334)</f>
        <v/>
      </c>
    </row>
    <row r="1335">
      <c r="Z1335">
        <f>IF(A1335="","",COUNTIF('40_RAP_DE'!$C:$C,A1335))</f>
        <v/>
      </c>
      <c r="AA1335">
        <f>IF(A1335="","","JFT|"&amp;C1335&amp;"|"&amp;D1335&amp;"|"&amp;E1335&amp;"L"&amp;F1335)</f>
        <v/>
      </c>
    </row>
    <row r="1336">
      <c r="Z1336">
        <f>IF(A1336="","",COUNTIF('40_RAP_DE'!$C:$C,A1336))</f>
        <v/>
      </c>
      <c r="AA1336">
        <f>IF(A1336="","","JFT|"&amp;C1336&amp;"|"&amp;D1336&amp;"|"&amp;E1336&amp;"L"&amp;F1336)</f>
        <v/>
      </c>
    </row>
    <row r="1337">
      <c r="Z1337">
        <f>IF(A1337="","",COUNTIF('40_RAP_DE'!$C:$C,A1337))</f>
        <v/>
      </c>
      <c r="AA1337">
        <f>IF(A1337="","","JFT|"&amp;C1337&amp;"|"&amp;D1337&amp;"|"&amp;E1337&amp;"L"&amp;F1337)</f>
        <v/>
      </c>
    </row>
    <row r="1338">
      <c r="Z1338">
        <f>IF(A1338="","",COUNTIF('40_RAP_DE'!$C:$C,A1338))</f>
        <v/>
      </c>
      <c r="AA1338">
        <f>IF(A1338="","","JFT|"&amp;C1338&amp;"|"&amp;D1338&amp;"|"&amp;E1338&amp;"L"&amp;F1338)</f>
        <v/>
      </c>
    </row>
    <row r="1339">
      <c r="Z1339">
        <f>IF(A1339="","",COUNTIF('40_RAP_DE'!$C:$C,A1339))</f>
        <v/>
      </c>
      <c r="AA1339">
        <f>IF(A1339="","","JFT|"&amp;C1339&amp;"|"&amp;D1339&amp;"|"&amp;E1339&amp;"L"&amp;F1339)</f>
        <v/>
      </c>
    </row>
    <row r="1340">
      <c r="Z1340">
        <f>IF(A1340="","",COUNTIF('40_RAP_DE'!$C:$C,A1340))</f>
        <v/>
      </c>
      <c r="AA1340">
        <f>IF(A1340="","","JFT|"&amp;C1340&amp;"|"&amp;D1340&amp;"|"&amp;E1340&amp;"L"&amp;F1340)</f>
        <v/>
      </c>
    </row>
    <row r="1341">
      <c r="Z1341">
        <f>IF(A1341="","",COUNTIF('40_RAP_DE'!$C:$C,A1341))</f>
        <v/>
      </c>
      <c r="AA1341">
        <f>IF(A1341="","","JFT|"&amp;C1341&amp;"|"&amp;D1341&amp;"|"&amp;E1341&amp;"L"&amp;F1341)</f>
        <v/>
      </c>
    </row>
    <row r="1342">
      <c r="Z1342">
        <f>IF(A1342="","",COUNTIF('40_RAP_DE'!$C:$C,A1342))</f>
        <v/>
      </c>
      <c r="AA1342">
        <f>IF(A1342="","","JFT|"&amp;C1342&amp;"|"&amp;D1342&amp;"|"&amp;E1342&amp;"L"&amp;F1342)</f>
        <v/>
      </c>
    </row>
    <row r="1343">
      <c r="Z1343">
        <f>IF(A1343="","",COUNTIF('40_RAP_DE'!$C:$C,A1343))</f>
        <v/>
      </c>
      <c r="AA1343">
        <f>IF(A1343="","","JFT|"&amp;C1343&amp;"|"&amp;D1343&amp;"|"&amp;E1343&amp;"L"&amp;F1343)</f>
        <v/>
      </c>
    </row>
    <row r="1344">
      <c r="Z1344">
        <f>IF(A1344="","",COUNTIF('40_RAP_DE'!$C:$C,A1344))</f>
        <v/>
      </c>
      <c r="AA1344">
        <f>IF(A1344="","","JFT|"&amp;C1344&amp;"|"&amp;D1344&amp;"|"&amp;E1344&amp;"L"&amp;F1344)</f>
        <v/>
      </c>
    </row>
    <row r="1345">
      <c r="Z1345">
        <f>IF(A1345="","",COUNTIF('40_RAP_DE'!$C:$C,A1345))</f>
        <v/>
      </c>
      <c r="AA1345">
        <f>IF(A1345="","","JFT|"&amp;C1345&amp;"|"&amp;D1345&amp;"|"&amp;E1345&amp;"L"&amp;F1345)</f>
        <v/>
      </c>
    </row>
    <row r="1346">
      <c r="Z1346">
        <f>IF(A1346="","",COUNTIF('40_RAP_DE'!$C:$C,A1346))</f>
        <v/>
      </c>
      <c r="AA1346">
        <f>IF(A1346="","","JFT|"&amp;C1346&amp;"|"&amp;D1346&amp;"|"&amp;E1346&amp;"L"&amp;F1346)</f>
        <v/>
      </c>
    </row>
    <row r="1347">
      <c r="Z1347">
        <f>IF(A1347="","",COUNTIF('40_RAP_DE'!$C:$C,A1347))</f>
        <v/>
      </c>
      <c r="AA1347">
        <f>IF(A1347="","","JFT|"&amp;C1347&amp;"|"&amp;D1347&amp;"|"&amp;E1347&amp;"L"&amp;F1347)</f>
        <v/>
      </c>
    </row>
    <row r="1348">
      <c r="Z1348">
        <f>IF(A1348="","",COUNTIF('40_RAP_DE'!$C:$C,A1348))</f>
        <v/>
      </c>
      <c r="AA1348">
        <f>IF(A1348="","","JFT|"&amp;C1348&amp;"|"&amp;D1348&amp;"|"&amp;E1348&amp;"L"&amp;F1348)</f>
        <v/>
      </c>
    </row>
    <row r="1349">
      <c r="Z1349">
        <f>IF(A1349="","",COUNTIF('40_RAP_DE'!$C:$C,A1349))</f>
        <v/>
      </c>
      <c r="AA1349">
        <f>IF(A1349="","","JFT|"&amp;C1349&amp;"|"&amp;D1349&amp;"|"&amp;E1349&amp;"L"&amp;F1349)</f>
        <v/>
      </c>
    </row>
    <row r="1350">
      <c r="Z1350">
        <f>IF(A1350="","",COUNTIF('40_RAP_DE'!$C:$C,A1350))</f>
        <v/>
      </c>
      <c r="AA1350">
        <f>IF(A1350="","","JFT|"&amp;C1350&amp;"|"&amp;D1350&amp;"|"&amp;E1350&amp;"L"&amp;F1350)</f>
        <v/>
      </c>
    </row>
    <row r="1351">
      <c r="Z1351">
        <f>IF(A1351="","",COUNTIF('40_RAP_DE'!$C:$C,A1351))</f>
        <v/>
      </c>
      <c r="AA1351">
        <f>IF(A1351="","","JFT|"&amp;C1351&amp;"|"&amp;D1351&amp;"|"&amp;E1351&amp;"L"&amp;F1351)</f>
        <v/>
      </c>
    </row>
    <row r="1352">
      <c r="Z1352">
        <f>IF(A1352="","",COUNTIF('40_RAP_DE'!$C:$C,A1352))</f>
        <v/>
      </c>
      <c r="AA1352">
        <f>IF(A1352="","","JFT|"&amp;C1352&amp;"|"&amp;D1352&amp;"|"&amp;E1352&amp;"L"&amp;F1352)</f>
        <v/>
      </c>
    </row>
    <row r="1353">
      <c r="Z1353">
        <f>IF(A1353="","",COUNTIF('40_RAP_DE'!$C:$C,A1353))</f>
        <v/>
      </c>
      <c r="AA1353">
        <f>IF(A1353="","","JFT|"&amp;C1353&amp;"|"&amp;D1353&amp;"|"&amp;E1353&amp;"L"&amp;F1353)</f>
        <v/>
      </c>
    </row>
    <row r="1354">
      <c r="Z1354">
        <f>IF(A1354="","",COUNTIF('40_RAP_DE'!$C:$C,A1354))</f>
        <v/>
      </c>
      <c r="AA1354">
        <f>IF(A1354="","","JFT|"&amp;C1354&amp;"|"&amp;D1354&amp;"|"&amp;E1354&amp;"L"&amp;F1354)</f>
        <v/>
      </c>
    </row>
    <row r="1355">
      <c r="Z1355">
        <f>IF(A1355="","",COUNTIF('40_RAP_DE'!$C:$C,A1355))</f>
        <v/>
      </c>
      <c r="AA1355">
        <f>IF(A1355="","","JFT|"&amp;C1355&amp;"|"&amp;D1355&amp;"|"&amp;E1355&amp;"L"&amp;F1355)</f>
        <v/>
      </c>
    </row>
    <row r="1356">
      <c r="Z1356">
        <f>IF(A1356="","",COUNTIF('40_RAP_DE'!$C:$C,A1356))</f>
        <v/>
      </c>
      <c r="AA1356">
        <f>IF(A1356="","","JFT|"&amp;C1356&amp;"|"&amp;D1356&amp;"|"&amp;E1356&amp;"L"&amp;F1356)</f>
        <v/>
      </c>
    </row>
    <row r="1357">
      <c r="Z1357">
        <f>IF(A1357="","",COUNTIF('40_RAP_DE'!$C:$C,A1357))</f>
        <v/>
      </c>
      <c r="AA1357">
        <f>IF(A1357="","","JFT|"&amp;C1357&amp;"|"&amp;D1357&amp;"|"&amp;E1357&amp;"L"&amp;F1357)</f>
        <v/>
      </c>
    </row>
    <row r="1358">
      <c r="Z1358">
        <f>IF(A1358="","",COUNTIF('40_RAP_DE'!$C:$C,A1358))</f>
        <v/>
      </c>
      <c r="AA1358">
        <f>IF(A1358="","","JFT|"&amp;C1358&amp;"|"&amp;D1358&amp;"|"&amp;E1358&amp;"L"&amp;F1358)</f>
        <v/>
      </c>
    </row>
    <row r="1359">
      <c r="Z1359">
        <f>IF(A1359="","",COUNTIF('40_RAP_DE'!$C:$C,A1359))</f>
        <v/>
      </c>
      <c r="AA1359">
        <f>IF(A1359="","","JFT|"&amp;C1359&amp;"|"&amp;D1359&amp;"|"&amp;E1359&amp;"L"&amp;F1359)</f>
        <v/>
      </c>
    </row>
    <row r="1360">
      <c r="Z1360">
        <f>IF(A1360="","",COUNTIF('40_RAP_DE'!$C:$C,A1360))</f>
        <v/>
      </c>
      <c r="AA1360">
        <f>IF(A1360="","","JFT|"&amp;C1360&amp;"|"&amp;D1360&amp;"|"&amp;E1360&amp;"L"&amp;F1360)</f>
        <v/>
      </c>
    </row>
    <row r="1361">
      <c r="Z1361">
        <f>IF(A1361="","",COUNTIF('40_RAP_DE'!$C:$C,A1361))</f>
        <v/>
      </c>
      <c r="AA1361">
        <f>IF(A1361="","","JFT|"&amp;C1361&amp;"|"&amp;D1361&amp;"|"&amp;E1361&amp;"L"&amp;F1361)</f>
        <v/>
      </c>
    </row>
    <row r="1362">
      <c r="Z1362">
        <f>IF(A1362="","",COUNTIF('40_RAP_DE'!$C:$C,A1362))</f>
        <v/>
      </c>
      <c r="AA1362">
        <f>IF(A1362="","","JFT|"&amp;C1362&amp;"|"&amp;D1362&amp;"|"&amp;E1362&amp;"L"&amp;F1362)</f>
        <v/>
      </c>
    </row>
    <row r="1363">
      <c r="Z1363">
        <f>IF(A1363="","",COUNTIF('40_RAP_DE'!$C:$C,A1363))</f>
        <v/>
      </c>
      <c r="AA1363">
        <f>IF(A1363="","","JFT|"&amp;C1363&amp;"|"&amp;D1363&amp;"|"&amp;E1363&amp;"L"&amp;F1363)</f>
        <v/>
      </c>
    </row>
    <row r="1364">
      <c r="Z1364">
        <f>IF(A1364="","",COUNTIF('40_RAP_DE'!$C:$C,A1364))</f>
        <v/>
      </c>
      <c r="AA1364">
        <f>IF(A1364="","","JFT|"&amp;C1364&amp;"|"&amp;D1364&amp;"|"&amp;E1364&amp;"L"&amp;F1364)</f>
        <v/>
      </c>
    </row>
    <row r="1365">
      <c r="Z1365">
        <f>IF(A1365="","",COUNTIF('40_RAP_DE'!$C:$C,A1365))</f>
        <v/>
      </c>
      <c r="AA1365">
        <f>IF(A1365="","","JFT|"&amp;C1365&amp;"|"&amp;D1365&amp;"|"&amp;E1365&amp;"L"&amp;F1365)</f>
        <v/>
      </c>
    </row>
    <row r="1366">
      <c r="Z1366">
        <f>IF(A1366="","",COUNTIF('40_RAP_DE'!$C:$C,A1366))</f>
        <v/>
      </c>
      <c r="AA1366">
        <f>IF(A1366="","","JFT|"&amp;C1366&amp;"|"&amp;D1366&amp;"|"&amp;E1366&amp;"L"&amp;F1366)</f>
        <v/>
      </c>
    </row>
    <row r="1367">
      <c r="Z1367">
        <f>IF(A1367="","",COUNTIF('40_RAP_DE'!$C:$C,A1367))</f>
        <v/>
      </c>
      <c r="AA1367">
        <f>IF(A1367="","","JFT|"&amp;C1367&amp;"|"&amp;D1367&amp;"|"&amp;E1367&amp;"L"&amp;F1367)</f>
        <v/>
      </c>
    </row>
    <row r="1368">
      <c r="Z1368">
        <f>IF(A1368="","",COUNTIF('40_RAP_DE'!$C:$C,A1368))</f>
        <v/>
      </c>
      <c r="AA1368">
        <f>IF(A1368="","","JFT|"&amp;C1368&amp;"|"&amp;D1368&amp;"|"&amp;E1368&amp;"L"&amp;F1368)</f>
        <v/>
      </c>
    </row>
    <row r="1369">
      <c r="Z1369">
        <f>IF(A1369="","",COUNTIF('40_RAP_DE'!$C:$C,A1369))</f>
        <v/>
      </c>
      <c r="AA1369">
        <f>IF(A1369="","","JFT|"&amp;C1369&amp;"|"&amp;D1369&amp;"|"&amp;E1369&amp;"L"&amp;F1369)</f>
        <v/>
      </c>
    </row>
    <row r="1370">
      <c r="Z1370">
        <f>IF(A1370="","",COUNTIF('40_RAP_DE'!$C:$C,A1370))</f>
        <v/>
      </c>
      <c r="AA1370">
        <f>IF(A1370="","","JFT|"&amp;C1370&amp;"|"&amp;D1370&amp;"|"&amp;E1370&amp;"L"&amp;F1370)</f>
        <v/>
      </c>
    </row>
    <row r="1371">
      <c r="Z1371">
        <f>IF(A1371="","",COUNTIF('40_RAP_DE'!$C:$C,A1371))</f>
        <v/>
      </c>
      <c r="AA1371">
        <f>IF(A1371="","","JFT|"&amp;C1371&amp;"|"&amp;D1371&amp;"|"&amp;E1371&amp;"L"&amp;F1371)</f>
        <v/>
      </c>
    </row>
    <row r="1372">
      <c r="Z1372">
        <f>IF(A1372="","",COUNTIF('40_RAP_DE'!$C:$C,A1372))</f>
        <v/>
      </c>
      <c r="AA1372">
        <f>IF(A1372="","","JFT|"&amp;C1372&amp;"|"&amp;D1372&amp;"|"&amp;E1372&amp;"L"&amp;F1372)</f>
        <v/>
      </c>
    </row>
    <row r="1373">
      <c r="Z1373">
        <f>IF(A1373="","",COUNTIF('40_RAP_DE'!$C:$C,A1373))</f>
        <v/>
      </c>
      <c r="AA1373">
        <f>IF(A1373="","","JFT|"&amp;C1373&amp;"|"&amp;D1373&amp;"|"&amp;E1373&amp;"L"&amp;F1373)</f>
        <v/>
      </c>
    </row>
    <row r="1374">
      <c r="Z1374">
        <f>IF(A1374="","",COUNTIF('40_RAP_DE'!$C:$C,A1374))</f>
        <v/>
      </c>
      <c r="AA1374">
        <f>IF(A1374="","","JFT|"&amp;C1374&amp;"|"&amp;D1374&amp;"|"&amp;E1374&amp;"L"&amp;F1374)</f>
        <v/>
      </c>
    </row>
    <row r="1375">
      <c r="Z1375">
        <f>IF(A1375="","",COUNTIF('40_RAP_DE'!$C:$C,A1375))</f>
        <v/>
      </c>
      <c r="AA1375">
        <f>IF(A1375="","","JFT|"&amp;C1375&amp;"|"&amp;D1375&amp;"|"&amp;E1375&amp;"L"&amp;F1375)</f>
        <v/>
      </c>
    </row>
    <row r="1376">
      <c r="Z1376">
        <f>IF(A1376="","",COUNTIF('40_RAP_DE'!$C:$C,A1376))</f>
        <v/>
      </c>
      <c r="AA1376">
        <f>IF(A1376="","","JFT|"&amp;C1376&amp;"|"&amp;D1376&amp;"|"&amp;E1376&amp;"L"&amp;F1376)</f>
        <v/>
      </c>
    </row>
    <row r="1377">
      <c r="Z1377">
        <f>IF(A1377="","",COUNTIF('40_RAP_DE'!$C:$C,A1377))</f>
        <v/>
      </c>
      <c r="AA1377">
        <f>IF(A1377="","","JFT|"&amp;C1377&amp;"|"&amp;D1377&amp;"|"&amp;E1377&amp;"L"&amp;F1377)</f>
        <v/>
      </c>
    </row>
    <row r="1378">
      <c r="Z1378">
        <f>IF(A1378="","",COUNTIF('40_RAP_DE'!$C:$C,A1378))</f>
        <v/>
      </c>
      <c r="AA1378">
        <f>IF(A1378="","","JFT|"&amp;C1378&amp;"|"&amp;D1378&amp;"|"&amp;E1378&amp;"L"&amp;F1378)</f>
        <v/>
      </c>
    </row>
    <row r="1379">
      <c r="Z1379">
        <f>IF(A1379="","",COUNTIF('40_RAP_DE'!$C:$C,A1379))</f>
        <v/>
      </c>
      <c r="AA1379">
        <f>IF(A1379="","","JFT|"&amp;C1379&amp;"|"&amp;D1379&amp;"|"&amp;E1379&amp;"L"&amp;F1379)</f>
        <v/>
      </c>
    </row>
    <row r="1380">
      <c r="Z1380">
        <f>IF(A1380="","",COUNTIF('40_RAP_DE'!$C:$C,A1380))</f>
        <v/>
      </c>
      <c r="AA1380">
        <f>IF(A1380="","","JFT|"&amp;C1380&amp;"|"&amp;D1380&amp;"|"&amp;E1380&amp;"L"&amp;F1380)</f>
        <v/>
      </c>
    </row>
    <row r="1381">
      <c r="Z1381">
        <f>IF(A1381="","",COUNTIF('40_RAP_DE'!$C:$C,A1381))</f>
        <v/>
      </c>
      <c r="AA1381">
        <f>IF(A1381="","","JFT|"&amp;C1381&amp;"|"&amp;D1381&amp;"|"&amp;E1381&amp;"L"&amp;F1381)</f>
        <v/>
      </c>
    </row>
    <row r="1382">
      <c r="Z1382">
        <f>IF(A1382="","",COUNTIF('40_RAP_DE'!$C:$C,A1382))</f>
        <v/>
      </c>
      <c r="AA1382">
        <f>IF(A1382="","","JFT|"&amp;C1382&amp;"|"&amp;D1382&amp;"|"&amp;E1382&amp;"L"&amp;F1382)</f>
        <v/>
      </c>
    </row>
    <row r="1383">
      <c r="Z1383">
        <f>IF(A1383="","",COUNTIF('40_RAP_DE'!$C:$C,A1383))</f>
        <v/>
      </c>
      <c r="AA1383">
        <f>IF(A1383="","","JFT|"&amp;C1383&amp;"|"&amp;D1383&amp;"|"&amp;E1383&amp;"L"&amp;F1383)</f>
        <v/>
      </c>
    </row>
    <row r="1384">
      <c r="Z1384">
        <f>IF(A1384="","",COUNTIF('40_RAP_DE'!$C:$C,A1384))</f>
        <v/>
      </c>
      <c r="AA1384">
        <f>IF(A1384="","","JFT|"&amp;C1384&amp;"|"&amp;D1384&amp;"|"&amp;E1384&amp;"L"&amp;F1384)</f>
        <v/>
      </c>
    </row>
    <row r="1385">
      <c r="Z1385">
        <f>IF(A1385="","",COUNTIF('40_RAP_DE'!$C:$C,A1385))</f>
        <v/>
      </c>
      <c r="AA1385">
        <f>IF(A1385="","","JFT|"&amp;C1385&amp;"|"&amp;D1385&amp;"|"&amp;E1385&amp;"L"&amp;F1385)</f>
        <v/>
      </c>
    </row>
    <row r="1386">
      <c r="Z1386">
        <f>IF(A1386="","",COUNTIF('40_RAP_DE'!$C:$C,A1386))</f>
        <v/>
      </c>
      <c r="AA1386">
        <f>IF(A1386="","","JFT|"&amp;C1386&amp;"|"&amp;D1386&amp;"|"&amp;E1386&amp;"L"&amp;F1386)</f>
        <v/>
      </c>
    </row>
    <row r="1387">
      <c r="Z1387">
        <f>IF(A1387="","",COUNTIF('40_RAP_DE'!$C:$C,A1387))</f>
        <v/>
      </c>
      <c r="AA1387">
        <f>IF(A1387="","","JFT|"&amp;C1387&amp;"|"&amp;D1387&amp;"|"&amp;E1387&amp;"L"&amp;F1387)</f>
        <v/>
      </c>
    </row>
    <row r="1388">
      <c r="Z1388">
        <f>IF(A1388="","",COUNTIF('40_RAP_DE'!$C:$C,A1388))</f>
        <v/>
      </c>
      <c r="AA1388">
        <f>IF(A1388="","","JFT|"&amp;C1388&amp;"|"&amp;D1388&amp;"|"&amp;E1388&amp;"L"&amp;F1388)</f>
        <v/>
      </c>
    </row>
    <row r="1389">
      <c r="Z1389">
        <f>IF(A1389="","",COUNTIF('40_RAP_DE'!$C:$C,A1389))</f>
        <v/>
      </c>
      <c r="AA1389">
        <f>IF(A1389="","","JFT|"&amp;C1389&amp;"|"&amp;D1389&amp;"|"&amp;E1389&amp;"L"&amp;F1389)</f>
        <v/>
      </c>
    </row>
    <row r="1390">
      <c r="Z1390">
        <f>IF(A1390="","",COUNTIF('40_RAP_DE'!$C:$C,A1390))</f>
        <v/>
      </c>
      <c r="AA1390">
        <f>IF(A1390="","","JFT|"&amp;C1390&amp;"|"&amp;D1390&amp;"|"&amp;E1390&amp;"L"&amp;F1390)</f>
        <v/>
      </c>
    </row>
    <row r="1391">
      <c r="Z1391">
        <f>IF(A1391="","",COUNTIF('40_RAP_DE'!$C:$C,A1391))</f>
        <v/>
      </c>
      <c r="AA1391">
        <f>IF(A1391="","","JFT|"&amp;C1391&amp;"|"&amp;D1391&amp;"|"&amp;E1391&amp;"L"&amp;F1391)</f>
        <v/>
      </c>
    </row>
    <row r="1392">
      <c r="Z1392">
        <f>IF(A1392="","",COUNTIF('40_RAP_DE'!$C:$C,A1392))</f>
        <v/>
      </c>
      <c r="AA1392">
        <f>IF(A1392="","","JFT|"&amp;C1392&amp;"|"&amp;D1392&amp;"|"&amp;E1392&amp;"L"&amp;F1392)</f>
        <v/>
      </c>
    </row>
    <row r="1393">
      <c r="Z1393">
        <f>IF(A1393="","",COUNTIF('40_RAP_DE'!$C:$C,A1393))</f>
        <v/>
      </c>
      <c r="AA1393">
        <f>IF(A1393="","","JFT|"&amp;C1393&amp;"|"&amp;D1393&amp;"|"&amp;E1393&amp;"L"&amp;F1393)</f>
        <v/>
      </c>
    </row>
    <row r="1394">
      <c r="Z1394">
        <f>IF(A1394="","",COUNTIF('40_RAP_DE'!$C:$C,A1394))</f>
        <v/>
      </c>
      <c r="AA1394">
        <f>IF(A1394="","","JFT|"&amp;C1394&amp;"|"&amp;D1394&amp;"|"&amp;E1394&amp;"L"&amp;F1394)</f>
        <v/>
      </c>
    </row>
    <row r="1395">
      <c r="Z1395">
        <f>IF(A1395="","",COUNTIF('40_RAP_DE'!$C:$C,A1395))</f>
        <v/>
      </c>
      <c r="AA1395">
        <f>IF(A1395="","","JFT|"&amp;C1395&amp;"|"&amp;D1395&amp;"|"&amp;E1395&amp;"L"&amp;F1395)</f>
        <v/>
      </c>
    </row>
    <row r="1396">
      <c r="Z1396">
        <f>IF(A1396="","",COUNTIF('40_RAP_DE'!$C:$C,A1396))</f>
        <v/>
      </c>
      <c r="AA1396">
        <f>IF(A1396="","","JFT|"&amp;C1396&amp;"|"&amp;D1396&amp;"|"&amp;E1396&amp;"L"&amp;F1396)</f>
        <v/>
      </c>
    </row>
    <row r="1397">
      <c r="Z1397">
        <f>IF(A1397="","",COUNTIF('40_RAP_DE'!$C:$C,A1397))</f>
        <v/>
      </c>
      <c r="AA1397">
        <f>IF(A1397="","","JFT|"&amp;C1397&amp;"|"&amp;D1397&amp;"|"&amp;E1397&amp;"L"&amp;F1397)</f>
        <v/>
      </c>
    </row>
    <row r="1398">
      <c r="Z1398">
        <f>IF(A1398="","",COUNTIF('40_RAP_DE'!$C:$C,A1398))</f>
        <v/>
      </c>
      <c r="AA1398">
        <f>IF(A1398="","","JFT|"&amp;C1398&amp;"|"&amp;D1398&amp;"|"&amp;E1398&amp;"L"&amp;F1398)</f>
        <v/>
      </c>
    </row>
    <row r="1399">
      <c r="Z1399">
        <f>IF(A1399="","",COUNTIF('40_RAP_DE'!$C:$C,A1399))</f>
        <v/>
      </c>
      <c r="AA1399">
        <f>IF(A1399="","","JFT|"&amp;C1399&amp;"|"&amp;D1399&amp;"|"&amp;E1399&amp;"L"&amp;F1399)</f>
        <v/>
      </c>
    </row>
    <row r="1400">
      <c r="Z1400">
        <f>IF(A1400="","",COUNTIF('40_RAP_DE'!$C:$C,A1400))</f>
        <v/>
      </c>
      <c r="AA1400">
        <f>IF(A1400="","","JFT|"&amp;C1400&amp;"|"&amp;D1400&amp;"|"&amp;E1400&amp;"L"&amp;F1400)</f>
        <v/>
      </c>
    </row>
    <row r="1401">
      <c r="Z1401">
        <f>IF(A1401="","",COUNTIF('40_RAP_DE'!$C:$C,A1401))</f>
        <v/>
      </c>
      <c r="AA1401">
        <f>IF(A1401="","","JFT|"&amp;C1401&amp;"|"&amp;D1401&amp;"|"&amp;E1401&amp;"L"&amp;F1401)</f>
        <v/>
      </c>
    </row>
    <row r="1402">
      <c r="Z1402">
        <f>IF(A1402="","",COUNTIF('40_RAP_DE'!$C:$C,A1402))</f>
        <v/>
      </c>
      <c r="AA1402">
        <f>IF(A1402="","","JFT|"&amp;C1402&amp;"|"&amp;D1402&amp;"|"&amp;E1402&amp;"L"&amp;F1402)</f>
        <v/>
      </c>
    </row>
    <row r="1403">
      <c r="Z1403">
        <f>IF(A1403="","",COUNTIF('40_RAP_DE'!$C:$C,A1403))</f>
        <v/>
      </c>
      <c r="AA1403">
        <f>IF(A1403="","","JFT|"&amp;C1403&amp;"|"&amp;D1403&amp;"|"&amp;E1403&amp;"L"&amp;F1403)</f>
        <v/>
      </c>
    </row>
    <row r="1404">
      <c r="Z1404">
        <f>IF(A1404="","",COUNTIF('40_RAP_DE'!$C:$C,A1404))</f>
        <v/>
      </c>
      <c r="AA1404">
        <f>IF(A1404="","","JFT|"&amp;C1404&amp;"|"&amp;D1404&amp;"|"&amp;E1404&amp;"L"&amp;F1404)</f>
        <v/>
      </c>
    </row>
    <row r="1405">
      <c r="Z1405">
        <f>IF(A1405="","",COUNTIF('40_RAP_DE'!$C:$C,A1405))</f>
        <v/>
      </c>
      <c r="AA1405">
        <f>IF(A1405="","","JFT|"&amp;C1405&amp;"|"&amp;D1405&amp;"|"&amp;E1405&amp;"L"&amp;F1405)</f>
        <v/>
      </c>
    </row>
    <row r="1406">
      <c r="Z1406">
        <f>IF(A1406="","",COUNTIF('40_RAP_DE'!$C:$C,A1406))</f>
        <v/>
      </c>
      <c r="AA1406">
        <f>IF(A1406="","","JFT|"&amp;C1406&amp;"|"&amp;D1406&amp;"|"&amp;E1406&amp;"L"&amp;F1406)</f>
        <v/>
      </c>
    </row>
    <row r="1407">
      <c r="Z1407">
        <f>IF(A1407="","",COUNTIF('40_RAP_DE'!$C:$C,A1407))</f>
        <v/>
      </c>
      <c r="AA1407">
        <f>IF(A1407="","","JFT|"&amp;C1407&amp;"|"&amp;D1407&amp;"|"&amp;E1407&amp;"L"&amp;F1407)</f>
        <v/>
      </c>
    </row>
    <row r="1408">
      <c r="Z1408">
        <f>IF(A1408="","",COUNTIF('40_RAP_DE'!$C:$C,A1408))</f>
        <v/>
      </c>
      <c r="AA1408">
        <f>IF(A1408="","","JFT|"&amp;C1408&amp;"|"&amp;D1408&amp;"|"&amp;E1408&amp;"L"&amp;F1408)</f>
        <v/>
      </c>
    </row>
    <row r="1409">
      <c r="Z1409">
        <f>IF(A1409="","",COUNTIF('40_RAP_DE'!$C:$C,A1409))</f>
        <v/>
      </c>
      <c r="AA1409">
        <f>IF(A1409="","","JFT|"&amp;C1409&amp;"|"&amp;D1409&amp;"|"&amp;E1409&amp;"L"&amp;F1409)</f>
        <v/>
      </c>
    </row>
    <row r="1410">
      <c r="Z1410">
        <f>IF(A1410="","",COUNTIF('40_RAP_DE'!$C:$C,A1410))</f>
        <v/>
      </c>
      <c r="AA1410">
        <f>IF(A1410="","","JFT|"&amp;C1410&amp;"|"&amp;D1410&amp;"|"&amp;E1410&amp;"L"&amp;F1410)</f>
        <v/>
      </c>
    </row>
    <row r="1411">
      <c r="Z1411">
        <f>IF(A1411="","",COUNTIF('40_RAP_DE'!$C:$C,A1411))</f>
        <v/>
      </c>
      <c r="AA1411">
        <f>IF(A1411="","","JFT|"&amp;C1411&amp;"|"&amp;D1411&amp;"|"&amp;E1411&amp;"L"&amp;F1411)</f>
        <v/>
      </c>
    </row>
    <row r="1412">
      <c r="Z1412">
        <f>IF(A1412="","",COUNTIF('40_RAP_DE'!$C:$C,A1412))</f>
        <v/>
      </c>
      <c r="AA1412">
        <f>IF(A1412="","","JFT|"&amp;C1412&amp;"|"&amp;D1412&amp;"|"&amp;E1412&amp;"L"&amp;F1412)</f>
        <v/>
      </c>
    </row>
    <row r="1413">
      <c r="Z1413">
        <f>IF(A1413="","",COUNTIF('40_RAP_DE'!$C:$C,A1413))</f>
        <v/>
      </c>
      <c r="AA1413">
        <f>IF(A1413="","","JFT|"&amp;C1413&amp;"|"&amp;D1413&amp;"|"&amp;E1413&amp;"L"&amp;F1413)</f>
        <v/>
      </c>
    </row>
    <row r="1414">
      <c r="Z1414">
        <f>IF(A1414="","",COUNTIF('40_RAP_DE'!$C:$C,A1414))</f>
        <v/>
      </c>
      <c r="AA1414">
        <f>IF(A1414="","","JFT|"&amp;C1414&amp;"|"&amp;D1414&amp;"|"&amp;E1414&amp;"L"&amp;F1414)</f>
        <v/>
      </c>
    </row>
    <row r="1415">
      <c r="Z1415">
        <f>IF(A1415="","",COUNTIF('40_RAP_DE'!$C:$C,A1415))</f>
        <v/>
      </c>
      <c r="AA1415">
        <f>IF(A1415="","","JFT|"&amp;C1415&amp;"|"&amp;D1415&amp;"|"&amp;E1415&amp;"L"&amp;F1415)</f>
        <v/>
      </c>
    </row>
    <row r="1416">
      <c r="Z1416">
        <f>IF(A1416="","",COUNTIF('40_RAP_DE'!$C:$C,A1416))</f>
        <v/>
      </c>
      <c r="AA1416">
        <f>IF(A1416="","","JFT|"&amp;C1416&amp;"|"&amp;D1416&amp;"|"&amp;E1416&amp;"L"&amp;F1416)</f>
        <v/>
      </c>
    </row>
    <row r="1417">
      <c r="Z1417">
        <f>IF(A1417="","",COUNTIF('40_RAP_DE'!$C:$C,A1417))</f>
        <v/>
      </c>
      <c r="AA1417">
        <f>IF(A1417="","","JFT|"&amp;C1417&amp;"|"&amp;D1417&amp;"|"&amp;E1417&amp;"L"&amp;F1417)</f>
        <v/>
      </c>
    </row>
    <row r="1418">
      <c r="Z1418">
        <f>IF(A1418="","",COUNTIF('40_RAP_DE'!$C:$C,A1418))</f>
        <v/>
      </c>
      <c r="AA1418">
        <f>IF(A1418="","","JFT|"&amp;C1418&amp;"|"&amp;D1418&amp;"|"&amp;E1418&amp;"L"&amp;F1418)</f>
        <v/>
      </c>
    </row>
    <row r="1419">
      <c r="Z1419">
        <f>IF(A1419="","",COUNTIF('40_RAP_DE'!$C:$C,A1419))</f>
        <v/>
      </c>
      <c r="AA1419">
        <f>IF(A1419="","","JFT|"&amp;C1419&amp;"|"&amp;D1419&amp;"|"&amp;E1419&amp;"L"&amp;F1419)</f>
        <v/>
      </c>
    </row>
    <row r="1420">
      <c r="Z1420">
        <f>IF(A1420="","",COUNTIF('40_RAP_DE'!$C:$C,A1420))</f>
        <v/>
      </c>
      <c r="AA1420">
        <f>IF(A1420="","","JFT|"&amp;C1420&amp;"|"&amp;D1420&amp;"|"&amp;E1420&amp;"L"&amp;F1420)</f>
        <v/>
      </c>
    </row>
    <row r="1421">
      <c r="Z1421">
        <f>IF(A1421="","",COUNTIF('40_RAP_DE'!$C:$C,A1421))</f>
        <v/>
      </c>
      <c r="AA1421">
        <f>IF(A1421="","","JFT|"&amp;C1421&amp;"|"&amp;D1421&amp;"|"&amp;E1421&amp;"L"&amp;F1421)</f>
        <v/>
      </c>
    </row>
    <row r="1422">
      <c r="Z1422">
        <f>IF(A1422="","",COUNTIF('40_RAP_DE'!$C:$C,A1422))</f>
        <v/>
      </c>
      <c r="AA1422">
        <f>IF(A1422="","","JFT|"&amp;C1422&amp;"|"&amp;D1422&amp;"|"&amp;E1422&amp;"L"&amp;F1422)</f>
        <v/>
      </c>
    </row>
    <row r="1423">
      <c r="Z1423">
        <f>IF(A1423="","",COUNTIF('40_RAP_DE'!$C:$C,A1423))</f>
        <v/>
      </c>
      <c r="AA1423">
        <f>IF(A1423="","","JFT|"&amp;C1423&amp;"|"&amp;D1423&amp;"|"&amp;E1423&amp;"L"&amp;F1423)</f>
        <v/>
      </c>
    </row>
    <row r="1424">
      <c r="Z1424">
        <f>IF(A1424="","",COUNTIF('40_RAP_DE'!$C:$C,A1424))</f>
        <v/>
      </c>
      <c r="AA1424">
        <f>IF(A1424="","","JFT|"&amp;C1424&amp;"|"&amp;D1424&amp;"|"&amp;E1424&amp;"L"&amp;F1424)</f>
        <v/>
      </c>
    </row>
    <row r="1425">
      <c r="Z1425">
        <f>IF(A1425="","",COUNTIF('40_RAP_DE'!$C:$C,A1425))</f>
        <v/>
      </c>
      <c r="AA1425">
        <f>IF(A1425="","","JFT|"&amp;C1425&amp;"|"&amp;D1425&amp;"|"&amp;E1425&amp;"L"&amp;F1425)</f>
        <v/>
      </c>
    </row>
    <row r="1426">
      <c r="Z1426">
        <f>IF(A1426="","",COUNTIF('40_RAP_DE'!$C:$C,A1426))</f>
        <v/>
      </c>
      <c r="AA1426">
        <f>IF(A1426="","","JFT|"&amp;C1426&amp;"|"&amp;D1426&amp;"|"&amp;E1426&amp;"L"&amp;F1426)</f>
        <v/>
      </c>
    </row>
    <row r="1427">
      <c r="Z1427">
        <f>IF(A1427="","",COUNTIF('40_RAP_DE'!$C:$C,A1427))</f>
        <v/>
      </c>
      <c r="AA1427">
        <f>IF(A1427="","","JFT|"&amp;C1427&amp;"|"&amp;D1427&amp;"|"&amp;E1427&amp;"L"&amp;F1427)</f>
        <v/>
      </c>
    </row>
    <row r="1428">
      <c r="Z1428">
        <f>IF(A1428="","",COUNTIF('40_RAP_DE'!$C:$C,A1428))</f>
        <v/>
      </c>
      <c r="AA1428">
        <f>IF(A1428="","","JFT|"&amp;C1428&amp;"|"&amp;D1428&amp;"|"&amp;E1428&amp;"L"&amp;F1428)</f>
        <v/>
      </c>
    </row>
    <row r="1429">
      <c r="Z1429">
        <f>IF(A1429="","",COUNTIF('40_RAP_DE'!$C:$C,A1429))</f>
        <v/>
      </c>
      <c r="AA1429">
        <f>IF(A1429="","","JFT|"&amp;C1429&amp;"|"&amp;D1429&amp;"|"&amp;E1429&amp;"L"&amp;F1429)</f>
        <v/>
      </c>
    </row>
    <row r="1430">
      <c r="Z1430">
        <f>IF(A1430="","",COUNTIF('40_RAP_DE'!$C:$C,A1430))</f>
        <v/>
      </c>
      <c r="AA1430">
        <f>IF(A1430="","","JFT|"&amp;C1430&amp;"|"&amp;D1430&amp;"|"&amp;E1430&amp;"L"&amp;F1430)</f>
        <v/>
      </c>
    </row>
    <row r="1431">
      <c r="Z1431">
        <f>IF(A1431="","",COUNTIF('40_RAP_DE'!$C:$C,A1431))</f>
        <v/>
      </c>
      <c r="AA1431">
        <f>IF(A1431="","","JFT|"&amp;C1431&amp;"|"&amp;D1431&amp;"|"&amp;E1431&amp;"L"&amp;F1431)</f>
        <v/>
      </c>
    </row>
    <row r="1432">
      <c r="Z1432">
        <f>IF(A1432="","",COUNTIF('40_RAP_DE'!$C:$C,A1432))</f>
        <v/>
      </c>
      <c r="AA1432">
        <f>IF(A1432="","","JFT|"&amp;C1432&amp;"|"&amp;D1432&amp;"|"&amp;E1432&amp;"L"&amp;F1432)</f>
        <v/>
      </c>
    </row>
    <row r="1433">
      <c r="Z1433">
        <f>IF(A1433="","",COUNTIF('40_RAP_DE'!$C:$C,A1433))</f>
        <v/>
      </c>
      <c r="AA1433">
        <f>IF(A1433="","","JFT|"&amp;C1433&amp;"|"&amp;D1433&amp;"|"&amp;E1433&amp;"L"&amp;F1433)</f>
        <v/>
      </c>
    </row>
    <row r="1434">
      <c r="Z1434">
        <f>IF(A1434="","",COUNTIF('40_RAP_DE'!$C:$C,A1434))</f>
        <v/>
      </c>
      <c r="AA1434">
        <f>IF(A1434="","","JFT|"&amp;C1434&amp;"|"&amp;D1434&amp;"|"&amp;E1434&amp;"L"&amp;F1434)</f>
        <v/>
      </c>
    </row>
    <row r="1435">
      <c r="Z1435">
        <f>IF(A1435="","",COUNTIF('40_RAP_DE'!$C:$C,A1435))</f>
        <v/>
      </c>
      <c r="AA1435">
        <f>IF(A1435="","","JFT|"&amp;C1435&amp;"|"&amp;D1435&amp;"|"&amp;E1435&amp;"L"&amp;F1435)</f>
        <v/>
      </c>
    </row>
    <row r="1436">
      <c r="Z1436">
        <f>IF(A1436="","",COUNTIF('40_RAP_DE'!$C:$C,A1436))</f>
        <v/>
      </c>
      <c r="AA1436">
        <f>IF(A1436="","","JFT|"&amp;C1436&amp;"|"&amp;D1436&amp;"|"&amp;E1436&amp;"L"&amp;F1436)</f>
        <v/>
      </c>
    </row>
    <row r="1437">
      <c r="Z1437">
        <f>IF(A1437="","",COUNTIF('40_RAP_DE'!$C:$C,A1437))</f>
        <v/>
      </c>
      <c r="AA1437">
        <f>IF(A1437="","","JFT|"&amp;C1437&amp;"|"&amp;D1437&amp;"|"&amp;E1437&amp;"L"&amp;F1437)</f>
        <v/>
      </c>
    </row>
    <row r="1438">
      <c r="Z1438">
        <f>IF(A1438="","",COUNTIF('40_RAP_DE'!$C:$C,A1438))</f>
        <v/>
      </c>
      <c r="AA1438">
        <f>IF(A1438="","","JFT|"&amp;C1438&amp;"|"&amp;D1438&amp;"|"&amp;E1438&amp;"L"&amp;F1438)</f>
        <v/>
      </c>
    </row>
    <row r="1439">
      <c r="Z1439">
        <f>IF(A1439="","",COUNTIF('40_RAP_DE'!$C:$C,A1439))</f>
        <v/>
      </c>
      <c r="AA1439">
        <f>IF(A1439="","","JFT|"&amp;C1439&amp;"|"&amp;D1439&amp;"|"&amp;E1439&amp;"L"&amp;F1439)</f>
        <v/>
      </c>
    </row>
    <row r="1440">
      <c r="Z1440">
        <f>IF(A1440="","",COUNTIF('40_RAP_DE'!$C:$C,A1440))</f>
        <v/>
      </c>
      <c r="AA1440">
        <f>IF(A1440="","","JFT|"&amp;C1440&amp;"|"&amp;D1440&amp;"|"&amp;E1440&amp;"L"&amp;F1440)</f>
        <v/>
      </c>
    </row>
    <row r="1441">
      <c r="Z1441">
        <f>IF(A1441="","",COUNTIF('40_RAP_DE'!$C:$C,A1441))</f>
        <v/>
      </c>
      <c r="AA1441">
        <f>IF(A1441="","","JFT|"&amp;C1441&amp;"|"&amp;D1441&amp;"|"&amp;E1441&amp;"L"&amp;F1441)</f>
        <v/>
      </c>
    </row>
    <row r="1442">
      <c r="Z1442">
        <f>IF(A1442="","",COUNTIF('40_RAP_DE'!$C:$C,A1442))</f>
        <v/>
      </c>
      <c r="AA1442">
        <f>IF(A1442="","","JFT|"&amp;C1442&amp;"|"&amp;D1442&amp;"|"&amp;E1442&amp;"L"&amp;F1442)</f>
        <v/>
      </c>
    </row>
    <row r="1443">
      <c r="Z1443">
        <f>IF(A1443="","",COUNTIF('40_RAP_DE'!$C:$C,A1443))</f>
        <v/>
      </c>
      <c r="AA1443">
        <f>IF(A1443="","","JFT|"&amp;C1443&amp;"|"&amp;D1443&amp;"|"&amp;E1443&amp;"L"&amp;F1443)</f>
        <v/>
      </c>
    </row>
    <row r="1444">
      <c r="Z1444">
        <f>IF(A1444="","",COUNTIF('40_RAP_DE'!$C:$C,A1444))</f>
        <v/>
      </c>
      <c r="AA1444">
        <f>IF(A1444="","","JFT|"&amp;C1444&amp;"|"&amp;D1444&amp;"|"&amp;E1444&amp;"L"&amp;F1444)</f>
        <v/>
      </c>
    </row>
    <row r="1445">
      <c r="Z1445">
        <f>IF(A1445="","",COUNTIF('40_RAP_DE'!$C:$C,A1445))</f>
        <v/>
      </c>
      <c r="AA1445">
        <f>IF(A1445="","","JFT|"&amp;C1445&amp;"|"&amp;D1445&amp;"|"&amp;E1445&amp;"L"&amp;F1445)</f>
        <v/>
      </c>
    </row>
    <row r="1446">
      <c r="Z1446">
        <f>IF(A1446="","",COUNTIF('40_RAP_DE'!$C:$C,A1446))</f>
        <v/>
      </c>
      <c r="AA1446">
        <f>IF(A1446="","","JFT|"&amp;C1446&amp;"|"&amp;D1446&amp;"|"&amp;E1446&amp;"L"&amp;F1446)</f>
        <v/>
      </c>
    </row>
    <row r="1447">
      <c r="Z1447">
        <f>IF(A1447="","",COUNTIF('40_RAP_DE'!$C:$C,A1447))</f>
        <v/>
      </c>
      <c r="AA1447">
        <f>IF(A1447="","","JFT|"&amp;C1447&amp;"|"&amp;D1447&amp;"|"&amp;E1447&amp;"L"&amp;F1447)</f>
        <v/>
      </c>
    </row>
    <row r="1448">
      <c r="Z1448">
        <f>IF(A1448="","",COUNTIF('40_RAP_DE'!$C:$C,A1448))</f>
        <v/>
      </c>
      <c r="AA1448">
        <f>IF(A1448="","","JFT|"&amp;C1448&amp;"|"&amp;D1448&amp;"|"&amp;E1448&amp;"L"&amp;F1448)</f>
        <v/>
      </c>
    </row>
    <row r="1449">
      <c r="Z1449">
        <f>IF(A1449="","",COUNTIF('40_RAP_DE'!$C:$C,A1449))</f>
        <v/>
      </c>
      <c r="AA1449">
        <f>IF(A1449="","","JFT|"&amp;C1449&amp;"|"&amp;D1449&amp;"|"&amp;E1449&amp;"L"&amp;F1449)</f>
        <v/>
      </c>
    </row>
    <row r="1450">
      <c r="Z1450">
        <f>IF(A1450="","",COUNTIF('40_RAP_DE'!$C:$C,A1450))</f>
        <v/>
      </c>
      <c r="AA1450">
        <f>IF(A1450="","","JFT|"&amp;C1450&amp;"|"&amp;D1450&amp;"|"&amp;E1450&amp;"L"&amp;F1450)</f>
        <v/>
      </c>
    </row>
    <row r="1451">
      <c r="Z1451">
        <f>IF(A1451="","",COUNTIF('40_RAP_DE'!$C:$C,A1451))</f>
        <v/>
      </c>
      <c r="AA1451">
        <f>IF(A1451="","","JFT|"&amp;C1451&amp;"|"&amp;D1451&amp;"|"&amp;E1451&amp;"L"&amp;F1451)</f>
        <v/>
      </c>
    </row>
    <row r="1452">
      <c r="Z1452">
        <f>IF(A1452="","",COUNTIF('40_RAP_DE'!$C:$C,A1452))</f>
        <v/>
      </c>
      <c r="AA1452">
        <f>IF(A1452="","","JFT|"&amp;C1452&amp;"|"&amp;D1452&amp;"|"&amp;E1452&amp;"L"&amp;F1452)</f>
        <v/>
      </c>
    </row>
    <row r="1453">
      <c r="Z1453">
        <f>IF(A1453="","",COUNTIF('40_RAP_DE'!$C:$C,A1453))</f>
        <v/>
      </c>
      <c r="AA1453">
        <f>IF(A1453="","","JFT|"&amp;C1453&amp;"|"&amp;D1453&amp;"|"&amp;E1453&amp;"L"&amp;F1453)</f>
        <v/>
      </c>
    </row>
    <row r="1454">
      <c r="Z1454">
        <f>IF(A1454="","",COUNTIF('40_RAP_DE'!$C:$C,A1454))</f>
        <v/>
      </c>
      <c r="AA1454">
        <f>IF(A1454="","","JFT|"&amp;C1454&amp;"|"&amp;D1454&amp;"|"&amp;E1454&amp;"L"&amp;F1454)</f>
        <v/>
      </c>
    </row>
    <row r="1455">
      <c r="Z1455">
        <f>IF(A1455="","",COUNTIF('40_RAP_DE'!$C:$C,A1455))</f>
        <v/>
      </c>
      <c r="AA1455">
        <f>IF(A1455="","","JFT|"&amp;C1455&amp;"|"&amp;D1455&amp;"|"&amp;E1455&amp;"L"&amp;F1455)</f>
        <v/>
      </c>
    </row>
    <row r="1456">
      <c r="Z1456">
        <f>IF(A1456="","",COUNTIF('40_RAP_DE'!$C:$C,A1456))</f>
        <v/>
      </c>
      <c r="AA1456">
        <f>IF(A1456="","","JFT|"&amp;C1456&amp;"|"&amp;D1456&amp;"|"&amp;E1456&amp;"L"&amp;F1456)</f>
        <v/>
      </c>
    </row>
    <row r="1457">
      <c r="Z1457">
        <f>IF(A1457="","",COUNTIF('40_RAP_DE'!$C:$C,A1457))</f>
        <v/>
      </c>
      <c r="AA1457">
        <f>IF(A1457="","","JFT|"&amp;C1457&amp;"|"&amp;D1457&amp;"|"&amp;E1457&amp;"L"&amp;F1457)</f>
        <v/>
      </c>
    </row>
    <row r="1458">
      <c r="Z1458">
        <f>IF(A1458="","",COUNTIF('40_RAP_DE'!$C:$C,A1458))</f>
        <v/>
      </c>
      <c r="AA1458">
        <f>IF(A1458="","","JFT|"&amp;C1458&amp;"|"&amp;D1458&amp;"|"&amp;E1458&amp;"L"&amp;F1458)</f>
        <v/>
      </c>
    </row>
    <row r="1459">
      <c r="Z1459">
        <f>IF(A1459="","",COUNTIF('40_RAP_DE'!$C:$C,A1459))</f>
        <v/>
      </c>
      <c r="AA1459">
        <f>IF(A1459="","","JFT|"&amp;C1459&amp;"|"&amp;D1459&amp;"|"&amp;E1459&amp;"L"&amp;F1459)</f>
        <v/>
      </c>
    </row>
    <row r="1460">
      <c r="Z1460">
        <f>IF(A1460="","",COUNTIF('40_RAP_DE'!$C:$C,A1460))</f>
        <v/>
      </c>
      <c r="AA1460">
        <f>IF(A1460="","","JFT|"&amp;C1460&amp;"|"&amp;D1460&amp;"|"&amp;E1460&amp;"L"&amp;F1460)</f>
        <v/>
      </c>
    </row>
    <row r="1461">
      <c r="Z1461">
        <f>IF(A1461="","",COUNTIF('40_RAP_DE'!$C:$C,A1461))</f>
        <v/>
      </c>
      <c r="AA1461">
        <f>IF(A1461="","","JFT|"&amp;C1461&amp;"|"&amp;D1461&amp;"|"&amp;E1461&amp;"L"&amp;F1461)</f>
        <v/>
      </c>
    </row>
    <row r="1462">
      <c r="Z1462">
        <f>IF(A1462="","",COUNTIF('40_RAP_DE'!$C:$C,A1462))</f>
        <v/>
      </c>
      <c r="AA1462">
        <f>IF(A1462="","","JFT|"&amp;C1462&amp;"|"&amp;D1462&amp;"|"&amp;E1462&amp;"L"&amp;F1462)</f>
        <v/>
      </c>
    </row>
    <row r="1463">
      <c r="Z1463">
        <f>IF(A1463="","",COUNTIF('40_RAP_DE'!$C:$C,A1463))</f>
        <v/>
      </c>
      <c r="AA1463">
        <f>IF(A1463="","","JFT|"&amp;C1463&amp;"|"&amp;D1463&amp;"|"&amp;E1463&amp;"L"&amp;F1463)</f>
        <v/>
      </c>
    </row>
    <row r="1464">
      <c r="Z1464">
        <f>IF(A1464="","",COUNTIF('40_RAP_DE'!$C:$C,A1464))</f>
        <v/>
      </c>
      <c r="AA1464">
        <f>IF(A1464="","","JFT|"&amp;C1464&amp;"|"&amp;D1464&amp;"|"&amp;E1464&amp;"L"&amp;F1464)</f>
        <v/>
      </c>
    </row>
    <row r="1465">
      <c r="Z1465">
        <f>IF(A1465="","",COUNTIF('40_RAP_DE'!$C:$C,A1465))</f>
        <v/>
      </c>
      <c r="AA1465">
        <f>IF(A1465="","","JFT|"&amp;C1465&amp;"|"&amp;D1465&amp;"|"&amp;E1465&amp;"L"&amp;F1465)</f>
        <v/>
      </c>
    </row>
    <row r="1466">
      <c r="Z1466">
        <f>IF(A1466="","",COUNTIF('40_RAP_DE'!$C:$C,A1466))</f>
        <v/>
      </c>
      <c r="AA1466">
        <f>IF(A1466="","","JFT|"&amp;C1466&amp;"|"&amp;D1466&amp;"|"&amp;E1466&amp;"L"&amp;F1466)</f>
        <v/>
      </c>
    </row>
    <row r="1467">
      <c r="Z1467">
        <f>IF(A1467="","",COUNTIF('40_RAP_DE'!$C:$C,A1467))</f>
        <v/>
      </c>
      <c r="AA1467">
        <f>IF(A1467="","","JFT|"&amp;C1467&amp;"|"&amp;D1467&amp;"|"&amp;E1467&amp;"L"&amp;F1467)</f>
        <v/>
      </c>
    </row>
    <row r="1468">
      <c r="Z1468">
        <f>IF(A1468="","",COUNTIF('40_RAP_DE'!$C:$C,A1468))</f>
        <v/>
      </c>
      <c r="AA1468">
        <f>IF(A1468="","","JFT|"&amp;C1468&amp;"|"&amp;D1468&amp;"|"&amp;E1468&amp;"L"&amp;F1468)</f>
        <v/>
      </c>
    </row>
    <row r="1469">
      <c r="Z1469">
        <f>IF(A1469="","",COUNTIF('40_RAP_DE'!$C:$C,A1469))</f>
        <v/>
      </c>
      <c r="AA1469">
        <f>IF(A1469="","","JFT|"&amp;C1469&amp;"|"&amp;D1469&amp;"|"&amp;E1469&amp;"L"&amp;F1469)</f>
        <v/>
      </c>
    </row>
    <row r="1470">
      <c r="Z1470">
        <f>IF(A1470="","",COUNTIF('40_RAP_DE'!$C:$C,A1470))</f>
        <v/>
      </c>
      <c r="AA1470">
        <f>IF(A1470="","","JFT|"&amp;C1470&amp;"|"&amp;D1470&amp;"|"&amp;E1470&amp;"L"&amp;F1470)</f>
        <v/>
      </c>
    </row>
    <row r="1471">
      <c r="Z1471">
        <f>IF(A1471="","",COUNTIF('40_RAP_DE'!$C:$C,A1471))</f>
        <v/>
      </c>
      <c r="AA1471">
        <f>IF(A1471="","","JFT|"&amp;C1471&amp;"|"&amp;D1471&amp;"|"&amp;E1471&amp;"L"&amp;F1471)</f>
        <v/>
      </c>
    </row>
    <row r="1472">
      <c r="Z1472">
        <f>IF(A1472="","",COUNTIF('40_RAP_DE'!$C:$C,A1472))</f>
        <v/>
      </c>
      <c r="AA1472">
        <f>IF(A1472="","","JFT|"&amp;C1472&amp;"|"&amp;D1472&amp;"|"&amp;E1472&amp;"L"&amp;F1472)</f>
        <v/>
      </c>
    </row>
    <row r="1473">
      <c r="Z1473">
        <f>IF(A1473="","",COUNTIF('40_RAP_DE'!$C:$C,A1473))</f>
        <v/>
      </c>
      <c r="AA1473">
        <f>IF(A1473="","","JFT|"&amp;C1473&amp;"|"&amp;D1473&amp;"|"&amp;E1473&amp;"L"&amp;F1473)</f>
        <v/>
      </c>
    </row>
    <row r="1474">
      <c r="Z1474">
        <f>IF(A1474="","",COUNTIF('40_RAP_DE'!$C:$C,A1474))</f>
        <v/>
      </c>
      <c r="AA1474">
        <f>IF(A1474="","","JFT|"&amp;C1474&amp;"|"&amp;D1474&amp;"|"&amp;E1474&amp;"L"&amp;F1474)</f>
        <v/>
      </c>
    </row>
    <row r="1475">
      <c r="Z1475">
        <f>IF(A1475="","",COUNTIF('40_RAP_DE'!$C:$C,A1475))</f>
        <v/>
      </c>
      <c r="AA1475">
        <f>IF(A1475="","","JFT|"&amp;C1475&amp;"|"&amp;D1475&amp;"|"&amp;E1475&amp;"L"&amp;F1475)</f>
        <v/>
      </c>
    </row>
    <row r="1476">
      <c r="Z1476">
        <f>IF(A1476="","",COUNTIF('40_RAP_DE'!$C:$C,A1476))</f>
        <v/>
      </c>
      <c r="AA1476">
        <f>IF(A1476="","","JFT|"&amp;C1476&amp;"|"&amp;D1476&amp;"|"&amp;E1476&amp;"L"&amp;F1476)</f>
        <v/>
      </c>
    </row>
    <row r="1477">
      <c r="Z1477">
        <f>IF(A1477="","",COUNTIF('40_RAP_DE'!$C:$C,A1477))</f>
        <v/>
      </c>
      <c r="AA1477">
        <f>IF(A1477="","","JFT|"&amp;C1477&amp;"|"&amp;D1477&amp;"|"&amp;E1477&amp;"L"&amp;F1477)</f>
        <v/>
      </c>
    </row>
    <row r="1478">
      <c r="Z1478">
        <f>IF(A1478="","",COUNTIF('40_RAP_DE'!$C:$C,A1478))</f>
        <v/>
      </c>
      <c r="AA1478">
        <f>IF(A1478="","","JFT|"&amp;C1478&amp;"|"&amp;D1478&amp;"|"&amp;E1478&amp;"L"&amp;F1478)</f>
        <v/>
      </c>
    </row>
    <row r="1479">
      <c r="Z1479">
        <f>IF(A1479="","",COUNTIF('40_RAP_DE'!$C:$C,A1479))</f>
        <v/>
      </c>
      <c r="AA1479">
        <f>IF(A1479="","","JFT|"&amp;C1479&amp;"|"&amp;D1479&amp;"|"&amp;E1479&amp;"L"&amp;F1479)</f>
        <v/>
      </c>
    </row>
    <row r="1480">
      <c r="Z1480">
        <f>IF(A1480="","",COUNTIF('40_RAP_DE'!$C:$C,A1480))</f>
        <v/>
      </c>
      <c r="AA1480">
        <f>IF(A1480="","","JFT|"&amp;C1480&amp;"|"&amp;D1480&amp;"|"&amp;E1480&amp;"L"&amp;F1480)</f>
        <v/>
      </c>
    </row>
    <row r="1481">
      <c r="Z1481">
        <f>IF(A1481="","",COUNTIF('40_RAP_DE'!$C:$C,A1481))</f>
        <v/>
      </c>
      <c r="AA1481">
        <f>IF(A1481="","","JFT|"&amp;C1481&amp;"|"&amp;D1481&amp;"|"&amp;E1481&amp;"L"&amp;F1481)</f>
        <v/>
      </c>
    </row>
    <row r="1482">
      <c r="Z1482">
        <f>IF(A1482="","",COUNTIF('40_RAP_DE'!$C:$C,A1482))</f>
        <v/>
      </c>
      <c r="AA1482">
        <f>IF(A1482="","","JFT|"&amp;C1482&amp;"|"&amp;D1482&amp;"|"&amp;E1482&amp;"L"&amp;F1482)</f>
        <v/>
      </c>
    </row>
    <row r="1483">
      <c r="Z1483">
        <f>IF(A1483="","",COUNTIF('40_RAP_DE'!$C:$C,A1483))</f>
        <v/>
      </c>
      <c r="AA1483">
        <f>IF(A1483="","","JFT|"&amp;C1483&amp;"|"&amp;D1483&amp;"|"&amp;E1483&amp;"L"&amp;F1483)</f>
        <v/>
      </c>
    </row>
    <row r="1484">
      <c r="Z1484">
        <f>IF(A1484="","",COUNTIF('40_RAP_DE'!$C:$C,A1484))</f>
        <v/>
      </c>
      <c r="AA1484">
        <f>IF(A1484="","","JFT|"&amp;C1484&amp;"|"&amp;D1484&amp;"|"&amp;E1484&amp;"L"&amp;F1484)</f>
        <v/>
      </c>
    </row>
    <row r="1485">
      <c r="Z1485">
        <f>IF(A1485="","",COUNTIF('40_RAP_DE'!$C:$C,A1485))</f>
        <v/>
      </c>
      <c r="AA1485">
        <f>IF(A1485="","","JFT|"&amp;C1485&amp;"|"&amp;D1485&amp;"|"&amp;E1485&amp;"L"&amp;F1485)</f>
        <v/>
      </c>
    </row>
    <row r="1486">
      <c r="Z1486">
        <f>IF(A1486="","",COUNTIF('40_RAP_DE'!$C:$C,A1486))</f>
        <v/>
      </c>
      <c r="AA1486">
        <f>IF(A1486="","","JFT|"&amp;C1486&amp;"|"&amp;D1486&amp;"|"&amp;E1486&amp;"L"&amp;F1486)</f>
        <v/>
      </c>
    </row>
    <row r="1487">
      <c r="Z1487">
        <f>IF(A1487="","",COUNTIF('40_RAP_DE'!$C:$C,A1487))</f>
        <v/>
      </c>
      <c r="AA1487">
        <f>IF(A1487="","","JFT|"&amp;C1487&amp;"|"&amp;D1487&amp;"|"&amp;E1487&amp;"L"&amp;F1487)</f>
        <v/>
      </c>
    </row>
    <row r="1488">
      <c r="Z1488">
        <f>IF(A1488="","",COUNTIF('40_RAP_DE'!$C:$C,A1488))</f>
        <v/>
      </c>
      <c r="AA1488">
        <f>IF(A1488="","","JFT|"&amp;C1488&amp;"|"&amp;D1488&amp;"|"&amp;E1488&amp;"L"&amp;F1488)</f>
        <v/>
      </c>
    </row>
    <row r="1489">
      <c r="Z1489">
        <f>IF(A1489="","",COUNTIF('40_RAP_DE'!$C:$C,A1489))</f>
        <v/>
      </c>
      <c r="AA1489">
        <f>IF(A1489="","","JFT|"&amp;C1489&amp;"|"&amp;D1489&amp;"|"&amp;E1489&amp;"L"&amp;F1489)</f>
        <v/>
      </c>
    </row>
    <row r="1490">
      <c r="Z1490">
        <f>IF(A1490="","",COUNTIF('40_RAP_DE'!$C:$C,A1490))</f>
        <v/>
      </c>
      <c r="AA1490">
        <f>IF(A1490="","","JFT|"&amp;C1490&amp;"|"&amp;D1490&amp;"|"&amp;E1490&amp;"L"&amp;F1490)</f>
        <v/>
      </c>
    </row>
    <row r="1491">
      <c r="Z1491">
        <f>IF(A1491="","",COUNTIF('40_RAP_DE'!$C:$C,A1491))</f>
        <v/>
      </c>
      <c r="AA1491">
        <f>IF(A1491="","","JFT|"&amp;C1491&amp;"|"&amp;D1491&amp;"|"&amp;E1491&amp;"L"&amp;F1491)</f>
        <v/>
      </c>
    </row>
    <row r="1492">
      <c r="Z1492">
        <f>IF(A1492="","",COUNTIF('40_RAP_DE'!$C:$C,A1492))</f>
        <v/>
      </c>
      <c r="AA1492">
        <f>IF(A1492="","","JFT|"&amp;C1492&amp;"|"&amp;D1492&amp;"|"&amp;E1492&amp;"L"&amp;F1492)</f>
        <v/>
      </c>
    </row>
    <row r="1493">
      <c r="Z1493">
        <f>IF(A1493="","",COUNTIF('40_RAP_DE'!$C:$C,A1493))</f>
        <v/>
      </c>
      <c r="AA1493">
        <f>IF(A1493="","","JFT|"&amp;C1493&amp;"|"&amp;D1493&amp;"|"&amp;E1493&amp;"L"&amp;F1493)</f>
        <v/>
      </c>
    </row>
    <row r="1494">
      <c r="Z1494">
        <f>IF(A1494="","",COUNTIF('40_RAP_DE'!$C:$C,A1494))</f>
        <v/>
      </c>
      <c r="AA1494">
        <f>IF(A1494="","","JFT|"&amp;C1494&amp;"|"&amp;D1494&amp;"|"&amp;E1494&amp;"L"&amp;F1494)</f>
        <v/>
      </c>
    </row>
    <row r="1495">
      <c r="Z1495">
        <f>IF(A1495="","",COUNTIF('40_RAP_DE'!$C:$C,A1495))</f>
        <v/>
      </c>
      <c r="AA1495">
        <f>IF(A1495="","","JFT|"&amp;C1495&amp;"|"&amp;D1495&amp;"|"&amp;E1495&amp;"L"&amp;F1495)</f>
        <v/>
      </c>
    </row>
    <row r="1496">
      <c r="Z1496">
        <f>IF(A1496="","",COUNTIF('40_RAP_DE'!$C:$C,A1496))</f>
        <v/>
      </c>
      <c r="AA1496">
        <f>IF(A1496="","","JFT|"&amp;C1496&amp;"|"&amp;D1496&amp;"|"&amp;E1496&amp;"L"&amp;F1496)</f>
        <v/>
      </c>
    </row>
    <row r="1497">
      <c r="Z1497">
        <f>IF(A1497="","",COUNTIF('40_RAP_DE'!$C:$C,A1497))</f>
        <v/>
      </c>
      <c r="AA1497">
        <f>IF(A1497="","","JFT|"&amp;C1497&amp;"|"&amp;D1497&amp;"|"&amp;E1497&amp;"L"&amp;F1497)</f>
        <v/>
      </c>
    </row>
    <row r="1498">
      <c r="Z1498">
        <f>IF(A1498="","",COUNTIF('40_RAP_DE'!$C:$C,A1498))</f>
        <v/>
      </c>
      <c r="AA1498">
        <f>IF(A1498="","","JFT|"&amp;C1498&amp;"|"&amp;D1498&amp;"|"&amp;E1498&amp;"L"&amp;F1498)</f>
        <v/>
      </c>
    </row>
    <row r="1499">
      <c r="Z1499">
        <f>IF(A1499="","",COUNTIF('40_RAP_DE'!$C:$C,A1499))</f>
        <v/>
      </c>
      <c r="AA1499">
        <f>IF(A1499="","","JFT|"&amp;C1499&amp;"|"&amp;D1499&amp;"|"&amp;E1499&amp;"L"&amp;F1499)</f>
        <v/>
      </c>
    </row>
    <row r="1500">
      <c r="Z1500">
        <f>IF(A1500="","",COUNTIF('40_RAP_DE'!$C:$C,A1500))</f>
        <v/>
      </c>
      <c r="AA1500">
        <f>IF(A1500="","","JFT|"&amp;C1500&amp;"|"&amp;D1500&amp;"|"&amp;E1500&amp;"L"&amp;F1500)</f>
        <v/>
      </c>
    </row>
    <row r="1501">
      <c r="Z1501">
        <f>IF(A1501="","",COUNTIF('40_RAP_DE'!$C:$C,A1501))</f>
        <v/>
      </c>
      <c r="AA1501">
        <f>IF(A1501="","","JFT|"&amp;C1501&amp;"|"&amp;D1501&amp;"|"&amp;E1501&amp;"L"&amp;F1501)</f>
        <v/>
      </c>
    </row>
    <row r="1502">
      <c r="Z1502">
        <f>IF(A1502="","",COUNTIF('40_RAP_DE'!$C:$C,A1502))</f>
        <v/>
      </c>
      <c r="AA1502">
        <f>IF(A1502="","","JFT|"&amp;C1502&amp;"|"&amp;D1502&amp;"|"&amp;E1502&amp;"L"&amp;F1502)</f>
        <v/>
      </c>
    </row>
    <row r="1503">
      <c r="Z1503">
        <f>IF(A1503="","",COUNTIF('40_RAP_DE'!$C:$C,A1503))</f>
        <v/>
      </c>
      <c r="AA1503">
        <f>IF(A1503="","","JFT|"&amp;C1503&amp;"|"&amp;D1503&amp;"|"&amp;E1503&amp;"L"&amp;F1503)</f>
        <v/>
      </c>
    </row>
    <row r="1504">
      <c r="Z1504">
        <f>IF(A1504="","",COUNTIF('40_RAP_DE'!$C:$C,A1504))</f>
        <v/>
      </c>
      <c r="AA1504">
        <f>IF(A1504="","","JFT|"&amp;C1504&amp;"|"&amp;D1504&amp;"|"&amp;E1504&amp;"L"&amp;F1504)</f>
        <v/>
      </c>
    </row>
    <row r="1505">
      <c r="Z1505">
        <f>IF(A1505="","",COUNTIF('40_RAP_DE'!$C:$C,A1505))</f>
        <v/>
      </c>
      <c r="AA1505">
        <f>IF(A1505="","","JFT|"&amp;C1505&amp;"|"&amp;D1505&amp;"|"&amp;E1505&amp;"L"&amp;F1505)</f>
        <v/>
      </c>
    </row>
    <row r="1506">
      <c r="Z1506">
        <f>IF(A1506="","",COUNTIF('40_RAP_DE'!$C:$C,A1506))</f>
        <v/>
      </c>
      <c r="AA1506">
        <f>IF(A1506="","","JFT|"&amp;C1506&amp;"|"&amp;D1506&amp;"|"&amp;E1506&amp;"L"&amp;F1506)</f>
        <v/>
      </c>
    </row>
    <row r="1507">
      <c r="Z1507">
        <f>IF(A1507="","",COUNTIF('40_RAP_DE'!$C:$C,A1507))</f>
        <v/>
      </c>
      <c r="AA1507">
        <f>IF(A1507="","","JFT|"&amp;C1507&amp;"|"&amp;D1507&amp;"|"&amp;E1507&amp;"L"&amp;F1507)</f>
        <v/>
      </c>
    </row>
    <row r="1508">
      <c r="Z1508">
        <f>IF(A1508="","",COUNTIF('40_RAP_DE'!$C:$C,A1508))</f>
        <v/>
      </c>
      <c r="AA1508">
        <f>IF(A1508="","","JFT|"&amp;C1508&amp;"|"&amp;D1508&amp;"|"&amp;E1508&amp;"L"&amp;F1508)</f>
        <v/>
      </c>
    </row>
    <row r="1509">
      <c r="Z1509">
        <f>IF(A1509="","",COUNTIF('40_RAP_DE'!$C:$C,A1509))</f>
        <v/>
      </c>
      <c r="AA1509">
        <f>IF(A1509="","","JFT|"&amp;C1509&amp;"|"&amp;D1509&amp;"|"&amp;E1509&amp;"L"&amp;F1509)</f>
        <v/>
      </c>
    </row>
    <row r="1510">
      <c r="Z1510">
        <f>IF(A1510="","",COUNTIF('40_RAP_DE'!$C:$C,A1510))</f>
        <v/>
      </c>
      <c r="AA1510">
        <f>IF(A1510="","","JFT|"&amp;C1510&amp;"|"&amp;D1510&amp;"|"&amp;E1510&amp;"L"&amp;F1510)</f>
        <v/>
      </c>
    </row>
    <row r="1511">
      <c r="Z1511">
        <f>IF(A1511="","",COUNTIF('40_RAP_DE'!$C:$C,A1511))</f>
        <v/>
      </c>
      <c r="AA1511">
        <f>IF(A1511="","","JFT|"&amp;C1511&amp;"|"&amp;D1511&amp;"|"&amp;E1511&amp;"L"&amp;F1511)</f>
        <v/>
      </c>
    </row>
    <row r="1512">
      <c r="Z1512">
        <f>IF(A1512="","",COUNTIF('40_RAP_DE'!$C:$C,A1512))</f>
        <v/>
      </c>
      <c r="AA1512">
        <f>IF(A1512="","","JFT|"&amp;C1512&amp;"|"&amp;D1512&amp;"|"&amp;E1512&amp;"L"&amp;F1512)</f>
        <v/>
      </c>
    </row>
    <row r="1513">
      <c r="Z1513">
        <f>IF(A1513="","",COUNTIF('40_RAP_DE'!$C:$C,A1513))</f>
        <v/>
      </c>
      <c r="AA1513">
        <f>IF(A1513="","","JFT|"&amp;C1513&amp;"|"&amp;D1513&amp;"|"&amp;E1513&amp;"L"&amp;F1513)</f>
        <v/>
      </c>
    </row>
    <row r="1514">
      <c r="Z1514">
        <f>IF(A1514="","",COUNTIF('40_RAP_DE'!$C:$C,A1514))</f>
        <v/>
      </c>
      <c r="AA1514">
        <f>IF(A1514="","","JFT|"&amp;C1514&amp;"|"&amp;D1514&amp;"|"&amp;E1514&amp;"L"&amp;F1514)</f>
        <v/>
      </c>
    </row>
    <row r="1515">
      <c r="Z1515">
        <f>IF(A1515="","",COUNTIF('40_RAP_DE'!$C:$C,A1515))</f>
        <v/>
      </c>
      <c r="AA1515">
        <f>IF(A1515="","","JFT|"&amp;C1515&amp;"|"&amp;D1515&amp;"|"&amp;E1515&amp;"L"&amp;F1515)</f>
        <v/>
      </c>
    </row>
    <row r="1516">
      <c r="Z1516">
        <f>IF(A1516="","",COUNTIF('40_RAP_DE'!$C:$C,A1516))</f>
        <v/>
      </c>
      <c r="AA1516">
        <f>IF(A1516="","","JFT|"&amp;C1516&amp;"|"&amp;D1516&amp;"|"&amp;E1516&amp;"L"&amp;F1516)</f>
        <v/>
      </c>
    </row>
    <row r="1517">
      <c r="Z1517">
        <f>IF(A1517="","",COUNTIF('40_RAP_DE'!$C:$C,A1517))</f>
        <v/>
      </c>
      <c r="AA1517">
        <f>IF(A1517="","","JFT|"&amp;C1517&amp;"|"&amp;D1517&amp;"|"&amp;E1517&amp;"L"&amp;F1517)</f>
        <v/>
      </c>
    </row>
    <row r="1518">
      <c r="Z1518">
        <f>IF(A1518="","",COUNTIF('40_RAP_DE'!$C:$C,A1518))</f>
        <v/>
      </c>
      <c r="AA1518">
        <f>IF(A1518="","","JFT|"&amp;C1518&amp;"|"&amp;D1518&amp;"|"&amp;E1518&amp;"L"&amp;F1518)</f>
        <v/>
      </c>
    </row>
    <row r="1519">
      <c r="Z1519">
        <f>IF(A1519="","",COUNTIF('40_RAP_DE'!$C:$C,A1519))</f>
        <v/>
      </c>
      <c r="AA1519">
        <f>IF(A1519="","","JFT|"&amp;C1519&amp;"|"&amp;D1519&amp;"|"&amp;E1519&amp;"L"&amp;F1519)</f>
        <v/>
      </c>
    </row>
    <row r="1520">
      <c r="Z1520">
        <f>IF(A1520="","",COUNTIF('40_RAP_DE'!$C:$C,A1520))</f>
        <v/>
      </c>
      <c r="AA1520">
        <f>IF(A1520="","","JFT|"&amp;C1520&amp;"|"&amp;D1520&amp;"|"&amp;E1520&amp;"L"&amp;F1520)</f>
        <v/>
      </c>
    </row>
    <row r="1521">
      <c r="Z1521">
        <f>IF(A1521="","",COUNTIF('40_RAP_DE'!$C:$C,A1521))</f>
        <v/>
      </c>
      <c r="AA1521">
        <f>IF(A1521="","","JFT|"&amp;C1521&amp;"|"&amp;D1521&amp;"|"&amp;E1521&amp;"L"&amp;F1521)</f>
        <v/>
      </c>
    </row>
    <row r="1522">
      <c r="Z1522">
        <f>IF(A1522="","",COUNTIF('40_RAP_DE'!$C:$C,A1522))</f>
        <v/>
      </c>
      <c r="AA1522">
        <f>IF(A1522="","","JFT|"&amp;C1522&amp;"|"&amp;D1522&amp;"|"&amp;E1522&amp;"L"&amp;F1522)</f>
        <v/>
      </c>
    </row>
    <row r="1523">
      <c r="Z1523">
        <f>IF(A1523="","",COUNTIF('40_RAP_DE'!$C:$C,A1523))</f>
        <v/>
      </c>
      <c r="AA1523">
        <f>IF(A1523="","","JFT|"&amp;C1523&amp;"|"&amp;D1523&amp;"|"&amp;E1523&amp;"L"&amp;F1523)</f>
        <v/>
      </c>
    </row>
    <row r="1524">
      <c r="Z1524">
        <f>IF(A1524="","",COUNTIF('40_RAP_DE'!$C:$C,A1524))</f>
        <v/>
      </c>
      <c r="AA1524">
        <f>IF(A1524="","","JFT|"&amp;C1524&amp;"|"&amp;D1524&amp;"|"&amp;E1524&amp;"L"&amp;F1524)</f>
        <v/>
      </c>
    </row>
    <row r="1525">
      <c r="Z1525">
        <f>IF(A1525="","",COUNTIF('40_RAP_DE'!$C:$C,A1525))</f>
        <v/>
      </c>
      <c r="AA1525">
        <f>IF(A1525="","","JFT|"&amp;C1525&amp;"|"&amp;D1525&amp;"|"&amp;E1525&amp;"L"&amp;F1525)</f>
        <v/>
      </c>
    </row>
    <row r="1526">
      <c r="Z1526">
        <f>IF(A1526="","",COUNTIF('40_RAP_DE'!$C:$C,A1526))</f>
        <v/>
      </c>
      <c r="AA1526">
        <f>IF(A1526="","","JFT|"&amp;C1526&amp;"|"&amp;D1526&amp;"|"&amp;E1526&amp;"L"&amp;F1526)</f>
        <v/>
      </c>
    </row>
    <row r="1527">
      <c r="Z1527">
        <f>IF(A1527="","",COUNTIF('40_RAP_DE'!$C:$C,A1527))</f>
        <v/>
      </c>
      <c r="AA1527">
        <f>IF(A1527="","","JFT|"&amp;C1527&amp;"|"&amp;D1527&amp;"|"&amp;E1527&amp;"L"&amp;F1527)</f>
        <v/>
      </c>
    </row>
    <row r="1528">
      <c r="Z1528">
        <f>IF(A1528="","",COUNTIF('40_RAP_DE'!$C:$C,A1528))</f>
        <v/>
      </c>
      <c r="AA1528">
        <f>IF(A1528="","","JFT|"&amp;C1528&amp;"|"&amp;D1528&amp;"|"&amp;E1528&amp;"L"&amp;F1528)</f>
        <v/>
      </c>
    </row>
    <row r="1529">
      <c r="Z1529">
        <f>IF(A1529="","",COUNTIF('40_RAP_DE'!$C:$C,A1529))</f>
        <v/>
      </c>
      <c r="AA1529">
        <f>IF(A1529="","","JFT|"&amp;C1529&amp;"|"&amp;D1529&amp;"|"&amp;E1529&amp;"L"&amp;F1529)</f>
        <v/>
      </c>
    </row>
    <row r="1530">
      <c r="Z1530">
        <f>IF(A1530="","",COUNTIF('40_RAP_DE'!$C:$C,A1530))</f>
        <v/>
      </c>
      <c r="AA1530">
        <f>IF(A1530="","","JFT|"&amp;C1530&amp;"|"&amp;D1530&amp;"|"&amp;E1530&amp;"L"&amp;F1530)</f>
        <v/>
      </c>
    </row>
    <row r="1531">
      <c r="Z1531">
        <f>IF(A1531="","",COUNTIF('40_RAP_DE'!$C:$C,A1531))</f>
        <v/>
      </c>
      <c r="AA1531">
        <f>IF(A1531="","","JFT|"&amp;C1531&amp;"|"&amp;D1531&amp;"|"&amp;E1531&amp;"L"&amp;F1531)</f>
        <v/>
      </c>
    </row>
    <row r="1532">
      <c r="Z1532">
        <f>IF(A1532="","",COUNTIF('40_RAP_DE'!$C:$C,A1532))</f>
        <v/>
      </c>
      <c r="AA1532">
        <f>IF(A1532="","","JFT|"&amp;C1532&amp;"|"&amp;D1532&amp;"|"&amp;E1532&amp;"L"&amp;F1532)</f>
        <v/>
      </c>
    </row>
    <row r="1533">
      <c r="Z1533">
        <f>IF(A1533="","",COUNTIF('40_RAP_DE'!$C:$C,A1533))</f>
        <v/>
      </c>
      <c r="AA1533">
        <f>IF(A1533="","","JFT|"&amp;C1533&amp;"|"&amp;D1533&amp;"|"&amp;E1533&amp;"L"&amp;F1533)</f>
        <v/>
      </c>
    </row>
    <row r="1534">
      <c r="Z1534">
        <f>IF(A1534="","",COUNTIF('40_RAP_DE'!$C:$C,A1534))</f>
        <v/>
      </c>
      <c r="AA1534">
        <f>IF(A1534="","","JFT|"&amp;C1534&amp;"|"&amp;D1534&amp;"|"&amp;E1534&amp;"L"&amp;F1534)</f>
        <v/>
      </c>
    </row>
    <row r="1535">
      <c r="Z1535">
        <f>IF(A1535="","",COUNTIF('40_RAP_DE'!$C:$C,A1535))</f>
        <v/>
      </c>
      <c r="AA1535">
        <f>IF(A1535="","","JFT|"&amp;C1535&amp;"|"&amp;D1535&amp;"|"&amp;E1535&amp;"L"&amp;F1535)</f>
        <v/>
      </c>
    </row>
    <row r="1536">
      <c r="Z1536">
        <f>IF(A1536="","",COUNTIF('40_RAP_DE'!$C:$C,A1536))</f>
        <v/>
      </c>
      <c r="AA1536">
        <f>IF(A1536="","","JFT|"&amp;C1536&amp;"|"&amp;D1536&amp;"|"&amp;E1536&amp;"L"&amp;F1536)</f>
        <v/>
      </c>
    </row>
    <row r="1537">
      <c r="Z1537">
        <f>IF(A1537="","",COUNTIF('40_RAP_DE'!$C:$C,A1537))</f>
        <v/>
      </c>
      <c r="AA1537">
        <f>IF(A1537="","","JFT|"&amp;C1537&amp;"|"&amp;D1537&amp;"|"&amp;E1537&amp;"L"&amp;F1537)</f>
        <v/>
      </c>
    </row>
    <row r="1538">
      <c r="Z1538">
        <f>IF(A1538="","",COUNTIF('40_RAP_DE'!$C:$C,A1538))</f>
        <v/>
      </c>
      <c r="AA1538">
        <f>IF(A1538="","","JFT|"&amp;C1538&amp;"|"&amp;D1538&amp;"|"&amp;E1538&amp;"L"&amp;F1538)</f>
        <v/>
      </c>
    </row>
    <row r="1539">
      <c r="Z1539">
        <f>IF(A1539="","",COUNTIF('40_RAP_DE'!$C:$C,A1539))</f>
        <v/>
      </c>
      <c r="AA1539">
        <f>IF(A1539="","","JFT|"&amp;C1539&amp;"|"&amp;D1539&amp;"|"&amp;E1539&amp;"L"&amp;F1539)</f>
        <v/>
      </c>
    </row>
    <row r="1540">
      <c r="Z1540">
        <f>IF(A1540="","",COUNTIF('40_RAP_DE'!$C:$C,A1540))</f>
        <v/>
      </c>
      <c r="AA1540">
        <f>IF(A1540="","","JFT|"&amp;C1540&amp;"|"&amp;D1540&amp;"|"&amp;E1540&amp;"L"&amp;F1540)</f>
        <v/>
      </c>
    </row>
    <row r="1541">
      <c r="Z1541">
        <f>IF(A1541="","",COUNTIF('40_RAP_DE'!$C:$C,A1541))</f>
        <v/>
      </c>
      <c r="AA1541">
        <f>IF(A1541="","","JFT|"&amp;C1541&amp;"|"&amp;D1541&amp;"|"&amp;E1541&amp;"L"&amp;F1541)</f>
        <v/>
      </c>
    </row>
    <row r="1542">
      <c r="Z1542">
        <f>IF(A1542="","",COUNTIF('40_RAP_DE'!$C:$C,A1542))</f>
        <v/>
      </c>
      <c r="AA1542">
        <f>IF(A1542="","","JFT|"&amp;C1542&amp;"|"&amp;D1542&amp;"|"&amp;E1542&amp;"L"&amp;F1542)</f>
        <v/>
      </c>
    </row>
    <row r="1543">
      <c r="Z1543">
        <f>IF(A1543="","",COUNTIF('40_RAP_DE'!$C:$C,A1543))</f>
        <v/>
      </c>
      <c r="AA1543">
        <f>IF(A1543="","","JFT|"&amp;C1543&amp;"|"&amp;D1543&amp;"|"&amp;E1543&amp;"L"&amp;F1543)</f>
        <v/>
      </c>
    </row>
    <row r="1544">
      <c r="Z1544">
        <f>IF(A1544="","",COUNTIF('40_RAP_DE'!$C:$C,A1544))</f>
        <v/>
      </c>
      <c r="AA1544">
        <f>IF(A1544="","","JFT|"&amp;C1544&amp;"|"&amp;D1544&amp;"|"&amp;E1544&amp;"L"&amp;F1544)</f>
        <v/>
      </c>
    </row>
    <row r="1545">
      <c r="Z1545">
        <f>IF(A1545="","",COUNTIF('40_RAP_DE'!$C:$C,A1545))</f>
        <v/>
      </c>
      <c r="AA1545">
        <f>IF(A1545="","","JFT|"&amp;C1545&amp;"|"&amp;D1545&amp;"|"&amp;E1545&amp;"L"&amp;F1545)</f>
        <v/>
      </c>
    </row>
    <row r="1546">
      <c r="Z1546">
        <f>IF(A1546="","",COUNTIF('40_RAP_DE'!$C:$C,A1546))</f>
        <v/>
      </c>
      <c r="AA1546">
        <f>IF(A1546="","","JFT|"&amp;C1546&amp;"|"&amp;D1546&amp;"|"&amp;E1546&amp;"L"&amp;F1546)</f>
        <v/>
      </c>
    </row>
    <row r="1547">
      <c r="Z1547">
        <f>IF(A1547="","",COUNTIF('40_RAP_DE'!$C:$C,A1547))</f>
        <v/>
      </c>
      <c r="AA1547">
        <f>IF(A1547="","","JFT|"&amp;C1547&amp;"|"&amp;D1547&amp;"|"&amp;E1547&amp;"L"&amp;F1547)</f>
        <v/>
      </c>
    </row>
    <row r="1548">
      <c r="Z1548">
        <f>IF(A1548="","",COUNTIF('40_RAP_DE'!$C:$C,A1548))</f>
        <v/>
      </c>
      <c r="AA1548">
        <f>IF(A1548="","","JFT|"&amp;C1548&amp;"|"&amp;D1548&amp;"|"&amp;E1548&amp;"L"&amp;F1548)</f>
        <v/>
      </c>
    </row>
    <row r="1549">
      <c r="Z1549">
        <f>IF(A1549="","",COUNTIF('40_RAP_DE'!$C:$C,A1549))</f>
        <v/>
      </c>
      <c r="AA1549">
        <f>IF(A1549="","","JFT|"&amp;C1549&amp;"|"&amp;D1549&amp;"|"&amp;E1549&amp;"L"&amp;F1549)</f>
        <v/>
      </c>
    </row>
    <row r="1550">
      <c r="Z1550">
        <f>IF(A1550="","",COUNTIF('40_RAP_DE'!$C:$C,A1550))</f>
        <v/>
      </c>
      <c r="AA1550">
        <f>IF(A1550="","","JFT|"&amp;C1550&amp;"|"&amp;D1550&amp;"|"&amp;E1550&amp;"L"&amp;F1550)</f>
        <v/>
      </c>
    </row>
    <row r="1551">
      <c r="Z1551">
        <f>IF(A1551="","",COUNTIF('40_RAP_DE'!$C:$C,A1551))</f>
        <v/>
      </c>
      <c r="AA1551">
        <f>IF(A1551="","","JFT|"&amp;C1551&amp;"|"&amp;D1551&amp;"|"&amp;E1551&amp;"L"&amp;F1551)</f>
        <v/>
      </c>
    </row>
    <row r="1552">
      <c r="Z1552">
        <f>IF(A1552="","",COUNTIF('40_RAP_DE'!$C:$C,A1552))</f>
        <v/>
      </c>
      <c r="AA1552">
        <f>IF(A1552="","","JFT|"&amp;C1552&amp;"|"&amp;D1552&amp;"|"&amp;E1552&amp;"L"&amp;F1552)</f>
        <v/>
      </c>
    </row>
    <row r="1553">
      <c r="Z1553">
        <f>IF(A1553="","",COUNTIF('40_RAP_DE'!$C:$C,A1553))</f>
        <v/>
      </c>
      <c r="AA1553">
        <f>IF(A1553="","","JFT|"&amp;C1553&amp;"|"&amp;D1553&amp;"|"&amp;E1553&amp;"L"&amp;F1553)</f>
        <v/>
      </c>
    </row>
    <row r="1554">
      <c r="Z1554">
        <f>IF(A1554="","",COUNTIF('40_RAP_DE'!$C:$C,A1554))</f>
        <v/>
      </c>
      <c r="AA1554">
        <f>IF(A1554="","","JFT|"&amp;C1554&amp;"|"&amp;D1554&amp;"|"&amp;E1554&amp;"L"&amp;F1554)</f>
        <v/>
      </c>
    </row>
    <row r="1555">
      <c r="Z1555">
        <f>IF(A1555="","",COUNTIF('40_RAP_DE'!$C:$C,A1555))</f>
        <v/>
      </c>
      <c r="AA1555">
        <f>IF(A1555="","","JFT|"&amp;C1555&amp;"|"&amp;D1555&amp;"|"&amp;E1555&amp;"L"&amp;F1555)</f>
        <v/>
      </c>
    </row>
    <row r="1556">
      <c r="Z1556">
        <f>IF(A1556="","",COUNTIF('40_RAP_DE'!$C:$C,A1556))</f>
        <v/>
      </c>
      <c r="AA1556">
        <f>IF(A1556="","","JFT|"&amp;C1556&amp;"|"&amp;D1556&amp;"|"&amp;E1556&amp;"L"&amp;F1556)</f>
        <v/>
      </c>
    </row>
    <row r="1557">
      <c r="Z1557">
        <f>IF(A1557="","",COUNTIF('40_RAP_DE'!$C:$C,A1557))</f>
        <v/>
      </c>
      <c r="AA1557">
        <f>IF(A1557="","","JFT|"&amp;C1557&amp;"|"&amp;D1557&amp;"|"&amp;E1557&amp;"L"&amp;F1557)</f>
        <v/>
      </c>
    </row>
    <row r="1558">
      <c r="Z1558">
        <f>IF(A1558="","",COUNTIF('40_RAP_DE'!$C:$C,A1558))</f>
        <v/>
      </c>
      <c r="AA1558">
        <f>IF(A1558="","","JFT|"&amp;C1558&amp;"|"&amp;D1558&amp;"|"&amp;E1558&amp;"L"&amp;F1558)</f>
        <v/>
      </c>
    </row>
    <row r="1559">
      <c r="Z1559">
        <f>IF(A1559="","",COUNTIF('40_RAP_DE'!$C:$C,A1559))</f>
        <v/>
      </c>
      <c r="AA1559">
        <f>IF(A1559="","","JFT|"&amp;C1559&amp;"|"&amp;D1559&amp;"|"&amp;E1559&amp;"L"&amp;F1559)</f>
        <v/>
      </c>
    </row>
    <row r="1560">
      <c r="Z1560">
        <f>IF(A1560="","",COUNTIF('40_RAP_DE'!$C:$C,A1560))</f>
        <v/>
      </c>
      <c r="AA1560">
        <f>IF(A1560="","","JFT|"&amp;C1560&amp;"|"&amp;D1560&amp;"|"&amp;E1560&amp;"L"&amp;F1560)</f>
        <v/>
      </c>
    </row>
    <row r="1561">
      <c r="Z1561">
        <f>IF(A1561="","",COUNTIF('40_RAP_DE'!$C:$C,A1561))</f>
        <v/>
      </c>
      <c r="AA1561">
        <f>IF(A1561="","","JFT|"&amp;C1561&amp;"|"&amp;D1561&amp;"|"&amp;E1561&amp;"L"&amp;F1561)</f>
        <v/>
      </c>
    </row>
    <row r="1562">
      <c r="Z1562">
        <f>IF(A1562="","",COUNTIF('40_RAP_DE'!$C:$C,A1562))</f>
        <v/>
      </c>
      <c r="AA1562">
        <f>IF(A1562="","","JFT|"&amp;C1562&amp;"|"&amp;D1562&amp;"|"&amp;E1562&amp;"L"&amp;F1562)</f>
        <v/>
      </c>
    </row>
    <row r="1563">
      <c r="Z1563">
        <f>IF(A1563="","",COUNTIF('40_RAP_DE'!$C:$C,A1563))</f>
        <v/>
      </c>
      <c r="AA1563">
        <f>IF(A1563="","","JFT|"&amp;C1563&amp;"|"&amp;D1563&amp;"|"&amp;E1563&amp;"L"&amp;F1563)</f>
        <v/>
      </c>
    </row>
    <row r="1564">
      <c r="Z1564">
        <f>IF(A1564="","",COUNTIF('40_RAP_DE'!$C:$C,A1564))</f>
        <v/>
      </c>
      <c r="AA1564">
        <f>IF(A1564="","","JFT|"&amp;C1564&amp;"|"&amp;D1564&amp;"|"&amp;E1564&amp;"L"&amp;F1564)</f>
        <v/>
      </c>
    </row>
    <row r="1565">
      <c r="Z1565">
        <f>IF(A1565="","",COUNTIF('40_RAP_DE'!$C:$C,A1565))</f>
        <v/>
      </c>
      <c r="AA1565">
        <f>IF(A1565="","","JFT|"&amp;C1565&amp;"|"&amp;D1565&amp;"|"&amp;E1565&amp;"L"&amp;F1565)</f>
        <v/>
      </c>
    </row>
    <row r="1566">
      <c r="Z1566">
        <f>IF(A1566="","",COUNTIF('40_RAP_DE'!$C:$C,A1566))</f>
        <v/>
      </c>
      <c r="AA1566">
        <f>IF(A1566="","","JFT|"&amp;C1566&amp;"|"&amp;D1566&amp;"|"&amp;E1566&amp;"L"&amp;F1566)</f>
        <v/>
      </c>
    </row>
    <row r="1567">
      <c r="Z1567">
        <f>IF(A1567="","",COUNTIF('40_RAP_DE'!$C:$C,A1567))</f>
        <v/>
      </c>
      <c r="AA1567">
        <f>IF(A1567="","","JFT|"&amp;C1567&amp;"|"&amp;D1567&amp;"|"&amp;E1567&amp;"L"&amp;F1567)</f>
        <v/>
      </c>
    </row>
    <row r="1568">
      <c r="Z1568">
        <f>IF(A1568="","",COUNTIF('40_RAP_DE'!$C:$C,A1568))</f>
        <v/>
      </c>
      <c r="AA1568">
        <f>IF(A1568="","","JFT|"&amp;C1568&amp;"|"&amp;D1568&amp;"|"&amp;E1568&amp;"L"&amp;F1568)</f>
        <v/>
      </c>
    </row>
    <row r="1569">
      <c r="Z1569">
        <f>IF(A1569="","",COUNTIF('40_RAP_DE'!$C:$C,A1569))</f>
        <v/>
      </c>
      <c r="AA1569">
        <f>IF(A1569="","","JFT|"&amp;C1569&amp;"|"&amp;D1569&amp;"|"&amp;E1569&amp;"L"&amp;F1569)</f>
        <v/>
      </c>
    </row>
    <row r="1570">
      <c r="Z1570">
        <f>IF(A1570="","",COUNTIF('40_RAP_DE'!$C:$C,A1570))</f>
        <v/>
      </c>
      <c r="AA1570">
        <f>IF(A1570="","","JFT|"&amp;C1570&amp;"|"&amp;D1570&amp;"|"&amp;E1570&amp;"L"&amp;F1570)</f>
        <v/>
      </c>
    </row>
    <row r="1571">
      <c r="Z1571">
        <f>IF(A1571="","",COUNTIF('40_RAP_DE'!$C:$C,A1571))</f>
        <v/>
      </c>
      <c r="AA1571">
        <f>IF(A1571="","","JFT|"&amp;C1571&amp;"|"&amp;D1571&amp;"|"&amp;E1571&amp;"L"&amp;F1571)</f>
        <v/>
      </c>
    </row>
    <row r="1572">
      <c r="Z1572">
        <f>IF(A1572="","",COUNTIF('40_RAP_DE'!$C:$C,A1572))</f>
        <v/>
      </c>
      <c r="AA1572">
        <f>IF(A1572="","","JFT|"&amp;C1572&amp;"|"&amp;D1572&amp;"|"&amp;E1572&amp;"L"&amp;F1572)</f>
        <v/>
      </c>
    </row>
    <row r="1573">
      <c r="Z1573">
        <f>IF(A1573="","",COUNTIF('40_RAP_DE'!$C:$C,A1573))</f>
        <v/>
      </c>
      <c r="AA1573">
        <f>IF(A1573="","","JFT|"&amp;C1573&amp;"|"&amp;D1573&amp;"|"&amp;E1573&amp;"L"&amp;F1573)</f>
        <v/>
      </c>
    </row>
    <row r="1574">
      <c r="Z1574">
        <f>IF(A1574="","",COUNTIF('40_RAP_DE'!$C:$C,A1574))</f>
        <v/>
      </c>
      <c r="AA1574">
        <f>IF(A1574="","","JFT|"&amp;C1574&amp;"|"&amp;D1574&amp;"|"&amp;E1574&amp;"L"&amp;F1574)</f>
        <v/>
      </c>
    </row>
    <row r="1575">
      <c r="Z1575">
        <f>IF(A1575="","",COUNTIF('40_RAP_DE'!$C:$C,A1575))</f>
        <v/>
      </c>
      <c r="AA1575">
        <f>IF(A1575="","","JFT|"&amp;C1575&amp;"|"&amp;D1575&amp;"|"&amp;E1575&amp;"L"&amp;F1575)</f>
        <v/>
      </c>
    </row>
    <row r="1576">
      <c r="Z1576">
        <f>IF(A1576="","",COUNTIF('40_RAP_DE'!$C:$C,A1576))</f>
        <v/>
      </c>
      <c r="AA1576">
        <f>IF(A1576="","","JFT|"&amp;C1576&amp;"|"&amp;D1576&amp;"|"&amp;E1576&amp;"L"&amp;F1576)</f>
        <v/>
      </c>
    </row>
    <row r="1577">
      <c r="Z1577">
        <f>IF(A1577="","",COUNTIF('40_RAP_DE'!$C:$C,A1577))</f>
        <v/>
      </c>
      <c r="AA1577">
        <f>IF(A1577="","","JFT|"&amp;C1577&amp;"|"&amp;D1577&amp;"|"&amp;E1577&amp;"L"&amp;F1577)</f>
        <v/>
      </c>
    </row>
    <row r="1578">
      <c r="Z1578">
        <f>IF(A1578="","",COUNTIF('40_RAP_DE'!$C:$C,A1578))</f>
        <v/>
      </c>
      <c r="AA1578">
        <f>IF(A1578="","","JFT|"&amp;C1578&amp;"|"&amp;D1578&amp;"|"&amp;E1578&amp;"L"&amp;F1578)</f>
        <v/>
      </c>
    </row>
    <row r="1579">
      <c r="Z1579">
        <f>IF(A1579="","",COUNTIF('40_RAP_DE'!$C:$C,A1579))</f>
        <v/>
      </c>
      <c r="AA1579">
        <f>IF(A1579="","","JFT|"&amp;C1579&amp;"|"&amp;D1579&amp;"|"&amp;E1579&amp;"L"&amp;F1579)</f>
        <v/>
      </c>
    </row>
    <row r="1580">
      <c r="Z1580">
        <f>IF(A1580="","",COUNTIF('40_RAP_DE'!$C:$C,A1580))</f>
        <v/>
      </c>
      <c r="AA1580">
        <f>IF(A1580="","","JFT|"&amp;C1580&amp;"|"&amp;D1580&amp;"|"&amp;E1580&amp;"L"&amp;F1580)</f>
        <v/>
      </c>
    </row>
    <row r="1581">
      <c r="Z1581">
        <f>IF(A1581="","",COUNTIF('40_RAP_DE'!$C:$C,A1581))</f>
        <v/>
      </c>
      <c r="AA1581">
        <f>IF(A1581="","","JFT|"&amp;C1581&amp;"|"&amp;D1581&amp;"|"&amp;E1581&amp;"L"&amp;F1581)</f>
        <v/>
      </c>
    </row>
    <row r="1582">
      <c r="Z1582">
        <f>IF(A1582="","",COUNTIF('40_RAP_DE'!$C:$C,A1582))</f>
        <v/>
      </c>
      <c r="AA1582">
        <f>IF(A1582="","","JFT|"&amp;C1582&amp;"|"&amp;D1582&amp;"|"&amp;E1582&amp;"L"&amp;F1582)</f>
        <v/>
      </c>
    </row>
    <row r="1583">
      <c r="Z1583">
        <f>IF(A1583="","",COUNTIF('40_RAP_DE'!$C:$C,A1583))</f>
        <v/>
      </c>
      <c r="AA1583">
        <f>IF(A1583="","","JFT|"&amp;C1583&amp;"|"&amp;D1583&amp;"|"&amp;E1583&amp;"L"&amp;F1583)</f>
        <v/>
      </c>
    </row>
    <row r="1584">
      <c r="Z1584">
        <f>IF(A1584="","",COUNTIF('40_RAP_DE'!$C:$C,A1584))</f>
        <v/>
      </c>
      <c r="AA1584">
        <f>IF(A1584="","","JFT|"&amp;C1584&amp;"|"&amp;D1584&amp;"|"&amp;E1584&amp;"L"&amp;F1584)</f>
        <v/>
      </c>
    </row>
    <row r="1585">
      <c r="Z1585">
        <f>IF(A1585="","",COUNTIF('40_RAP_DE'!$C:$C,A1585))</f>
        <v/>
      </c>
      <c r="AA1585">
        <f>IF(A1585="","","JFT|"&amp;C1585&amp;"|"&amp;D1585&amp;"|"&amp;E1585&amp;"L"&amp;F1585)</f>
        <v/>
      </c>
    </row>
    <row r="1586">
      <c r="Z1586">
        <f>IF(A1586="","",COUNTIF('40_RAP_DE'!$C:$C,A1586))</f>
        <v/>
      </c>
      <c r="AA1586">
        <f>IF(A1586="","","JFT|"&amp;C1586&amp;"|"&amp;D1586&amp;"|"&amp;E1586&amp;"L"&amp;F1586)</f>
        <v/>
      </c>
    </row>
    <row r="1587">
      <c r="Z1587">
        <f>IF(A1587="","",COUNTIF('40_RAP_DE'!$C:$C,A1587))</f>
        <v/>
      </c>
      <c r="AA1587">
        <f>IF(A1587="","","JFT|"&amp;C1587&amp;"|"&amp;D1587&amp;"|"&amp;E1587&amp;"L"&amp;F1587)</f>
        <v/>
      </c>
    </row>
    <row r="1588">
      <c r="Z1588">
        <f>IF(A1588="","",COUNTIF('40_RAP_DE'!$C:$C,A1588))</f>
        <v/>
      </c>
      <c r="AA1588">
        <f>IF(A1588="","","JFT|"&amp;C1588&amp;"|"&amp;D1588&amp;"|"&amp;E1588&amp;"L"&amp;F1588)</f>
        <v/>
      </c>
    </row>
    <row r="1589">
      <c r="Z1589">
        <f>IF(A1589="","",COUNTIF('40_RAP_DE'!$C:$C,A1589))</f>
        <v/>
      </c>
      <c r="AA1589">
        <f>IF(A1589="","","JFT|"&amp;C1589&amp;"|"&amp;D1589&amp;"|"&amp;E1589&amp;"L"&amp;F1589)</f>
        <v/>
      </c>
    </row>
    <row r="1590">
      <c r="Z1590">
        <f>IF(A1590="","",COUNTIF('40_RAP_DE'!$C:$C,A1590))</f>
        <v/>
      </c>
      <c r="AA1590">
        <f>IF(A1590="","","JFT|"&amp;C1590&amp;"|"&amp;D1590&amp;"|"&amp;E1590&amp;"L"&amp;F1590)</f>
        <v/>
      </c>
    </row>
    <row r="1591">
      <c r="Z1591">
        <f>IF(A1591="","",COUNTIF('40_RAP_DE'!$C:$C,A1591))</f>
        <v/>
      </c>
      <c r="AA1591">
        <f>IF(A1591="","","JFT|"&amp;C1591&amp;"|"&amp;D1591&amp;"|"&amp;E1591&amp;"L"&amp;F1591)</f>
        <v/>
      </c>
    </row>
    <row r="1592">
      <c r="Z1592">
        <f>IF(A1592="","",COUNTIF('40_RAP_DE'!$C:$C,A1592))</f>
        <v/>
      </c>
      <c r="AA1592">
        <f>IF(A1592="","","JFT|"&amp;C1592&amp;"|"&amp;D1592&amp;"|"&amp;E1592&amp;"L"&amp;F1592)</f>
        <v/>
      </c>
    </row>
    <row r="1593">
      <c r="Z1593">
        <f>IF(A1593="","",COUNTIF('40_RAP_DE'!$C:$C,A1593))</f>
        <v/>
      </c>
      <c r="AA1593">
        <f>IF(A1593="","","JFT|"&amp;C1593&amp;"|"&amp;D1593&amp;"|"&amp;E1593&amp;"L"&amp;F1593)</f>
        <v/>
      </c>
    </row>
    <row r="1594">
      <c r="Z1594">
        <f>IF(A1594="","",COUNTIF('40_RAP_DE'!$C:$C,A1594))</f>
        <v/>
      </c>
      <c r="AA1594">
        <f>IF(A1594="","","JFT|"&amp;C1594&amp;"|"&amp;D1594&amp;"|"&amp;E1594&amp;"L"&amp;F1594)</f>
        <v/>
      </c>
    </row>
    <row r="1595">
      <c r="Z1595">
        <f>IF(A1595="","",COUNTIF('40_RAP_DE'!$C:$C,A1595))</f>
        <v/>
      </c>
      <c r="AA1595">
        <f>IF(A1595="","","JFT|"&amp;C1595&amp;"|"&amp;D1595&amp;"|"&amp;E1595&amp;"L"&amp;F1595)</f>
        <v/>
      </c>
    </row>
    <row r="1596">
      <c r="Z1596">
        <f>IF(A1596="","",COUNTIF('40_RAP_DE'!$C:$C,A1596))</f>
        <v/>
      </c>
      <c r="AA1596">
        <f>IF(A1596="","","JFT|"&amp;C1596&amp;"|"&amp;D1596&amp;"|"&amp;E1596&amp;"L"&amp;F1596)</f>
        <v/>
      </c>
    </row>
    <row r="1597">
      <c r="Z1597">
        <f>IF(A1597="","",COUNTIF('40_RAP_DE'!$C:$C,A1597))</f>
        <v/>
      </c>
      <c r="AA1597">
        <f>IF(A1597="","","JFT|"&amp;C1597&amp;"|"&amp;D1597&amp;"|"&amp;E1597&amp;"L"&amp;F1597)</f>
        <v/>
      </c>
    </row>
    <row r="1598">
      <c r="Z1598">
        <f>IF(A1598="","",COUNTIF('40_RAP_DE'!$C:$C,A1598))</f>
        <v/>
      </c>
      <c r="AA1598">
        <f>IF(A1598="","","JFT|"&amp;C1598&amp;"|"&amp;D1598&amp;"|"&amp;E1598&amp;"L"&amp;F1598)</f>
        <v/>
      </c>
    </row>
    <row r="1599">
      <c r="Z1599">
        <f>IF(A1599="","",COUNTIF('40_RAP_DE'!$C:$C,A1599))</f>
        <v/>
      </c>
      <c r="AA1599">
        <f>IF(A1599="","","JFT|"&amp;C1599&amp;"|"&amp;D1599&amp;"|"&amp;E1599&amp;"L"&amp;F1599)</f>
        <v/>
      </c>
    </row>
    <row r="1600">
      <c r="Z1600">
        <f>IF(A1600="","",COUNTIF('40_RAP_DE'!$C:$C,A1600))</f>
        <v/>
      </c>
      <c r="AA1600">
        <f>IF(A1600="","","JFT|"&amp;C1600&amp;"|"&amp;D1600&amp;"|"&amp;E1600&amp;"L"&amp;F1600)</f>
        <v/>
      </c>
    </row>
    <row r="1601">
      <c r="Z1601">
        <f>IF(A1601="","",COUNTIF('40_RAP_DE'!$C:$C,A1601))</f>
        <v/>
      </c>
      <c r="AA1601">
        <f>IF(A1601="","","JFT|"&amp;C1601&amp;"|"&amp;D1601&amp;"|"&amp;E1601&amp;"L"&amp;F1601)</f>
        <v/>
      </c>
    </row>
    <row r="1602">
      <c r="Z1602">
        <f>IF(A1602="","",COUNTIF('40_RAP_DE'!$C:$C,A1602))</f>
        <v/>
      </c>
      <c r="AA1602">
        <f>IF(A1602="","","JFT|"&amp;C1602&amp;"|"&amp;D1602&amp;"|"&amp;E1602&amp;"L"&amp;F1602)</f>
        <v/>
      </c>
    </row>
    <row r="1603">
      <c r="Z1603">
        <f>IF(A1603="","",COUNTIF('40_RAP_DE'!$C:$C,A1603))</f>
        <v/>
      </c>
      <c r="AA1603">
        <f>IF(A1603="","","JFT|"&amp;C1603&amp;"|"&amp;D1603&amp;"|"&amp;E1603&amp;"L"&amp;F1603)</f>
        <v/>
      </c>
    </row>
    <row r="1604">
      <c r="Z1604">
        <f>IF(A1604="","",COUNTIF('40_RAP_DE'!$C:$C,A1604))</f>
        <v/>
      </c>
      <c r="AA1604">
        <f>IF(A1604="","","JFT|"&amp;C1604&amp;"|"&amp;D1604&amp;"|"&amp;E1604&amp;"L"&amp;F1604)</f>
        <v/>
      </c>
    </row>
    <row r="1605">
      <c r="Z1605">
        <f>IF(A1605="","",COUNTIF('40_RAP_DE'!$C:$C,A1605))</f>
        <v/>
      </c>
      <c r="AA1605">
        <f>IF(A1605="","","JFT|"&amp;C1605&amp;"|"&amp;D1605&amp;"|"&amp;E1605&amp;"L"&amp;F1605)</f>
        <v/>
      </c>
    </row>
    <row r="1606">
      <c r="Z1606">
        <f>IF(A1606="","",COUNTIF('40_RAP_DE'!$C:$C,A1606))</f>
        <v/>
      </c>
      <c r="AA1606">
        <f>IF(A1606="","","JFT|"&amp;C1606&amp;"|"&amp;D1606&amp;"|"&amp;E1606&amp;"L"&amp;F1606)</f>
        <v/>
      </c>
    </row>
    <row r="1607">
      <c r="Z1607">
        <f>IF(A1607="","",COUNTIF('40_RAP_DE'!$C:$C,A1607))</f>
        <v/>
      </c>
      <c r="AA1607">
        <f>IF(A1607="","","JFT|"&amp;C1607&amp;"|"&amp;D1607&amp;"|"&amp;E1607&amp;"L"&amp;F1607)</f>
        <v/>
      </c>
    </row>
    <row r="1608">
      <c r="Z1608">
        <f>IF(A1608="","",COUNTIF('40_RAP_DE'!$C:$C,A1608))</f>
        <v/>
      </c>
      <c r="AA1608">
        <f>IF(A1608="","","JFT|"&amp;C1608&amp;"|"&amp;D1608&amp;"|"&amp;E1608&amp;"L"&amp;F1608)</f>
        <v/>
      </c>
    </row>
    <row r="1609">
      <c r="Z1609">
        <f>IF(A1609="","",COUNTIF('40_RAP_DE'!$C:$C,A1609))</f>
        <v/>
      </c>
      <c r="AA1609">
        <f>IF(A1609="","","JFT|"&amp;C1609&amp;"|"&amp;D1609&amp;"|"&amp;E1609&amp;"L"&amp;F1609)</f>
        <v/>
      </c>
    </row>
    <row r="1610">
      <c r="Z1610">
        <f>IF(A1610="","",COUNTIF('40_RAP_DE'!$C:$C,A1610))</f>
        <v/>
      </c>
      <c r="AA1610">
        <f>IF(A1610="","","JFT|"&amp;C1610&amp;"|"&amp;D1610&amp;"|"&amp;E1610&amp;"L"&amp;F1610)</f>
        <v/>
      </c>
    </row>
    <row r="1611">
      <c r="Z1611">
        <f>IF(A1611="","",COUNTIF('40_RAP_DE'!$C:$C,A1611))</f>
        <v/>
      </c>
      <c r="AA1611">
        <f>IF(A1611="","","JFT|"&amp;C1611&amp;"|"&amp;D1611&amp;"|"&amp;E1611&amp;"L"&amp;F1611)</f>
        <v/>
      </c>
    </row>
    <row r="1612">
      <c r="Z1612">
        <f>IF(A1612="","",COUNTIF('40_RAP_DE'!$C:$C,A1612))</f>
        <v/>
      </c>
      <c r="AA1612">
        <f>IF(A1612="","","JFT|"&amp;C1612&amp;"|"&amp;D1612&amp;"|"&amp;E1612&amp;"L"&amp;F1612)</f>
        <v/>
      </c>
    </row>
    <row r="1613">
      <c r="Z1613">
        <f>IF(A1613="","",COUNTIF('40_RAP_DE'!$C:$C,A1613))</f>
        <v/>
      </c>
      <c r="AA1613">
        <f>IF(A1613="","","JFT|"&amp;C1613&amp;"|"&amp;D1613&amp;"|"&amp;E1613&amp;"L"&amp;F1613)</f>
        <v/>
      </c>
    </row>
    <row r="1614">
      <c r="Z1614">
        <f>IF(A1614="","",COUNTIF('40_RAP_DE'!$C:$C,A1614))</f>
        <v/>
      </c>
      <c r="AA1614">
        <f>IF(A1614="","","JFT|"&amp;C1614&amp;"|"&amp;D1614&amp;"|"&amp;E1614&amp;"L"&amp;F1614)</f>
        <v/>
      </c>
    </row>
    <row r="1615">
      <c r="Z1615">
        <f>IF(A1615="","",COUNTIF('40_RAP_DE'!$C:$C,A1615))</f>
        <v/>
      </c>
      <c r="AA1615">
        <f>IF(A1615="","","JFT|"&amp;C1615&amp;"|"&amp;D1615&amp;"|"&amp;E1615&amp;"L"&amp;F1615)</f>
        <v/>
      </c>
    </row>
    <row r="1616">
      <c r="Z1616">
        <f>IF(A1616="","",COUNTIF('40_RAP_DE'!$C:$C,A1616))</f>
        <v/>
      </c>
      <c r="AA1616">
        <f>IF(A1616="","","JFT|"&amp;C1616&amp;"|"&amp;D1616&amp;"|"&amp;E1616&amp;"L"&amp;F1616)</f>
        <v/>
      </c>
    </row>
    <row r="1617">
      <c r="Z1617">
        <f>IF(A1617="","",COUNTIF('40_RAP_DE'!$C:$C,A1617))</f>
        <v/>
      </c>
      <c r="AA1617">
        <f>IF(A1617="","","JFT|"&amp;C1617&amp;"|"&amp;D1617&amp;"|"&amp;E1617&amp;"L"&amp;F1617)</f>
        <v/>
      </c>
    </row>
    <row r="1618">
      <c r="Z1618">
        <f>IF(A1618="","",COUNTIF('40_RAP_DE'!$C:$C,A1618))</f>
        <v/>
      </c>
      <c r="AA1618">
        <f>IF(A1618="","","JFT|"&amp;C1618&amp;"|"&amp;D1618&amp;"|"&amp;E1618&amp;"L"&amp;F1618)</f>
        <v/>
      </c>
    </row>
    <row r="1619">
      <c r="Z1619">
        <f>IF(A1619="","",COUNTIF('40_RAP_DE'!$C:$C,A1619))</f>
        <v/>
      </c>
      <c r="AA1619">
        <f>IF(A1619="","","JFT|"&amp;C1619&amp;"|"&amp;D1619&amp;"|"&amp;E1619&amp;"L"&amp;F1619)</f>
        <v/>
      </c>
    </row>
    <row r="1620">
      <c r="Z1620">
        <f>IF(A1620="","",COUNTIF('40_RAP_DE'!$C:$C,A1620))</f>
        <v/>
      </c>
      <c r="AA1620">
        <f>IF(A1620="","","JFT|"&amp;C1620&amp;"|"&amp;D1620&amp;"|"&amp;E1620&amp;"L"&amp;F1620)</f>
        <v/>
      </c>
    </row>
    <row r="1621">
      <c r="Z1621">
        <f>IF(A1621="","",COUNTIF('40_RAP_DE'!$C:$C,A1621))</f>
        <v/>
      </c>
      <c r="AA1621">
        <f>IF(A1621="","","JFT|"&amp;C1621&amp;"|"&amp;D1621&amp;"|"&amp;E1621&amp;"L"&amp;F1621)</f>
        <v/>
      </c>
    </row>
    <row r="1622">
      <c r="Z1622">
        <f>IF(A1622="","",COUNTIF('40_RAP_DE'!$C:$C,A1622))</f>
        <v/>
      </c>
      <c r="AA1622">
        <f>IF(A1622="","","JFT|"&amp;C1622&amp;"|"&amp;D1622&amp;"|"&amp;E1622&amp;"L"&amp;F1622)</f>
        <v/>
      </c>
    </row>
    <row r="1623">
      <c r="Z1623">
        <f>IF(A1623="","",COUNTIF('40_RAP_DE'!$C:$C,A1623))</f>
        <v/>
      </c>
      <c r="AA1623">
        <f>IF(A1623="","","JFT|"&amp;C1623&amp;"|"&amp;D1623&amp;"|"&amp;E1623&amp;"L"&amp;F1623)</f>
        <v/>
      </c>
    </row>
    <row r="1624">
      <c r="Z1624">
        <f>IF(A1624="","",COUNTIF('40_RAP_DE'!$C:$C,A1624))</f>
        <v/>
      </c>
      <c r="AA1624">
        <f>IF(A1624="","","JFT|"&amp;C1624&amp;"|"&amp;D1624&amp;"|"&amp;E1624&amp;"L"&amp;F1624)</f>
        <v/>
      </c>
    </row>
    <row r="1625">
      <c r="Z1625">
        <f>IF(A1625="","",COUNTIF('40_RAP_DE'!$C:$C,A1625))</f>
        <v/>
      </c>
      <c r="AA1625">
        <f>IF(A1625="","","JFT|"&amp;C1625&amp;"|"&amp;D1625&amp;"|"&amp;E1625&amp;"L"&amp;F1625)</f>
        <v/>
      </c>
    </row>
    <row r="1626">
      <c r="Z1626">
        <f>IF(A1626="","",COUNTIF('40_RAP_DE'!$C:$C,A1626))</f>
        <v/>
      </c>
      <c r="AA1626">
        <f>IF(A1626="","","JFT|"&amp;C1626&amp;"|"&amp;D1626&amp;"|"&amp;E1626&amp;"L"&amp;F1626)</f>
        <v/>
      </c>
    </row>
    <row r="1627">
      <c r="Z1627">
        <f>IF(A1627="","",COUNTIF('40_RAP_DE'!$C:$C,A1627))</f>
        <v/>
      </c>
      <c r="AA1627">
        <f>IF(A1627="","","JFT|"&amp;C1627&amp;"|"&amp;D1627&amp;"|"&amp;E1627&amp;"L"&amp;F1627)</f>
        <v/>
      </c>
    </row>
    <row r="1628">
      <c r="Z1628">
        <f>IF(A1628="","",COUNTIF('40_RAP_DE'!$C:$C,A1628))</f>
        <v/>
      </c>
      <c r="AA1628">
        <f>IF(A1628="","","JFT|"&amp;C1628&amp;"|"&amp;D1628&amp;"|"&amp;E1628&amp;"L"&amp;F1628)</f>
        <v/>
      </c>
    </row>
    <row r="1629">
      <c r="Z1629">
        <f>IF(A1629="","",COUNTIF('40_RAP_DE'!$C:$C,A1629))</f>
        <v/>
      </c>
      <c r="AA1629">
        <f>IF(A1629="","","JFT|"&amp;C1629&amp;"|"&amp;D1629&amp;"|"&amp;E1629&amp;"L"&amp;F1629)</f>
        <v/>
      </c>
    </row>
    <row r="1630">
      <c r="Z1630">
        <f>IF(A1630="","",COUNTIF('40_RAP_DE'!$C:$C,A1630))</f>
        <v/>
      </c>
      <c r="AA1630">
        <f>IF(A1630="","","JFT|"&amp;C1630&amp;"|"&amp;D1630&amp;"|"&amp;E1630&amp;"L"&amp;F1630)</f>
        <v/>
      </c>
    </row>
    <row r="1631">
      <c r="Z1631">
        <f>IF(A1631="","",COUNTIF('40_RAP_DE'!$C:$C,A1631))</f>
        <v/>
      </c>
      <c r="AA1631">
        <f>IF(A1631="","","JFT|"&amp;C1631&amp;"|"&amp;D1631&amp;"|"&amp;E1631&amp;"L"&amp;F1631)</f>
        <v/>
      </c>
    </row>
    <row r="1632">
      <c r="Z1632">
        <f>IF(A1632="","",COUNTIF('40_RAP_DE'!$C:$C,A1632))</f>
        <v/>
      </c>
      <c r="AA1632">
        <f>IF(A1632="","","JFT|"&amp;C1632&amp;"|"&amp;D1632&amp;"|"&amp;E1632&amp;"L"&amp;F1632)</f>
        <v/>
      </c>
    </row>
    <row r="1633">
      <c r="Z1633">
        <f>IF(A1633="","",COUNTIF('40_RAP_DE'!$C:$C,A1633))</f>
        <v/>
      </c>
      <c r="AA1633">
        <f>IF(A1633="","","JFT|"&amp;C1633&amp;"|"&amp;D1633&amp;"|"&amp;E1633&amp;"L"&amp;F1633)</f>
        <v/>
      </c>
    </row>
    <row r="1634">
      <c r="Z1634">
        <f>IF(A1634="","",COUNTIF('40_RAP_DE'!$C:$C,A1634))</f>
        <v/>
      </c>
      <c r="AA1634">
        <f>IF(A1634="","","JFT|"&amp;C1634&amp;"|"&amp;D1634&amp;"|"&amp;E1634&amp;"L"&amp;F1634)</f>
        <v/>
      </c>
    </row>
    <row r="1635">
      <c r="Z1635">
        <f>IF(A1635="","",COUNTIF('40_RAP_DE'!$C:$C,A1635))</f>
        <v/>
      </c>
      <c r="AA1635">
        <f>IF(A1635="","","JFT|"&amp;C1635&amp;"|"&amp;D1635&amp;"|"&amp;E1635&amp;"L"&amp;F1635)</f>
        <v/>
      </c>
    </row>
    <row r="1636">
      <c r="Z1636">
        <f>IF(A1636="","",COUNTIF('40_RAP_DE'!$C:$C,A1636))</f>
        <v/>
      </c>
      <c r="AA1636">
        <f>IF(A1636="","","JFT|"&amp;C1636&amp;"|"&amp;D1636&amp;"|"&amp;E1636&amp;"L"&amp;F1636)</f>
        <v/>
      </c>
    </row>
    <row r="1637">
      <c r="Z1637">
        <f>IF(A1637="","",COUNTIF('40_RAP_DE'!$C:$C,A1637))</f>
        <v/>
      </c>
      <c r="AA1637">
        <f>IF(A1637="","","JFT|"&amp;C1637&amp;"|"&amp;D1637&amp;"|"&amp;E1637&amp;"L"&amp;F1637)</f>
        <v/>
      </c>
    </row>
    <row r="1638">
      <c r="Z1638">
        <f>IF(A1638="","",COUNTIF('40_RAP_DE'!$C:$C,A1638))</f>
        <v/>
      </c>
      <c r="AA1638">
        <f>IF(A1638="","","JFT|"&amp;C1638&amp;"|"&amp;D1638&amp;"|"&amp;E1638&amp;"L"&amp;F1638)</f>
        <v/>
      </c>
    </row>
    <row r="1639">
      <c r="Z1639">
        <f>IF(A1639="","",COUNTIF('40_RAP_DE'!$C:$C,A1639))</f>
        <v/>
      </c>
      <c r="AA1639">
        <f>IF(A1639="","","JFT|"&amp;C1639&amp;"|"&amp;D1639&amp;"|"&amp;E1639&amp;"L"&amp;F1639)</f>
        <v/>
      </c>
    </row>
    <row r="1640">
      <c r="Z1640">
        <f>IF(A1640="","",COUNTIF('40_RAP_DE'!$C:$C,A1640))</f>
        <v/>
      </c>
      <c r="AA1640">
        <f>IF(A1640="","","JFT|"&amp;C1640&amp;"|"&amp;D1640&amp;"|"&amp;E1640&amp;"L"&amp;F1640)</f>
        <v/>
      </c>
    </row>
    <row r="1641">
      <c r="Z1641">
        <f>IF(A1641="","",COUNTIF('40_RAP_DE'!$C:$C,A1641))</f>
        <v/>
      </c>
      <c r="AA1641">
        <f>IF(A1641="","","JFT|"&amp;C1641&amp;"|"&amp;D1641&amp;"|"&amp;E1641&amp;"L"&amp;F1641)</f>
        <v/>
      </c>
    </row>
    <row r="1642">
      <c r="Z1642">
        <f>IF(A1642="","",COUNTIF('40_RAP_DE'!$C:$C,A1642))</f>
        <v/>
      </c>
      <c r="AA1642">
        <f>IF(A1642="","","JFT|"&amp;C1642&amp;"|"&amp;D1642&amp;"|"&amp;E1642&amp;"L"&amp;F1642)</f>
        <v/>
      </c>
    </row>
    <row r="1643">
      <c r="Z1643">
        <f>IF(A1643="","",COUNTIF('40_RAP_DE'!$C:$C,A1643))</f>
        <v/>
      </c>
      <c r="AA1643">
        <f>IF(A1643="","","JFT|"&amp;C1643&amp;"|"&amp;D1643&amp;"|"&amp;E1643&amp;"L"&amp;F1643)</f>
        <v/>
      </c>
    </row>
    <row r="1644">
      <c r="Z1644">
        <f>IF(A1644="","",COUNTIF('40_RAP_DE'!$C:$C,A1644))</f>
        <v/>
      </c>
      <c r="AA1644">
        <f>IF(A1644="","","JFT|"&amp;C1644&amp;"|"&amp;D1644&amp;"|"&amp;E1644&amp;"L"&amp;F1644)</f>
        <v/>
      </c>
    </row>
    <row r="1645">
      <c r="Z1645">
        <f>IF(A1645="","",COUNTIF('40_RAP_DE'!$C:$C,A1645))</f>
        <v/>
      </c>
      <c r="AA1645">
        <f>IF(A1645="","","JFT|"&amp;C1645&amp;"|"&amp;D1645&amp;"|"&amp;E1645&amp;"L"&amp;F1645)</f>
        <v/>
      </c>
    </row>
    <row r="1646">
      <c r="Z1646">
        <f>IF(A1646="","",COUNTIF('40_RAP_DE'!$C:$C,A1646))</f>
        <v/>
      </c>
      <c r="AA1646">
        <f>IF(A1646="","","JFT|"&amp;C1646&amp;"|"&amp;D1646&amp;"|"&amp;E1646&amp;"L"&amp;F1646)</f>
        <v/>
      </c>
    </row>
    <row r="1647">
      <c r="Z1647">
        <f>IF(A1647="","",COUNTIF('40_RAP_DE'!$C:$C,A1647))</f>
        <v/>
      </c>
      <c r="AA1647">
        <f>IF(A1647="","","JFT|"&amp;C1647&amp;"|"&amp;D1647&amp;"|"&amp;E1647&amp;"L"&amp;F1647)</f>
        <v/>
      </c>
    </row>
    <row r="1648">
      <c r="Z1648">
        <f>IF(A1648="","",COUNTIF('40_RAP_DE'!$C:$C,A1648))</f>
        <v/>
      </c>
      <c r="AA1648">
        <f>IF(A1648="","","JFT|"&amp;C1648&amp;"|"&amp;D1648&amp;"|"&amp;E1648&amp;"L"&amp;F1648)</f>
        <v/>
      </c>
    </row>
    <row r="1649">
      <c r="Z1649">
        <f>IF(A1649="","",COUNTIF('40_RAP_DE'!$C:$C,A1649))</f>
        <v/>
      </c>
      <c r="AA1649">
        <f>IF(A1649="","","JFT|"&amp;C1649&amp;"|"&amp;D1649&amp;"|"&amp;E1649&amp;"L"&amp;F1649)</f>
        <v/>
      </c>
    </row>
    <row r="1650">
      <c r="Z1650">
        <f>IF(A1650="","",COUNTIF('40_RAP_DE'!$C:$C,A1650))</f>
        <v/>
      </c>
      <c r="AA1650">
        <f>IF(A1650="","","JFT|"&amp;C1650&amp;"|"&amp;D1650&amp;"|"&amp;E1650&amp;"L"&amp;F1650)</f>
        <v/>
      </c>
    </row>
    <row r="1651">
      <c r="Z1651">
        <f>IF(A1651="","",COUNTIF('40_RAP_DE'!$C:$C,A1651))</f>
        <v/>
      </c>
      <c r="AA1651">
        <f>IF(A1651="","","JFT|"&amp;C1651&amp;"|"&amp;D1651&amp;"|"&amp;E1651&amp;"L"&amp;F1651)</f>
        <v/>
      </c>
    </row>
    <row r="1652">
      <c r="Z1652">
        <f>IF(A1652="","",COUNTIF('40_RAP_DE'!$C:$C,A1652))</f>
        <v/>
      </c>
      <c r="AA1652">
        <f>IF(A1652="","","JFT|"&amp;C1652&amp;"|"&amp;D1652&amp;"|"&amp;E1652&amp;"L"&amp;F1652)</f>
        <v/>
      </c>
    </row>
    <row r="1653">
      <c r="Z1653">
        <f>IF(A1653="","",COUNTIF('40_RAP_DE'!$C:$C,A1653))</f>
        <v/>
      </c>
      <c r="AA1653">
        <f>IF(A1653="","","JFT|"&amp;C1653&amp;"|"&amp;D1653&amp;"|"&amp;E1653&amp;"L"&amp;F1653)</f>
        <v/>
      </c>
    </row>
    <row r="1654">
      <c r="Z1654">
        <f>IF(A1654="","",COUNTIF('40_RAP_DE'!$C:$C,A1654))</f>
        <v/>
      </c>
      <c r="AA1654">
        <f>IF(A1654="","","JFT|"&amp;C1654&amp;"|"&amp;D1654&amp;"|"&amp;E1654&amp;"L"&amp;F1654)</f>
        <v/>
      </c>
    </row>
    <row r="1655">
      <c r="Z1655">
        <f>IF(A1655="","",COUNTIF('40_RAP_DE'!$C:$C,A1655))</f>
        <v/>
      </c>
      <c r="AA1655">
        <f>IF(A1655="","","JFT|"&amp;C1655&amp;"|"&amp;D1655&amp;"|"&amp;E1655&amp;"L"&amp;F1655)</f>
        <v/>
      </c>
    </row>
    <row r="1656">
      <c r="Z1656">
        <f>IF(A1656="","",COUNTIF('40_RAP_DE'!$C:$C,A1656))</f>
        <v/>
      </c>
      <c r="AA1656">
        <f>IF(A1656="","","JFT|"&amp;C1656&amp;"|"&amp;D1656&amp;"|"&amp;E1656&amp;"L"&amp;F1656)</f>
        <v/>
      </c>
    </row>
    <row r="1657">
      <c r="Z1657">
        <f>IF(A1657="","",COUNTIF('40_RAP_DE'!$C:$C,A1657))</f>
        <v/>
      </c>
      <c r="AA1657">
        <f>IF(A1657="","","JFT|"&amp;C1657&amp;"|"&amp;D1657&amp;"|"&amp;E1657&amp;"L"&amp;F1657)</f>
        <v/>
      </c>
    </row>
    <row r="1658">
      <c r="Z1658">
        <f>IF(A1658="","",COUNTIF('40_RAP_DE'!$C:$C,A1658))</f>
        <v/>
      </c>
      <c r="AA1658">
        <f>IF(A1658="","","JFT|"&amp;C1658&amp;"|"&amp;D1658&amp;"|"&amp;E1658&amp;"L"&amp;F1658)</f>
        <v/>
      </c>
    </row>
    <row r="1659">
      <c r="Z1659">
        <f>IF(A1659="","",COUNTIF('40_RAP_DE'!$C:$C,A1659))</f>
        <v/>
      </c>
      <c r="AA1659">
        <f>IF(A1659="","","JFT|"&amp;C1659&amp;"|"&amp;D1659&amp;"|"&amp;E1659&amp;"L"&amp;F1659)</f>
        <v/>
      </c>
    </row>
    <row r="1660">
      <c r="Z1660">
        <f>IF(A1660="","",COUNTIF('40_RAP_DE'!$C:$C,A1660))</f>
        <v/>
      </c>
      <c r="AA1660">
        <f>IF(A1660="","","JFT|"&amp;C1660&amp;"|"&amp;D1660&amp;"|"&amp;E1660&amp;"L"&amp;F1660)</f>
        <v/>
      </c>
    </row>
    <row r="1661">
      <c r="Z1661">
        <f>IF(A1661="","",COUNTIF('40_RAP_DE'!$C:$C,A1661))</f>
        <v/>
      </c>
      <c r="AA1661">
        <f>IF(A1661="","","JFT|"&amp;C1661&amp;"|"&amp;D1661&amp;"|"&amp;E1661&amp;"L"&amp;F1661)</f>
        <v/>
      </c>
    </row>
    <row r="1662">
      <c r="Z1662">
        <f>IF(A1662="","",COUNTIF('40_RAP_DE'!$C:$C,A1662))</f>
        <v/>
      </c>
      <c r="AA1662">
        <f>IF(A1662="","","JFT|"&amp;C1662&amp;"|"&amp;D1662&amp;"|"&amp;E1662&amp;"L"&amp;F1662)</f>
        <v/>
      </c>
    </row>
    <row r="1663">
      <c r="Z1663">
        <f>IF(A1663="","",COUNTIF('40_RAP_DE'!$C:$C,A1663))</f>
        <v/>
      </c>
      <c r="AA1663">
        <f>IF(A1663="","","JFT|"&amp;C1663&amp;"|"&amp;D1663&amp;"|"&amp;E1663&amp;"L"&amp;F1663)</f>
        <v/>
      </c>
    </row>
    <row r="1664">
      <c r="Z1664">
        <f>IF(A1664="","",COUNTIF('40_RAP_DE'!$C:$C,A1664))</f>
        <v/>
      </c>
      <c r="AA1664">
        <f>IF(A1664="","","JFT|"&amp;C1664&amp;"|"&amp;D1664&amp;"|"&amp;E1664&amp;"L"&amp;F1664)</f>
        <v/>
      </c>
    </row>
    <row r="1665">
      <c r="Z1665">
        <f>IF(A1665="","",COUNTIF('40_RAP_DE'!$C:$C,A1665))</f>
        <v/>
      </c>
      <c r="AA1665">
        <f>IF(A1665="","","JFT|"&amp;C1665&amp;"|"&amp;D1665&amp;"|"&amp;E1665&amp;"L"&amp;F1665)</f>
        <v/>
      </c>
    </row>
    <row r="1666">
      <c r="Z1666">
        <f>IF(A1666="","",COUNTIF('40_RAP_DE'!$C:$C,A1666))</f>
        <v/>
      </c>
      <c r="AA1666">
        <f>IF(A1666="","","JFT|"&amp;C1666&amp;"|"&amp;D1666&amp;"|"&amp;E1666&amp;"L"&amp;F1666)</f>
        <v/>
      </c>
    </row>
    <row r="1667">
      <c r="Z1667">
        <f>IF(A1667="","",COUNTIF('40_RAP_DE'!$C:$C,A1667))</f>
        <v/>
      </c>
      <c r="AA1667">
        <f>IF(A1667="","","JFT|"&amp;C1667&amp;"|"&amp;D1667&amp;"|"&amp;E1667&amp;"L"&amp;F1667)</f>
        <v/>
      </c>
    </row>
    <row r="1668">
      <c r="Z1668">
        <f>IF(A1668="","",COUNTIF('40_RAP_DE'!$C:$C,A1668))</f>
        <v/>
      </c>
      <c r="AA1668">
        <f>IF(A1668="","","JFT|"&amp;C1668&amp;"|"&amp;D1668&amp;"|"&amp;E1668&amp;"L"&amp;F1668)</f>
        <v/>
      </c>
    </row>
    <row r="1669">
      <c r="Z1669">
        <f>IF(A1669="","",COUNTIF('40_RAP_DE'!$C:$C,A1669))</f>
        <v/>
      </c>
      <c r="AA1669">
        <f>IF(A1669="","","JFT|"&amp;C1669&amp;"|"&amp;D1669&amp;"|"&amp;E1669&amp;"L"&amp;F1669)</f>
        <v/>
      </c>
    </row>
    <row r="1670">
      <c r="Z1670">
        <f>IF(A1670="","",COUNTIF('40_RAP_DE'!$C:$C,A1670))</f>
        <v/>
      </c>
      <c r="AA1670">
        <f>IF(A1670="","","JFT|"&amp;C1670&amp;"|"&amp;D1670&amp;"|"&amp;E1670&amp;"L"&amp;F1670)</f>
        <v/>
      </c>
    </row>
    <row r="1671">
      <c r="Z1671">
        <f>IF(A1671="","",COUNTIF('40_RAP_DE'!$C:$C,A1671))</f>
        <v/>
      </c>
      <c r="AA1671">
        <f>IF(A1671="","","JFT|"&amp;C1671&amp;"|"&amp;D1671&amp;"|"&amp;E1671&amp;"L"&amp;F1671)</f>
        <v/>
      </c>
    </row>
    <row r="1672">
      <c r="Z1672">
        <f>IF(A1672="","",COUNTIF('40_RAP_DE'!$C:$C,A1672))</f>
        <v/>
      </c>
      <c r="AA1672">
        <f>IF(A1672="","","JFT|"&amp;C1672&amp;"|"&amp;D1672&amp;"|"&amp;E1672&amp;"L"&amp;F1672)</f>
        <v/>
      </c>
    </row>
    <row r="1673">
      <c r="Z1673">
        <f>IF(A1673="","",COUNTIF('40_RAP_DE'!$C:$C,A1673))</f>
        <v/>
      </c>
      <c r="AA1673">
        <f>IF(A1673="","","JFT|"&amp;C1673&amp;"|"&amp;D1673&amp;"|"&amp;E1673&amp;"L"&amp;F1673)</f>
        <v/>
      </c>
    </row>
    <row r="1674">
      <c r="Z1674">
        <f>IF(A1674="","",COUNTIF('40_RAP_DE'!$C:$C,A1674))</f>
        <v/>
      </c>
      <c r="AA1674">
        <f>IF(A1674="","","JFT|"&amp;C1674&amp;"|"&amp;D1674&amp;"|"&amp;E1674&amp;"L"&amp;F1674)</f>
        <v/>
      </c>
    </row>
    <row r="1675">
      <c r="Z1675">
        <f>IF(A1675="","",COUNTIF('40_RAP_DE'!$C:$C,A1675))</f>
        <v/>
      </c>
      <c r="AA1675">
        <f>IF(A1675="","","JFT|"&amp;C1675&amp;"|"&amp;D1675&amp;"|"&amp;E1675&amp;"L"&amp;F1675)</f>
        <v/>
      </c>
    </row>
    <row r="1676">
      <c r="Z1676">
        <f>IF(A1676="","",COUNTIF('40_RAP_DE'!$C:$C,A1676))</f>
        <v/>
      </c>
      <c r="AA1676">
        <f>IF(A1676="","","JFT|"&amp;C1676&amp;"|"&amp;D1676&amp;"|"&amp;E1676&amp;"L"&amp;F1676)</f>
        <v/>
      </c>
    </row>
    <row r="1677">
      <c r="Z1677">
        <f>IF(A1677="","",COUNTIF('40_RAP_DE'!$C:$C,A1677))</f>
        <v/>
      </c>
      <c r="AA1677">
        <f>IF(A1677="","","JFT|"&amp;C1677&amp;"|"&amp;D1677&amp;"|"&amp;E1677&amp;"L"&amp;F1677)</f>
        <v/>
      </c>
    </row>
    <row r="1678">
      <c r="Z1678">
        <f>IF(A1678="","",COUNTIF('40_RAP_DE'!$C:$C,A1678))</f>
        <v/>
      </c>
      <c r="AA1678">
        <f>IF(A1678="","","JFT|"&amp;C1678&amp;"|"&amp;D1678&amp;"|"&amp;E1678&amp;"L"&amp;F1678)</f>
        <v/>
      </c>
    </row>
    <row r="1679">
      <c r="Z1679">
        <f>IF(A1679="","",COUNTIF('40_RAP_DE'!$C:$C,A1679))</f>
        <v/>
      </c>
      <c r="AA1679">
        <f>IF(A1679="","","JFT|"&amp;C1679&amp;"|"&amp;D1679&amp;"|"&amp;E1679&amp;"L"&amp;F1679)</f>
        <v/>
      </c>
    </row>
    <row r="1680">
      <c r="Z1680">
        <f>IF(A1680="","",COUNTIF('40_RAP_DE'!$C:$C,A1680))</f>
        <v/>
      </c>
      <c r="AA1680">
        <f>IF(A1680="","","JFT|"&amp;C1680&amp;"|"&amp;D1680&amp;"|"&amp;E1680&amp;"L"&amp;F1680)</f>
        <v/>
      </c>
    </row>
    <row r="1681">
      <c r="Z1681">
        <f>IF(A1681="","",COUNTIF('40_RAP_DE'!$C:$C,A1681))</f>
        <v/>
      </c>
      <c r="AA1681">
        <f>IF(A1681="","","JFT|"&amp;C1681&amp;"|"&amp;D1681&amp;"|"&amp;E1681&amp;"L"&amp;F1681)</f>
        <v/>
      </c>
    </row>
    <row r="1682">
      <c r="Z1682">
        <f>IF(A1682="","",COUNTIF('40_RAP_DE'!$C:$C,A1682))</f>
        <v/>
      </c>
      <c r="AA1682">
        <f>IF(A1682="","","JFT|"&amp;C1682&amp;"|"&amp;D1682&amp;"|"&amp;E1682&amp;"L"&amp;F1682)</f>
        <v/>
      </c>
    </row>
    <row r="1683">
      <c r="Z1683">
        <f>IF(A1683="","",COUNTIF('40_RAP_DE'!$C:$C,A1683))</f>
        <v/>
      </c>
      <c r="AA1683">
        <f>IF(A1683="","","JFT|"&amp;C1683&amp;"|"&amp;D1683&amp;"|"&amp;E1683&amp;"L"&amp;F1683)</f>
        <v/>
      </c>
    </row>
    <row r="1684">
      <c r="Z1684">
        <f>IF(A1684="","",COUNTIF('40_RAP_DE'!$C:$C,A1684))</f>
        <v/>
      </c>
      <c r="AA1684">
        <f>IF(A1684="","","JFT|"&amp;C1684&amp;"|"&amp;D1684&amp;"|"&amp;E1684&amp;"L"&amp;F1684)</f>
        <v/>
      </c>
    </row>
    <row r="1685">
      <c r="Z1685">
        <f>IF(A1685="","",COUNTIF('40_RAP_DE'!$C:$C,A1685))</f>
        <v/>
      </c>
      <c r="AA1685">
        <f>IF(A1685="","","JFT|"&amp;C1685&amp;"|"&amp;D1685&amp;"|"&amp;E1685&amp;"L"&amp;F1685)</f>
        <v/>
      </c>
    </row>
    <row r="1686">
      <c r="Z1686">
        <f>IF(A1686="","",COUNTIF('40_RAP_DE'!$C:$C,A1686))</f>
        <v/>
      </c>
      <c r="AA1686">
        <f>IF(A1686="","","JFT|"&amp;C1686&amp;"|"&amp;D1686&amp;"|"&amp;E1686&amp;"L"&amp;F1686)</f>
        <v/>
      </c>
    </row>
    <row r="1687">
      <c r="Z1687">
        <f>IF(A1687="","",COUNTIF('40_RAP_DE'!$C:$C,A1687))</f>
        <v/>
      </c>
      <c r="AA1687">
        <f>IF(A1687="","","JFT|"&amp;C1687&amp;"|"&amp;D1687&amp;"|"&amp;E1687&amp;"L"&amp;F1687)</f>
        <v/>
      </c>
    </row>
    <row r="1688">
      <c r="Z1688">
        <f>IF(A1688="","",COUNTIF('40_RAP_DE'!$C:$C,A1688))</f>
        <v/>
      </c>
      <c r="AA1688">
        <f>IF(A1688="","","JFT|"&amp;C1688&amp;"|"&amp;D1688&amp;"|"&amp;E1688&amp;"L"&amp;F1688)</f>
        <v/>
      </c>
    </row>
    <row r="1689">
      <c r="Z1689">
        <f>IF(A1689="","",COUNTIF('40_RAP_DE'!$C:$C,A1689))</f>
        <v/>
      </c>
      <c r="AA1689">
        <f>IF(A1689="","","JFT|"&amp;C1689&amp;"|"&amp;D1689&amp;"|"&amp;E1689&amp;"L"&amp;F1689)</f>
        <v/>
      </c>
    </row>
    <row r="1690">
      <c r="Z1690">
        <f>IF(A1690="","",COUNTIF('40_RAP_DE'!$C:$C,A1690))</f>
        <v/>
      </c>
      <c r="AA1690">
        <f>IF(A1690="","","JFT|"&amp;C1690&amp;"|"&amp;D1690&amp;"|"&amp;E1690&amp;"L"&amp;F1690)</f>
        <v/>
      </c>
    </row>
    <row r="1691">
      <c r="Z1691">
        <f>IF(A1691="","",COUNTIF('40_RAP_DE'!$C:$C,A1691))</f>
        <v/>
      </c>
      <c r="AA1691">
        <f>IF(A1691="","","JFT|"&amp;C1691&amp;"|"&amp;D1691&amp;"|"&amp;E1691&amp;"L"&amp;F1691)</f>
        <v/>
      </c>
    </row>
    <row r="1692">
      <c r="Z1692">
        <f>IF(A1692="","",COUNTIF('40_RAP_DE'!$C:$C,A1692))</f>
        <v/>
      </c>
      <c r="AA1692">
        <f>IF(A1692="","","JFT|"&amp;C1692&amp;"|"&amp;D1692&amp;"|"&amp;E1692&amp;"L"&amp;F1692)</f>
        <v/>
      </c>
    </row>
    <row r="1693">
      <c r="Z1693">
        <f>IF(A1693="","",COUNTIF('40_RAP_DE'!$C:$C,A1693))</f>
        <v/>
      </c>
      <c r="AA1693">
        <f>IF(A1693="","","JFT|"&amp;C1693&amp;"|"&amp;D1693&amp;"|"&amp;E1693&amp;"L"&amp;F1693)</f>
        <v/>
      </c>
    </row>
    <row r="1694">
      <c r="Z1694">
        <f>IF(A1694="","",COUNTIF('40_RAP_DE'!$C:$C,A1694))</f>
        <v/>
      </c>
      <c r="AA1694">
        <f>IF(A1694="","","JFT|"&amp;C1694&amp;"|"&amp;D1694&amp;"|"&amp;E1694&amp;"L"&amp;F1694)</f>
        <v/>
      </c>
    </row>
    <row r="1695">
      <c r="Z1695">
        <f>IF(A1695="","",COUNTIF('40_RAP_DE'!$C:$C,A1695))</f>
        <v/>
      </c>
      <c r="AA1695">
        <f>IF(A1695="","","JFT|"&amp;C1695&amp;"|"&amp;D1695&amp;"|"&amp;E1695&amp;"L"&amp;F1695)</f>
        <v/>
      </c>
    </row>
    <row r="1696">
      <c r="Z1696">
        <f>IF(A1696="","",COUNTIF('40_RAP_DE'!$C:$C,A1696))</f>
        <v/>
      </c>
      <c r="AA1696">
        <f>IF(A1696="","","JFT|"&amp;C1696&amp;"|"&amp;D1696&amp;"|"&amp;E1696&amp;"L"&amp;F1696)</f>
        <v/>
      </c>
    </row>
    <row r="1697">
      <c r="Z1697">
        <f>IF(A1697="","",COUNTIF('40_RAP_DE'!$C:$C,A1697))</f>
        <v/>
      </c>
      <c r="AA1697">
        <f>IF(A1697="","","JFT|"&amp;C1697&amp;"|"&amp;D1697&amp;"|"&amp;E1697&amp;"L"&amp;F1697)</f>
        <v/>
      </c>
    </row>
    <row r="1698">
      <c r="Z1698">
        <f>IF(A1698="","",COUNTIF('40_RAP_DE'!$C:$C,A1698))</f>
        <v/>
      </c>
      <c r="AA1698">
        <f>IF(A1698="","","JFT|"&amp;C1698&amp;"|"&amp;D1698&amp;"|"&amp;E1698&amp;"L"&amp;F1698)</f>
        <v/>
      </c>
    </row>
    <row r="1699">
      <c r="Z1699">
        <f>IF(A1699="","",COUNTIF('40_RAP_DE'!$C:$C,A1699))</f>
        <v/>
      </c>
      <c r="AA1699">
        <f>IF(A1699="","","JFT|"&amp;C1699&amp;"|"&amp;D1699&amp;"|"&amp;E1699&amp;"L"&amp;F1699)</f>
        <v/>
      </c>
    </row>
    <row r="1700">
      <c r="Z1700">
        <f>IF(A1700="","",COUNTIF('40_RAP_DE'!$C:$C,A1700))</f>
        <v/>
      </c>
      <c r="AA1700">
        <f>IF(A1700="","","JFT|"&amp;C1700&amp;"|"&amp;D1700&amp;"|"&amp;E1700&amp;"L"&amp;F1700)</f>
        <v/>
      </c>
    </row>
    <row r="1701">
      <c r="Z1701">
        <f>IF(A1701="","",COUNTIF('40_RAP_DE'!$C:$C,A1701))</f>
        <v/>
      </c>
      <c r="AA1701">
        <f>IF(A1701="","","JFT|"&amp;C1701&amp;"|"&amp;D1701&amp;"|"&amp;E1701&amp;"L"&amp;F1701)</f>
        <v/>
      </c>
    </row>
    <row r="1702">
      <c r="Z1702">
        <f>IF(A1702="","",COUNTIF('40_RAP_DE'!$C:$C,A1702))</f>
        <v/>
      </c>
      <c r="AA1702">
        <f>IF(A1702="","","JFT|"&amp;C1702&amp;"|"&amp;D1702&amp;"|"&amp;E1702&amp;"L"&amp;F1702)</f>
        <v/>
      </c>
    </row>
    <row r="1703">
      <c r="Z1703">
        <f>IF(A1703="","",COUNTIF('40_RAP_DE'!$C:$C,A1703))</f>
        <v/>
      </c>
      <c r="AA1703">
        <f>IF(A1703="","","JFT|"&amp;C1703&amp;"|"&amp;D1703&amp;"|"&amp;E1703&amp;"L"&amp;F1703)</f>
        <v/>
      </c>
    </row>
    <row r="1704">
      <c r="Z1704">
        <f>IF(A1704="","",COUNTIF('40_RAP_DE'!$C:$C,A1704))</f>
        <v/>
      </c>
      <c r="AA1704">
        <f>IF(A1704="","","JFT|"&amp;C1704&amp;"|"&amp;D1704&amp;"|"&amp;E1704&amp;"L"&amp;F1704)</f>
        <v/>
      </c>
    </row>
    <row r="1705">
      <c r="Z1705">
        <f>IF(A1705="","",COUNTIF('40_RAP_DE'!$C:$C,A1705))</f>
        <v/>
      </c>
      <c r="AA1705">
        <f>IF(A1705="","","JFT|"&amp;C1705&amp;"|"&amp;D1705&amp;"|"&amp;E1705&amp;"L"&amp;F1705)</f>
        <v/>
      </c>
    </row>
    <row r="1706">
      <c r="Z1706">
        <f>IF(A1706="","",COUNTIF('40_RAP_DE'!$C:$C,A1706))</f>
        <v/>
      </c>
      <c r="AA1706">
        <f>IF(A1706="","","JFT|"&amp;C1706&amp;"|"&amp;D1706&amp;"|"&amp;E1706&amp;"L"&amp;F1706)</f>
        <v/>
      </c>
    </row>
    <row r="1707">
      <c r="Z1707">
        <f>IF(A1707="","",COUNTIF('40_RAP_DE'!$C:$C,A1707))</f>
        <v/>
      </c>
      <c r="AA1707">
        <f>IF(A1707="","","JFT|"&amp;C1707&amp;"|"&amp;D1707&amp;"|"&amp;E1707&amp;"L"&amp;F1707)</f>
        <v/>
      </c>
    </row>
    <row r="1708">
      <c r="Z1708">
        <f>IF(A1708="","",COUNTIF('40_RAP_DE'!$C:$C,A1708))</f>
        <v/>
      </c>
      <c r="AA1708">
        <f>IF(A1708="","","JFT|"&amp;C1708&amp;"|"&amp;D1708&amp;"|"&amp;E1708&amp;"L"&amp;F1708)</f>
        <v/>
      </c>
    </row>
    <row r="1709">
      <c r="Z1709">
        <f>IF(A1709="","",COUNTIF('40_RAP_DE'!$C:$C,A1709))</f>
        <v/>
      </c>
      <c r="AA1709">
        <f>IF(A1709="","","JFT|"&amp;C1709&amp;"|"&amp;D1709&amp;"|"&amp;E1709&amp;"L"&amp;F1709)</f>
        <v/>
      </c>
    </row>
    <row r="1710">
      <c r="Z1710">
        <f>IF(A1710="","",COUNTIF('40_RAP_DE'!$C:$C,A1710))</f>
        <v/>
      </c>
      <c r="AA1710">
        <f>IF(A1710="","","JFT|"&amp;C1710&amp;"|"&amp;D1710&amp;"|"&amp;E1710&amp;"L"&amp;F1710)</f>
        <v/>
      </c>
    </row>
    <row r="1711">
      <c r="Z1711">
        <f>IF(A1711="","",COUNTIF('40_RAP_DE'!$C:$C,A1711))</f>
        <v/>
      </c>
      <c r="AA1711">
        <f>IF(A1711="","","JFT|"&amp;C1711&amp;"|"&amp;D1711&amp;"|"&amp;E1711&amp;"L"&amp;F1711)</f>
        <v/>
      </c>
    </row>
    <row r="1712">
      <c r="Z1712">
        <f>IF(A1712="","",COUNTIF('40_RAP_DE'!$C:$C,A1712))</f>
        <v/>
      </c>
      <c r="AA1712">
        <f>IF(A1712="","","JFT|"&amp;C1712&amp;"|"&amp;D1712&amp;"|"&amp;E1712&amp;"L"&amp;F1712)</f>
        <v/>
      </c>
    </row>
    <row r="1713">
      <c r="Z1713">
        <f>IF(A1713="","",COUNTIF('40_RAP_DE'!$C:$C,A1713))</f>
        <v/>
      </c>
      <c r="AA1713">
        <f>IF(A1713="","","JFT|"&amp;C1713&amp;"|"&amp;D1713&amp;"|"&amp;E1713&amp;"L"&amp;F1713)</f>
        <v/>
      </c>
    </row>
    <row r="1714">
      <c r="Z1714">
        <f>IF(A1714="","",COUNTIF('40_RAP_DE'!$C:$C,A1714))</f>
        <v/>
      </c>
      <c r="AA1714">
        <f>IF(A1714="","","JFT|"&amp;C1714&amp;"|"&amp;D1714&amp;"|"&amp;E1714&amp;"L"&amp;F1714)</f>
        <v/>
      </c>
    </row>
    <row r="1715">
      <c r="Z1715">
        <f>IF(A1715="","",COUNTIF('40_RAP_DE'!$C:$C,A1715))</f>
        <v/>
      </c>
      <c r="AA1715">
        <f>IF(A1715="","","JFT|"&amp;C1715&amp;"|"&amp;D1715&amp;"|"&amp;E1715&amp;"L"&amp;F1715)</f>
        <v/>
      </c>
    </row>
    <row r="1716">
      <c r="Z1716">
        <f>IF(A1716="","",COUNTIF('40_RAP_DE'!$C:$C,A1716))</f>
        <v/>
      </c>
      <c r="AA1716">
        <f>IF(A1716="","","JFT|"&amp;C1716&amp;"|"&amp;D1716&amp;"|"&amp;E1716&amp;"L"&amp;F1716)</f>
        <v/>
      </c>
    </row>
    <row r="1717">
      <c r="Z1717">
        <f>IF(A1717="","",COUNTIF('40_RAP_DE'!$C:$C,A1717))</f>
        <v/>
      </c>
      <c r="AA1717">
        <f>IF(A1717="","","JFT|"&amp;C1717&amp;"|"&amp;D1717&amp;"|"&amp;E1717&amp;"L"&amp;F1717)</f>
        <v/>
      </c>
    </row>
    <row r="1718">
      <c r="Z1718">
        <f>IF(A1718="","",COUNTIF('40_RAP_DE'!$C:$C,A1718))</f>
        <v/>
      </c>
      <c r="AA1718">
        <f>IF(A1718="","","JFT|"&amp;C1718&amp;"|"&amp;D1718&amp;"|"&amp;E1718&amp;"L"&amp;F1718)</f>
        <v/>
      </c>
    </row>
    <row r="1719">
      <c r="Z1719">
        <f>IF(A1719="","",COUNTIF('40_RAP_DE'!$C:$C,A1719))</f>
        <v/>
      </c>
      <c r="AA1719">
        <f>IF(A1719="","","JFT|"&amp;C1719&amp;"|"&amp;D1719&amp;"|"&amp;E1719&amp;"L"&amp;F1719)</f>
        <v/>
      </c>
    </row>
    <row r="1720">
      <c r="Z1720">
        <f>IF(A1720="","",COUNTIF('40_RAP_DE'!$C:$C,A1720))</f>
        <v/>
      </c>
      <c r="AA1720">
        <f>IF(A1720="","","JFT|"&amp;C1720&amp;"|"&amp;D1720&amp;"|"&amp;E1720&amp;"L"&amp;F1720)</f>
        <v/>
      </c>
    </row>
    <row r="1721">
      <c r="Z1721">
        <f>IF(A1721="","",COUNTIF('40_RAP_DE'!$C:$C,A1721))</f>
        <v/>
      </c>
      <c r="AA1721">
        <f>IF(A1721="","","JFT|"&amp;C1721&amp;"|"&amp;D1721&amp;"|"&amp;E1721&amp;"L"&amp;F1721)</f>
        <v/>
      </c>
    </row>
    <row r="1722">
      <c r="Z1722">
        <f>IF(A1722="","",COUNTIF('40_RAP_DE'!$C:$C,A1722))</f>
        <v/>
      </c>
      <c r="AA1722">
        <f>IF(A1722="","","JFT|"&amp;C1722&amp;"|"&amp;D1722&amp;"|"&amp;E1722&amp;"L"&amp;F1722)</f>
        <v/>
      </c>
    </row>
    <row r="1723">
      <c r="Z1723">
        <f>IF(A1723="","",COUNTIF('40_RAP_DE'!$C:$C,A1723))</f>
        <v/>
      </c>
      <c r="AA1723">
        <f>IF(A1723="","","JFT|"&amp;C1723&amp;"|"&amp;D1723&amp;"|"&amp;E1723&amp;"L"&amp;F1723)</f>
        <v/>
      </c>
    </row>
    <row r="1724">
      <c r="Z1724">
        <f>IF(A1724="","",COUNTIF('40_RAP_DE'!$C:$C,A1724))</f>
        <v/>
      </c>
      <c r="AA1724">
        <f>IF(A1724="","","JFT|"&amp;C1724&amp;"|"&amp;D1724&amp;"|"&amp;E1724&amp;"L"&amp;F1724)</f>
        <v/>
      </c>
    </row>
    <row r="1725">
      <c r="Z1725">
        <f>IF(A1725="","",COUNTIF('40_RAP_DE'!$C:$C,A1725))</f>
        <v/>
      </c>
      <c r="AA1725">
        <f>IF(A1725="","","JFT|"&amp;C1725&amp;"|"&amp;D1725&amp;"|"&amp;E1725&amp;"L"&amp;F1725)</f>
        <v/>
      </c>
    </row>
    <row r="1726">
      <c r="Z1726">
        <f>IF(A1726="","",COUNTIF('40_RAP_DE'!$C:$C,A1726))</f>
        <v/>
      </c>
      <c r="AA1726">
        <f>IF(A1726="","","JFT|"&amp;C1726&amp;"|"&amp;D1726&amp;"|"&amp;E1726&amp;"L"&amp;F1726)</f>
        <v/>
      </c>
    </row>
    <row r="1727">
      <c r="Z1727">
        <f>IF(A1727="","",COUNTIF('40_RAP_DE'!$C:$C,A1727))</f>
        <v/>
      </c>
      <c r="AA1727">
        <f>IF(A1727="","","JFT|"&amp;C1727&amp;"|"&amp;D1727&amp;"|"&amp;E1727&amp;"L"&amp;F1727)</f>
        <v/>
      </c>
    </row>
    <row r="1728">
      <c r="Z1728">
        <f>IF(A1728="","",COUNTIF('40_RAP_DE'!$C:$C,A1728))</f>
        <v/>
      </c>
      <c r="AA1728">
        <f>IF(A1728="","","JFT|"&amp;C1728&amp;"|"&amp;D1728&amp;"|"&amp;E1728&amp;"L"&amp;F1728)</f>
        <v/>
      </c>
    </row>
    <row r="1729">
      <c r="Z1729">
        <f>IF(A1729="","",COUNTIF('40_RAP_DE'!$C:$C,A1729))</f>
        <v/>
      </c>
      <c r="AA1729">
        <f>IF(A1729="","","JFT|"&amp;C1729&amp;"|"&amp;D1729&amp;"|"&amp;E1729&amp;"L"&amp;F1729)</f>
        <v/>
      </c>
    </row>
    <row r="1730">
      <c r="Z1730">
        <f>IF(A1730="","",COUNTIF('40_RAP_DE'!$C:$C,A1730))</f>
        <v/>
      </c>
      <c r="AA1730">
        <f>IF(A1730="","","JFT|"&amp;C1730&amp;"|"&amp;D1730&amp;"|"&amp;E1730&amp;"L"&amp;F1730)</f>
        <v/>
      </c>
    </row>
    <row r="1731">
      <c r="Z1731">
        <f>IF(A1731="","",COUNTIF('40_RAP_DE'!$C:$C,A1731))</f>
        <v/>
      </c>
      <c r="AA1731">
        <f>IF(A1731="","","JFT|"&amp;C1731&amp;"|"&amp;D1731&amp;"|"&amp;E1731&amp;"L"&amp;F1731)</f>
        <v/>
      </c>
    </row>
    <row r="1732">
      <c r="Z1732">
        <f>IF(A1732="","",COUNTIF('40_RAP_DE'!$C:$C,A1732))</f>
        <v/>
      </c>
      <c r="AA1732">
        <f>IF(A1732="","","JFT|"&amp;C1732&amp;"|"&amp;D1732&amp;"|"&amp;E1732&amp;"L"&amp;F1732)</f>
        <v/>
      </c>
    </row>
    <row r="1733">
      <c r="Z1733">
        <f>IF(A1733="","",COUNTIF('40_RAP_DE'!$C:$C,A1733))</f>
        <v/>
      </c>
      <c r="AA1733">
        <f>IF(A1733="","","JFT|"&amp;C1733&amp;"|"&amp;D1733&amp;"|"&amp;E1733&amp;"L"&amp;F1733)</f>
        <v/>
      </c>
    </row>
    <row r="1734">
      <c r="Z1734">
        <f>IF(A1734="","",COUNTIF('40_RAP_DE'!$C:$C,A1734))</f>
        <v/>
      </c>
      <c r="AA1734">
        <f>IF(A1734="","","JFT|"&amp;C1734&amp;"|"&amp;D1734&amp;"|"&amp;E1734&amp;"L"&amp;F1734)</f>
        <v/>
      </c>
    </row>
    <row r="1735">
      <c r="Z1735">
        <f>IF(A1735="","",COUNTIF('40_RAP_DE'!$C:$C,A1735))</f>
        <v/>
      </c>
      <c r="AA1735">
        <f>IF(A1735="","","JFT|"&amp;C1735&amp;"|"&amp;D1735&amp;"|"&amp;E1735&amp;"L"&amp;F1735)</f>
        <v/>
      </c>
    </row>
    <row r="1736">
      <c r="Z1736">
        <f>IF(A1736="","",COUNTIF('40_RAP_DE'!$C:$C,A1736))</f>
        <v/>
      </c>
      <c r="AA1736">
        <f>IF(A1736="","","JFT|"&amp;C1736&amp;"|"&amp;D1736&amp;"|"&amp;E1736&amp;"L"&amp;F1736)</f>
        <v/>
      </c>
    </row>
    <row r="1737">
      <c r="Z1737">
        <f>IF(A1737="","",COUNTIF('40_RAP_DE'!$C:$C,A1737))</f>
        <v/>
      </c>
      <c r="AA1737">
        <f>IF(A1737="","","JFT|"&amp;C1737&amp;"|"&amp;D1737&amp;"|"&amp;E1737&amp;"L"&amp;F1737)</f>
        <v/>
      </c>
    </row>
    <row r="1738">
      <c r="Z1738">
        <f>IF(A1738="","",COUNTIF('40_RAP_DE'!$C:$C,A1738))</f>
        <v/>
      </c>
      <c r="AA1738">
        <f>IF(A1738="","","JFT|"&amp;C1738&amp;"|"&amp;D1738&amp;"|"&amp;E1738&amp;"L"&amp;F1738)</f>
        <v/>
      </c>
    </row>
    <row r="1739">
      <c r="Z1739">
        <f>IF(A1739="","",COUNTIF('40_RAP_DE'!$C:$C,A1739))</f>
        <v/>
      </c>
      <c r="AA1739">
        <f>IF(A1739="","","JFT|"&amp;C1739&amp;"|"&amp;D1739&amp;"|"&amp;E1739&amp;"L"&amp;F1739)</f>
        <v/>
      </c>
    </row>
    <row r="1740">
      <c r="Z1740">
        <f>IF(A1740="","",COUNTIF('40_RAP_DE'!$C:$C,A1740))</f>
        <v/>
      </c>
      <c r="AA1740">
        <f>IF(A1740="","","JFT|"&amp;C1740&amp;"|"&amp;D1740&amp;"|"&amp;E1740&amp;"L"&amp;F1740)</f>
        <v/>
      </c>
    </row>
    <row r="1741">
      <c r="Z1741">
        <f>IF(A1741="","",COUNTIF('40_RAP_DE'!$C:$C,A1741))</f>
        <v/>
      </c>
      <c r="AA1741">
        <f>IF(A1741="","","JFT|"&amp;C1741&amp;"|"&amp;D1741&amp;"|"&amp;E1741&amp;"L"&amp;F1741)</f>
        <v/>
      </c>
    </row>
    <row r="1742">
      <c r="Z1742">
        <f>IF(A1742="","",COUNTIF('40_RAP_DE'!$C:$C,A1742))</f>
        <v/>
      </c>
      <c r="AA1742">
        <f>IF(A1742="","","JFT|"&amp;C1742&amp;"|"&amp;D1742&amp;"|"&amp;E1742&amp;"L"&amp;F1742)</f>
        <v/>
      </c>
    </row>
    <row r="1743">
      <c r="Z1743">
        <f>IF(A1743="","",COUNTIF('40_RAP_DE'!$C:$C,A1743))</f>
        <v/>
      </c>
      <c r="AA1743">
        <f>IF(A1743="","","JFT|"&amp;C1743&amp;"|"&amp;D1743&amp;"|"&amp;E1743&amp;"L"&amp;F1743)</f>
        <v/>
      </c>
    </row>
    <row r="1744">
      <c r="Z1744">
        <f>IF(A1744="","",COUNTIF('40_RAP_DE'!$C:$C,A1744))</f>
        <v/>
      </c>
      <c r="AA1744">
        <f>IF(A1744="","","JFT|"&amp;C1744&amp;"|"&amp;D1744&amp;"|"&amp;E1744&amp;"L"&amp;F1744)</f>
        <v/>
      </c>
    </row>
    <row r="1745">
      <c r="Z1745">
        <f>IF(A1745="","",COUNTIF('40_RAP_DE'!$C:$C,A1745))</f>
        <v/>
      </c>
      <c r="AA1745">
        <f>IF(A1745="","","JFT|"&amp;C1745&amp;"|"&amp;D1745&amp;"|"&amp;E1745&amp;"L"&amp;F1745)</f>
        <v/>
      </c>
    </row>
    <row r="1746">
      <c r="Z1746">
        <f>IF(A1746="","",COUNTIF('40_RAP_DE'!$C:$C,A1746))</f>
        <v/>
      </c>
      <c r="AA1746">
        <f>IF(A1746="","","JFT|"&amp;C1746&amp;"|"&amp;D1746&amp;"|"&amp;E1746&amp;"L"&amp;F1746)</f>
        <v/>
      </c>
    </row>
    <row r="1747">
      <c r="Z1747">
        <f>IF(A1747="","",COUNTIF('40_RAP_DE'!$C:$C,A1747))</f>
        <v/>
      </c>
      <c r="AA1747">
        <f>IF(A1747="","","JFT|"&amp;C1747&amp;"|"&amp;D1747&amp;"|"&amp;E1747&amp;"L"&amp;F1747)</f>
        <v/>
      </c>
    </row>
    <row r="1748">
      <c r="Z1748">
        <f>IF(A1748="","",COUNTIF('40_RAP_DE'!$C:$C,A1748))</f>
        <v/>
      </c>
      <c r="AA1748">
        <f>IF(A1748="","","JFT|"&amp;C1748&amp;"|"&amp;D1748&amp;"|"&amp;E1748&amp;"L"&amp;F1748)</f>
        <v/>
      </c>
    </row>
    <row r="1749">
      <c r="Z1749">
        <f>IF(A1749="","",COUNTIF('40_RAP_DE'!$C:$C,A1749))</f>
        <v/>
      </c>
      <c r="AA1749">
        <f>IF(A1749="","","JFT|"&amp;C1749&amp;"|"&amp;D1749&amp;"|"&amp;E1749&amp;"L"&amp;F1749)</f>
        <v/>
      </c>
    </row>
    <row r="1750">
      <c r="Z1750">
        <f>IF(A1750="","",COUNTIF('40_RAP_DE'!$C:$C,A1750))</f>
        <v/>
      </c>
      <c r="AA1750">
        <f>IF(A1750="","","JFT|"&amp;C1750&amp;"|"&amp;D1750&amp;"|"&amp;E1750&amp;"L"&amp;F1750)</f>
        <v/>
      </c>
    </row>
    <row r="1751">
      <c r="Z1751">
        <f>IF(A1751="","",COUNTIF('40_RAP_DE'!$C:$C,A1751))</f>
        <v/>
      </c>
      <c r="AA1751">
        <f>IF(A1751="","","JFT|"&amp;C1751&amp;"|"&amp;D1751&amp;"|"&amp;E1751&amp;"L"&amp;F1751)</f>
        <v/>
      </c>
    </row>
    <row r="1752">
      <c r="Z1752">
        <f>IF(A1752="","",COUNTIF('40_RAP_DE'!$C:$C,A1752))</f>
        <v/>
      </c>
      <c r="AA1752">
        <f>IF(A1752="","","JFT|"&amp;C1752&amp;"|"&amp;D1752&amp;"|"&amp;E1752&amp;"L"&amp;F1752)</f>
        <v/>
      </c>
    </row>
    <row r="1753">
      <c r="Z1753">
        <f>IF(A1753="","",COUNTIF('40_RAP_DE'!$C:$C,A1753))</f>
        <v/>
      </c>
      <c r="AA1753">
        <f>IF(A1753="","","JFT|"&amp;C1753&amp;"|"&amp;D1753&amp;"|"&amp;E1753&amp;"L"&amp;F1753)</f>
        <v/>
      </c>
    </row>
    <row r="1754">
      <c r="Z1754">
        <f>IF(A1754="","",COUNTIF('40_RAP_DE'!$C:$C,A1754))</f>
        <v/>
      </c>
      <c r="AA1754">
        <f>IF(A1754="","","JFT|"&amp;C1754&amp;"|"&amp;D1754&amp;"|"&amp;E1754&amp;"L"&amp;F1754)</f>
        <v/>
      </c>
    </row>
    <row r="1755">
      <c r="Z1755">
        <f>IF(A1755="","",COUNTIF('40_RAP_DE'!$C:$C,A1755))</f>
        <v/>
      </c>
      <c r="AA1755">
        <f>IF(A1755="","","JFT|"&amp;C1755&amp;"|"&amp;D1755&amp;"|"&amp;E1755&amp;"L"&amp;F1755)</f>
        <v/>
      </c>
    </row>
    <row r="1756">
      <c r="Z1756">
        <f>IF(A1756="","",COUNTIF('40_RAP_DE'!$C:$C,A1756))</f>
        <v/>
      </c>
      <c r="AA1756">
        <f>IF(A1756="","","JFT|"&amp;C1756&amp;"|"&amp;D1756&amp;"|"&amp;E1756&amp;"L"&amp;F1756)</f>
        <v/>
      </c>
    </row>
    <row r="1757">
      <c r="Z1757">
        <f>IF(A1757="","",COUNTIF('40_RAP_DE'!$C:$C,A1757))</f>
        <v/>
      </c>
      <c r="AA1757">
        <f>IF(A1757="","","JFT|"&amp;C1757&amp;"|"&amp;D1757&amp;"|"&amp;E1757&amp;"L"&amp;F1757)</f>
        <v/>
      </c>
    </row>
    <row r="1758">
      <c r="Z1758">
        <f>IF(A1758="","",COUNTIF('40_RAP_DE'!$C:$C,A1758))</f>
        <v/>
      </c>
      <c r="AA1758">
        <f>IF(A1758="","","JFT|"&amp;C1758&amp;"|"&amp;D1758&amp;"|"&amp;E1758&amp;"L"&amp;F1758)</f>
        <v/>
      </c>
    </row>
    <row r="1759">
      <c r="Z1759">
        <f>IF(A1759="","",COUNTIF('40_RAP_DE'!$C:$C,A1759))</f>
        <v/>
      </c>
      <c r="AA1759">
        <f>IF(A1759="","","JFT|"&amp;C1759&amp;"|"&amp;D1759&amp;"|"&amp;E1759&amp;"L"&amp;F1759)</f>
        <v/>
      </c>
    </row>
    <row r="1760">
      <c r="Z1760">
        <f>IF(A1760="","",COUNTIF('40_RAP_DE'!$C:$C,A1760))</f>
        <v/>
      </c>
      <c r="AA1760">
        <f>IF(A1760="","","JFT|"&amp;C1760&amp;"|"&amp;D1760&amp;"|"&amp;E1760&amp;"L"&amp;F1760)</f>
        <v/>
      </c>
    </row>
    <row r="1761">
      <c r="Z1761">
        <f>IF(A1761="","",COUNTIF('40_RAP_DE'!$C:$C,A1761))</f>
        <v/>
      </c>
      <c r="AA1761">
        <f>IF(A1761="","","JFT|"&amp;C1761&amp;"|"&amp;D1761&amp;"|"&amp;E1761&amp;"L"&amp;F1761)</f>
        <v/>
      </c>
    </row>
    <row r="1762">
      <c r="Z1762">
        <f>IF(A1762="","",COUNTIF('40_RAP_DE'!$C:$C,A1762))</f>
        <v/>
      </c>
      <c r="AA1762">
        <f>IF(A1762="","","JFT|"&amp;C1762&amp;"|"&amp;D1762&amp;"|"&amp;E1762&amp;"L"&amp;F1762)</f>
        <v/>
      </c>
    </row>
    <row r="1763">
      <c r="Z1763">
        <f>IF(A1763="","",COUNTIF('40_RAP_DE'!$C:$C,A1763))</f>
        <v/>
      </c>
      <c r="AA1763">
        <f>IF(A1763="","","JFT|"&amp;C1763&amp;"|"&amp;D1763&amp;"|"&amp;E1763&amp;"L"&amp;F1763)</f>
        <v/>
      </c>
    </row>
    <row r="1764">
      <c r="Z1764">
        <f>IF(A1764="","",COUNTIF('40_RAP_DE'!$C:$C,A1764))</f>
        <v/>
      </c>
      <c r="AA1764">
        <f>IF(A1764="","","JFT|"&amp;C1764&amp;"|"&amp;D1764&amp;"|"&amp;E1764&amp;"L"&amp;F1764)</f>
        <v/>
      </c>
    </row>
    <row r="1765">
      <c r="Z1765">
        <f>IF(A1765="","",COUNTIF('40_RAP_DE'!$C:$C,A1765))</f>
        <v/>
      </c>
      <c r="AA1765">
        <f>IF(A1765="","","JFT|"&amp;C1765&amp;"|"&amp;D1765&amp;"|"&amp;E1765&amp;"L"&amp;F1765)</f>
        <v/>
      </c>
    </row>
    <row r="1766">
      <c r="Z1766">
        <f>IF(A1766="","",COUNTIF('40_RAP_DE'!$C:$C,A1766))</f>
        <v/>
      </c>
      <c r="AA1766">
        <f>IF(A1766="","","JFT|"&amp;C1766&amp;"|"&amp;D1766&amp;"|"&amp;E1766&amp;"L"&amp;F1766)</f>
        <v/>
      </c>
    </row>
    <row r="1767">
      <c r="Z1767">
        <f>IF(A1767="","",COUNTIF('40_RAP_DE'!$C:$C,A1767))</f>
        <v/>
      </c>
      <c r="AA1767">
        <f>IF(A1767="","","JFT|"&amp;C1767&amp;"|"&amp;D1767&amp;"|"&amp;E1767&amp;"L"&amp;F1767)</f>
        <v/>
      </c>
    </row>
    <row r="1768">
      <c r="Z1768">
        <f>IF(A1768="","",COUNTIF('40_RAP_DE'!$C:$C,A1768))</f>
        <v/>
      </c>
      <c r="AA1768">
        <f>IF(A1768="","","JFT|"&amp;C1768&amp;"|"&amp;D1768&amp;"|"&amp;E1768&amp;"L"&amp;F1768)</f>
        <v/>
      </c>
    </row>
    <row r="1769">
      <c r="Z1769">
        <f>IF(A1769="","",COUNTIF('40_RAP_DE'!$C:$C,A1769))</f>
        <v/>
      </c>
      <c r="AA1769">
        <f>IF(A1769="","","JFT|"&amp;C1769&amp;"|"&amp;D1769&amp;"|"&amp;E1769&amp;"L"&amp;F1769)</f>
        <v/>
      </c>
    </row>
    <row r="1770">
      <c r="Z1770">
        <f>IF(A1770="","",COUNTIF('40_RAP_DE'!$C:$C,A1770))</f>
        <v/>
      </c>
      <c r="AA1770">
        <f>IF(A1770="","","JFT|"&amp;C1770&amp;"|"&amp;D1770&amp;"|"&amp;E1770&amp;"L"&amp;F1770)</f>
        <v/>
      </c>
    </row>
    <row r="1771">
      <c r="Z1771">
        <f>IF(A1771="","",COUNTIF('40_RAP_DE'!$C:$C,A1771))</f>
        <v/>
      </c>
      <c r="AA1771">
        <f>IF(A1771="","","JFT|"&amp;C1771&amp;"|"&amp;D1771&amp;"|"&amp;E1771&amp;"L"&amp;F1771)</f>
        <v/>
      </c>
    </row>
    <row r="1772">
      <c r="Z1772">
        <f>IF(A1772="","",COUNTIF('40_RAP_DE'!$C:$C,A1772))</f>
        <v/>
      </c>
      <c r="AA1772">
        <f>IF(A1772="","","JFT|"&amp;C1772&amp;"|"&amp;D1772&amp;"|"&amp;E1772&amp;"L"&amp;F1772)</f>
        <v/>
      </c>
    </row>
    <row r="1773">
      <c r="Z1773">
        <f>IF(A1773="","",COUNTIF('40_RAP_DE'!$C:$C,A1773))</f>
        <v/>
      </c>
      <c r="AA1773">
        <f>IF(A1773="","","JFT|"&amp;C1773&amp;"|"&amp;D1773&amp;"|"&amp;E1773&amp;"L"&amp;F1773)</f>
        <v/>
      </c>
    </row>
    <row r="1774">
      <c r="Z1774">
        <f>IF(A1774="","",COUNTIF('40_RAP_DE'!$C:$C,A1774))</f>
        <v/>
      </c>
      <c r="AA1774">
        <f>IF(A1774="","","JFT|"&amp;C1774&amp;"|"&amp;D1774&amp;"|"&amp;E1774&amp;"L"&amp;F1774)</f>
        <v/>
      </c>
    </row>
    <row r="1775">
      <c r="Z1775">
        <f>IF(A1775="","",COUNTIF('40_RAP_DE'!$C:$C,A1775))</f>
        <v/>
      </c>
      <c r="AA1775">
        <f>IF(A1775="","","JFT|"&amp;C1775&amp;"|"&amp;D1775&amp;"|"&amp;E1775&amp;"L"&amp;F1775)</f>
        <v/>
      </c>
    </row>
    <row r="1776">
      <c r="Z1776">
        <f>IF(A1776="","",COUNTIF('40_RAP_DE'!$C:$C,A1776))</f>
        <v/>
      </c>
      <c r="AA1776">
        <f>IF(A1776="","","JFT|"&amp;C1776&amp;"|"&amp;D1776&amp;"|"&amp;E1776&amp;"L"&amp;F1776)</f>
        <v/>
      </c>
    </row>
    <row r="1777">
      <c r="Z1777">
        <f>IF(A1777="","",COUNTIF('40_RAP_DE'!$C:$C,A1777))</f>
        <v/>
      </c>
      <c r="AA1777">
        <f>IF(A1777="","","JFT|"&amp;C1777&amp;"|"&amp;D1777&amp;"|"&amp;E1777&amp;"L"&amp;F1777)</f>
        <v/>
      </c>
    </row>
    <row r="1778">
      <c r="Z1778">
        <f>IF(A1778="","",COUNTIF('40_RAP_DE'!$C:$C,A1778))</f>
        <v/>
      </c>
      <c r="AA1778">
        <f>IF(A1778="","","JFT|"&amp;C1778&amp;"|"&amp;D1778&amp;"|"&amp;E1778&amp;"L"&amp;F1778)</f>
        <v/>
      </c>
    </row>
    <row r="1779">
      <c r="Z1779">
        <f>IF(A1779="","",COUNTIF('40_RAP_DE'!$C:$C,A1779))</f>
        <v/>
      </c>
      <c r="AA1779">
        <f>IF(A1779="","","JFT|"&amp;C1779&amp;"|"&amp;D1779&amp;"|"&amp;E1779&amp;"L"&amp;F1779)</f>
        <v/>
      </c>
    </row>
    <row r="1780">
      <c r="Z1780">
        <f>IF(A1780="","",COUNTIF('40_RAP_DE'!$C:$C,A1780))</f>
        <v/>
      </c>
      <c r="AA1780">
        <f>IF(A1780="","","JFT|"&amp;C1780&amp;"|"&amp;D1780&amp;"|"&amp;E1780&amp;"L"&amp;F1780)</f>
        <v/>
      </c>
    </row>
    <row r="1781">
      <c r="Z1781">
        <f>IF(A1781="","",COUNTIF('40_RAP_DE'!$C:$C,A1781))</f>
        <v/>
      </c>
      <c r="AA1781">
        <f>IF(A1781="","","JFT|"&amp;C1781&amp;"|"&amp;D1781&amp;"|"&amp;E1781&amp;"L"&amp;F1781)</f>
        <v/>
      </c>
    </row>
    <row r="1782">
      <c r="Z1782">
        <f>IF(A1782="","",COUNTIF('40_RAP_DE'!$C:$C,A1782))</f>
        <v/>
      </c>
      <c r="AA1782">
        <f>IF(A1782="","","JFT|"&amp;C1782&amp;"|"&amp;D1782&amp;"|"&amp;E1782&amp;"L"&amp;F1782)</f>
        <v/>
      </c>
    </row>
    <row r="1783">
      <c r="Z1783">
        <f>IF(A1783="","",COUNTIF('40_RAP_DE'!$C:$C,A1783))</f>
        <v/>
      </c>
      <c r="AA1783">
        <f>IF(A1783="","","JFT|"&amp;C1783&amp;"|"&amp;D1783&amp;"|"&amp;E1783&amp;"L"&amp;F1783)</f>
        <v/>
      </c>
    </row>
    <row r="1784">
      <c r="Z1784">
        <f>IF(A1784="","",COUNTIF('40_RAP_DE'!$C:$C,A1784))</f>
        <v/>
      </c>
      <c r="AA1784">
        <f>IF(A1784="","","JFT|"&amp;C1784&amp;"|"&amp;D1784&amp;"|"&amp;E1784&amp;"L"&amp;F1784)</f>
        <v/>
      </c>
    </row>
    <row r="1785">
      <c r="Z1785">
        <f>IF(A1785="","",COUNTIF('40_RAP_DE'!$C:$C,A1785))</f>
        <v/>
      </c>
      <c r="AA1785">
        <f>IF(A1785="","","JFT|"&amp;C1785&amp;"|"&amp;D1785&amp;"|"&amp;E1785&amp;"L"&amp;F1785)</f>
        <v/>
      </c>
    </row>
    <row r="1786">
      <c r="Z1786">
        <f>IF(A1786="","",COUNTIF('40_RAP_DE'!$C:$C,A1786))</f>
        <v/>
      </c>
      <c r="AA1786">
        <f>IF(A1786="","","JFT|"&amp;C1786&amp;"|"&amp;D1786&amp;"|"&amp;E1786&amp;"L"&amp;F1786)</f>
        <v/>
      </c>
    </row>
    <row r="1787">
      <c r="Z1787">
        <f>IF(A1787="","",COUNTIF('40_RAP_DE'!$C:$C,A1787))</f>
        <v/>
      </c>
      <c r="AA1787">
        <f>IF(A1787="","","JFT|"&amp;C1787&amp;"|"&amp;D1787&amp;"|"&amp;E1787&amp;"L"&amp;F1787)</f>
        <v/>
      </c>
    </row>
    <row r="1788">
      <c r="Z1788">
        <f>IF(A1788="","",COUNTIF('40_RAP_DE'!$C:$C,A1788))</f>
        <v/>
      </c>
      <c r="AA1788">
        <f>IF(A1788="","","JFT|"&amp;C1788&amp;"|"&amp;D1788&amp;"|"&amp;E1788&amp;"L"&amp;F1788)</f>
        <v/>
      </c>
    </row>
    <row r="1789">
      <c r="Z1789">
        <f>IF(A1789="","",COUNTIF('40_RAP_DE'!$C:$C,A1789))</f>
        <v/>
      </c>
      <c r="AA1789">
        <f>IF(A1789="","","JFT|"&amp;C1789&amp;"|"&amp;D1789&amp;"|"&amp;E1789&amp;"L"&amp;F1789)</f>
        <v/>
      </c>
    </row>
    <row r="1790">
      <c r="Z1790">
        <f>IF(A1790="","",COUNTIF('40_RAP_DE'!$C:$C,A1790))</f>
        <v/>
      </c>
      <c r="AA1790">
        <f>IF(A1790="","","JFT|"&amp;C1790&amp;"|"&amp;D1790&amp;"|"&amp;E1790&amp;"L"&amp;F1790)</f>
        <v/>
      </c>
    </row>
    <row r="1791">
      <c r="Z1791">
        <f>IF(A1791="","",COUNTIF('40_RAP_DE'!$C:$C,A1791))</f>
        <v/>
      </c>
      <c r="AA1791">
        <f>IF(A1791="","","JFT|"&amp;C1791&amp;"|"&amp;D1791&amp;"|"&amp;E1791&amp;"L"&amp;F1791)</f>
        <v/>
      </c>
    </row>
    <row r="1792">
      <c r="Z1792">
        <f>IF(A1792="","",COUNTIF('40_RAP_DE'!$C:$C,A1792))</f>
        <v/>
      </c>
      <c r="AA1792">
        <f>IF(A1792="","","JFT|"&amp;C1792&amp;"|"&amp;D1792&amp;"|"&amp;E1792&amp;"L"&amp;F1792)</f>
        <v/>
      </c>
    </row>
    <row r="1793">
      <c r="Z1793">
        <f>IF(A1793="","",COUNTIF('40_RAP_DE'!$C:$C,A1793))</f>
        <v/>
      </c>
      <c r="AA1793">
        <f>IF(A1793="","","JFT|"&amp;C1793&amp;"|"&amp;D1793&amp;"|"&amp;E1793&amp;"L"&amp;F1793)</f>
        <v/>
      </c>
    </row>
    <row r="1794">
      <c r="Z1794">
        <f>IF(A1794="","",COUNTIF('40_RAP_DE'!$C:$C,A1794))</f>
        <v/>
      </c>
      <c r="AA1794">
        <f>IF(A1794="","","JFT|"&amp;C1794&amp;"|"&amp;D1794&amp;"|"&amp;E1794&amp;"L"&amp;F1794)</f>
        <v/>
      </c>
    </row>
    <row r="1795">
      <c r="Z1795">
        <f>IF(A1795="","",COUNTIF('40_RAP_DE'!$C:$C,A1795))</f>
        <v/>
      </c>
      <c r="AA1795">
        <f>IF(A1795="","","JFT|"&amp;C1795&amp;"|"&amp;D1795&amp;"|"&amp;E1795&amp;"L"&amp;F1795)</f>
        <v/>
      </c>
    </row>
    <row r="1796">
      <c r="Z1796">
        <f>IF(A1796="","",COUNTIF('40_RAP_DE'!$C:$C,A1796))</f>
        <v/>
      </c>
      <c r="AA1796">
        <f>IF(A1796="","","JFT|"&amp;C1796&amp;"|"&amp;D1796&amp;"|"&amp;E1796&amp;"L"&amp;F1796)</f>
        <v/>
      </c>
    </row>
    <row r="1797">
      <c r="Z1797">
        <f>IF(A1797="","",COUNTIF('40_RAP_DE'!$C:$C,A1797))</f>
        <v/>
      </c>
      <c r="AA1797">
        <f>IF(A1797="","","JFT|"&amp;C1797&amp;"|"&amp;D1797&amp;"|"&amp;E1797&amp;"L"&amp;F1797)</f>
        <v/>
      </c>
    </row>
    <row r="1798">
      <c r="Z1798">
        <f>IF(A1798="","",COUNTIF('40_RAP_DE'!$C:$C,A1798))</f>
        <v/>
      </c>
      <c r="AA1798">
        <f>IF(A1798="","","JFT|"&amp;C1798&amp;"|"&amp;D1798&amp;"|"&amp;E1798&amp;"L"&amp;F1798)</f>
        <v/>
      </c>
    </row>
    <row r="1799">
      <c r="Z1799">
        <f>IF(A1799="","",COUNTIF('40_RAP_DE'!$C:$C,A1799))</f>
        <v/>
      </c>
      <c r="AA1799">
        <f>IF(A1799="","","JFT|"&amp;C1799&amp;"|"&amp;D1799&amp;"|"&amp;E1799&amp;"L"&amp;F1799)</f>
        <v/>
      </c>
    </row>
    <row r="1800">
      <c r="Z1800">
        <f>IF(A1800="","",COUNTIF('40_RAP_DE'!$C:$C,A1800))</f>
        <v/>
      </c>
      <c r="AA1800">
        <f>IF(A1800="","","JFT|"&amp;C1800&amp;"|"&amp;D1800&amp;"|"&amp;E1800&amp;"L"&amp;F1800)</f>
        <v/>
      </c>
    </row>
    <row r="1801">
      <c r="Z1801">
        <f>IF(A1801="","",COUNTIF('40_RAP_DE'!$C:$C,A1801))</f>
        <v/>
      </c>
      <c r="AA1801">
        <f>IF(A1801="","","JFT|"&amp;C1801&amp;"|"&amp;D1801&amp;"|"&amp;E1801&amp;"L"&amp;F1801)</f>
        <v/>
      </c>
    </row>
    <row r="1802">
      <c r="Z1802">
        <f>IF(A1802="","",COUNTIF('40_RAP_DE'!$C:$C,A1802))</f>
        <v/>
      </c>
      <c r="AA1802">
        <f>IF(A1802="","","JFT|"&amp;C1802&amp;"|"&amp;D1802&amp;"|"&amp;E1802&amp;"L"&amp;F1802)</f>
        <v/>
      </c>
    </row>
    <row r="1803">
      <c r="Z1803">
        <f>IF(A1803="","",COUNTIF('40_RAP_DE'!$C:$C,A1803))</f>
        <v/>
      </c>
      <c r="AA1803">
        <f>IF(A1803="","","JFT|"&amp;C1803&amp;"|"&amp;D1803&amp;"|"&amp;E1803&amp;"L"&amp;F1803)</f>
        <v/>
      </c>
    </row>
    <row r="1804">
      <c r="Z1804">
        <f>IF(A1804="","",COUNTIF('40_RAP_DE'!$C:$C,A1804))</f>
        <v/>
      </c>
      <c r="AA1804">
        <f>IF(A1804="","","JFT|"&amp;C1804&amp;"|"&amp;D1804&amp;"|"&amp;E1804&amp;"L"&amp;F1804)</f>
        <v/>
      </c>
    </row>
    <row r="1805">
      <c r="Z1805">
        <f>IF(A1805="","",COUNTIF('40_RAP_DE'!$C:$C,A1805))</f>
        <v/>
      </c>
      <c r="AA1805">
        <f>IF(A1805="","","JFT|"&amp;C1805&amp;"|"&amp;D1805&amp;"|"&amp;E1805&amp;"L"&amp;F1805)</f>
        <v/>
      </c>
    </row>
    <row r="1806">
      <c r="Z1806">
        <f>IF(A1806="","",COUNTIF('40_RAP_DE'!$C:$C,A1806))</f>
        <v/>
      </c>
      <c r="AA1806">
        <f>IF(A1806="","","JFT|"&amp;C1806&amp;"|"&amp;D1806&amp;"|"&amp;E1806&amp;"L"&amp;F1806)</f>
        <v/>
      </c>
    </row>
    <row r="1807">
      <c r="Z1807">
        <f>IF(A1807="","",COUNTIF('40_RAP_DE'!$C:$C,A1807))</f>
        <v/>
      </c>
      <c r="AA1807">
        <f>IF(A1807="","","JFT|"&amp;C1807&amp;"|"&amp;D1807&amp;"|"&amp;E1807&amp;"L"&amp;F1807)</f>
        <v/>
      </c>
    </row>
    <row r="1808">
      <c r="Z1808">
        <f>IF(A1808="","",COUNTIF('40_RAP_DE'!$C:$C,A1808))</f>
        <v/>
      </c>
      <c r="AA1808">
        <f>IF(A1808="","","JFT|"&amp;C1808&amp;"|"&amp;D1808&amp;"|"&amp;E1808&amp;"L"&amp;F1808)</f>
        <v/>
      </c>
    </row>
    <row r="1809">
      <c r="Z1809">
        <f>IF(A1809="","",COUNTIF('40_RAP_DE'!$C:$C,A1809))</f>
        <v/>
      </c>
      <c r="AA1809">
        <f>IF(A1809="","","JFT|"&amp;C1809&amp;"|"&amp;D1809&amp;"|"&amp;E1809&amp;"L"&amp;F1809)</f>
        <v/>
      </c>
    </row>
    <row r="1810">
      <c r="Z1810">
        <f>IF(A1810="","",COUNTIF('40_RAP_DE'!$C:$C,A1810))</f>
        <v/>
      </c>
      <c r="AA1810">
        <f>IF(A1810="","","JFT|"&amp;C1810&amp;"|"&amp;D1810&amp;"|"&amp;E1810&amp;"L"&amp;F1810)</f>
        <v/>
      </c>
    </row>
    <row r="1811">
      <c r="Z1811">
        <f>IF(A1811="","",COUNTIF('40_RAP_DE'!$C:$C,A1811))</f>
        <v/>
      </c>
      <c r="AA1811">
        <f>IF(A1811="","","JFT|"&amp;C1811&amp;"|"&amp;D1811&amp;"|"&amp;E1811&amp;"L"&amp;F1811)</f>
        <v/>
      </c>
    </row>
    <row r="1812">
      <c r="Z1812">
        <f>IF(A1812="","",COUNTIF('40_RAP_DE'!$C:$C,A1812))</f>
        <v/>
      </c>
      <c r="AA1812">
        <f>IF(A1812="","","JFT|"&amp;C1812&amp;"|"&amp;D1812&amp;"|"&amp;E1812&amp;"L"&amp;F1812)</f>
        <v/>
      </c>
    </row>
    <row r="1813">
      <c r="Z1813">
        <f>IF(A1813="","",COUNTIF('40_RAP_DE'!$C:$C,A1813))</f>
        <v/>
      </c>
      <c r="AA1813">
        <f>IF(A1813="","","JFT|"&amp;C1813&amp;"|"&amp;D1813&amp;"|"&amp;E1813&amp;"L"&amp;F1813)</f>
        <v/>
      </c>
    </row>
    <row r="1814">
      <c r="Z1814">
        <f>IF(A1814="","",COUNTIF('40_RAP_DE'!$C:$C,A1814))</f>
        <v/>
      </c>
      <c r="AA1814">
        <f>IF(A1814="","","JFT|"&amp;C1814&amp;"|"&amp;D1814&amp;"|"&amp;E1814&amp;"L"&amp;F1814)</f>
        <v/>
      </c>
    </row>
    <row r="1815">
      <c r="Z1815">
        <f>IF(A1815="","",COUNTIF('40_RAP_DE'!$C:$C,A1815))</f>
        <v/>
      </c>
      <c r="AA1815">
        <f>IF(A1815="","","JFT|"&amp;C1815&amp;"|"&amp;D1815&amp;"|"&amp;E1815&amp;"L"&amp;F1815)</f>
        <v/>
      </c>
    </row>
    <row r="1816">
      <c r="Z1816">
        <f>IF(A1816="","",COUNTIF('40_RAP_DE'!$C:$C,A1816))</f>
        <v/>
      </c>
      <c r="AA1816">
        <f>IF(A1816="","","JFT|"&amp;C1816&amp;"|"&amp;D1816&amp;"|"&amp;E1816&amp;"L"&amp;F1816)</f>
        <v/>
      </c>
    </row>
    <row r="1817">
      <c r="Z1817">
        <f>IF(A1817="","",COUNTIF('40_RAP_DE'!$C:$C,A1817))</f>
        <v/>
      </c>
      <c r="AA1817">
        <f>IF(A1817="","","JFT|"&amp;C1817&amp;"|"&amp;D1817&amp;"|"&amp;E1817&amp;"L"&amp;F1817)</f>
        <v/>
      </c>
    </row>
    <row r="1818">
      <c r="Z1818">
        <f>IF(A1818="","",COUNTIF('40_RAP_DE'!$C:$C,A1818))</f>
        <v/>
      </c>
      <c r="AA1818">
        <f>IF(A1818="","","JFT|"&amp;C1818&amp;"|"&amp;D1818&amp;"|"&amp;E1818&amp;"L"&amp;F1818)</f>
        <v/>
      </c>
    </row>
    <row r="1819">
      <c r="Z1819">
        <f>IF(A1819="","",COUNTIF('40_RAP_DE'!$C:$C,A1819))</f>
        <v/>
      </c>
      <c r="AA1819">
        <f>IF(A1819="","","JFT|"&amp;C1819&amp;"|"&amp;D1819&amp;"|"&amp;E1819&amp;"L"&amp;F1819)</f>
        <v/>
      </c>
    </row>
    <row r="1820">
      <c r="Z1820">
        <f>IF(A1820="","",COUNTIF('40_RAP_DE'!$C:$C,A1820))</f>
        <v/>
      </c>
      <c r="AA1820">
        <f>IF(A1820="","","JFT|"&amp;C1820&amp;"|"&amp;D1820&amp;"|"&amp;E1820&amp;"L"&amp;F1820)</f>
        <v/>
      </c>
    </row>
    <row r="1821">
      <c r="Z1821">
        <f>IF(A1821="","",COUNTIF('40_RAP_DE'!$C:$C,A1821))</f>
        <v/>
      </c>
      <c r="AA1821">
        <f>IF(A1821="","","JFT|"&amp;C1821&amp;"|"&amp;D1821&amp;"|"&amp;E1821&amp;"L"&amp;F1821)</f>
        <v/>
      </c>
    </row>
    <row r="1822">
      <c r="Z1822">
        <f>IF(A1822="","",COUNTIF('40_RAP_DE'!$C:$C,A1822))</f>
        <v/>
      </c>
      <c r="AA1822">
        <f>IF(A1822="","","JFT|"&amp;C1822&amp;"|"&amp;D1822&amp;"|"&amp;E1822&amp;"L"&amp;F1822)</f>
        <v/>
      </c>
    </row>
    <row r="1823">
      <c r="Z1823">
        <f>IF(A1823="","",COUNTIF('40_RAP_DE'!$C:$C,A1823))</f>
        <v/>
      </c>
      <c r="AA1823">
        <f>IF(A1823="","","JFT|"&amp;C1823&amp;"|"&amp;D1823&amp;"|"&amp;E1823&amp;"L"&amp;F1823)</f>
        <v/>
      </c>
    </row>
    <row r="1824">
      <c r="Z1824">
        <f>IF(A1824="","",COUNTIF('40_RAP_DE'!$C:$C,A1824))</f>
        <v/>
      </c>
      <c r="AA1824">
        <f>IF(A1824="","","JFT|"&amp;C1824&amp;"|"&amp;D1824&amp;"|"&amp;E1824&amp;"L"&amp;F1824)</f>
        <v/>
      </c>
    </row>
    <row r="1825">
      <c r="Z1825">
        <f>IF(A1825="","",COUNTIF('40_RAP_DE'!$C:$C,A1825))</f>
        <v/>
      </c>
      <c r="AA1825">
        <f>IF(A1825="","","JFT|"&amp;C1825&amp;"|"&amp;D1825&amp;"|"&amp;E1825&amp;"L"&amp;F1825)</f>
        <v/>
      </c>
    </row>
    <row r="1826">
      <c r="Z1826">
        <f>IF(A1826="","",COUNTIF('40_RAP_DE'!$C:$C,A1826))</f>
        <v/>
      </c>
      <c r="AA1826">
        <f>IF(A1826="","","JFT|"&amp;C1826&amp;"|"&amp;D1826&amp;"|"&amp;E1826&amp;"L"&amp;F1826)</f>
        <v/>
      </c>
    </row>
    <row r="1827">
      <c r="Z1827">
        <f>IF(A1827="","",COUNTIF('40_RAP_DE'!$C:$C,A1827))</f>
        <v/>
      </c>
      <c r="AA1827">
        <f>IF(A1827="","","JFT|"&amp;C1827&amp;"|"&amp;D1827&amp;"|"&amp;E1827&amp;"L"&amp;F1827)</f>
        <v/>
      </c>
    </row>
    <row r="1828">
      <c r="Z1828">
        <f>IF(A1828="","",COUNTIF('40_RAP_DE'!$C:$C,A1828))</f>
        <v/>
      </c>
      <c r="AA1828">
        <f>IF(A1828="","","JFT|"&amp;C1828&amp;"|"&amp;D1828&amp;"|"&amp;E1828&amp;"L"&amp;F1828)</f>
        <v/>
      </c>
    </row>
    <row r="1829">
      <c r="Z1829">
        <f>IF(A1829="","",COUNTIF('40_RAP_DE'!$C:$C,A1829))</f>
        <v/>
      </c>
      <c r="AA1829">
        <f>IF(A1829="","","JFT|"&amp;C1829&amp;"|"&amp;D1829&amp;"|"&amp;E1829&amp;"L"&amp;F1829)</f>
        <v/>
      </c>
    </row>
    <row r="1830">
      <c r="Z1830">
        <f>IF(A1830="","",COUNTIF('40_RAP_DE'!$C:$C,A1830))</f>
        <v/>
      </c>
      <c r="AA1830">
        <f>IF(A1830="","","JFT|"&amp;C1830&amp;"|"&amp;D1830&amp;"|"&amp;E1830&amp;"L"&amp;F1830)</f>
        <v/>
      </c>
    </row>
    <row r="1831">
      <c r="Z1831">
        <f>IF(A1831="","",COUNTIF('40_RAP_DE'!$C:$C,A1831))</f>
        <v/>
      </c>
      <c r="AA1831">
        <f>IF(A1831="","","JFT|"&amp;C1831&amp;"|"&amp;D1831&amp;"|"&amp;E1831&amp;"L"&amp;F1831)</f>
        <v/>
      </c>
    </row>
    <row r="1832">
      <c r="Z1832">
        <f>IF(A1832="","",COUNTIF('40_RAP_DE'!$C:$C,A1832))</f>
        <v/>
      </c>
      <c r="AA1832">
        <f>IF(A1832="","","JFT|"&amp;C1832&amp;"|"&amp;D1832&amp;"|"&amp;E1832&amp;"L"&amp;F1832)</f>
        <v/>
      </c>
    </row>
    <row r="1833">
      <c r="Z1833">
        <f>IF(A1833="","",COUNTIF('40_RAP_DE'!$C:$C,A1833))</f>
        <v/>
      </c>
      <c r="AA1833">
        <f>IF(A1833="","","JFT|"&amp;C1833&amp;"|"&amp;D1833&amp;"|"&amp;E1833&amp;"L"&amp;F1833)</f>
        <v/>
      </c>
    </row>
    <row r="1834">
      <c r="Z1834">
        <f>IF(A1834="","",COUNTIF('40_RAP_DE'!$C:$C,A1834))</f>
        <v/>
      </c>
      <c r="AA1834">
        <f>IF(A1834="","","JFT|"&amp;C1834&amp;"|"&amp;D1834&amp;"|"&amp;E1834&amp;"L"&amp;F1834)</f>
        <v/>
      </c>
    </row>
    <row r="1835">
      <c r="Z1835">
        <f>IF(A1835="","",COUNTIF('40_RAP_DE'!$C:$C,A1835))</f>
        <v/>
      </c>
      <c r="AA1835">
        <f>IF(A1835="","","JFT|"&amp;C1835&amp;"|"&amp;D1835&amp;"|"&amp;E1835&amp;"L"&amp;F1835)</f>
        <v/>
      </c>
    </row>
    <row r="1836">
      <c r="Z1836">
        <f>IF(A1836="","",COUNTIF('40_RAP_DE'!$C:$C,A1836))</f>
        <v/>
      </c>
      <c r="AA1836">
        <f>IF(A1836="","","JFT|"&amp;C1836&amp;"|"&amp;D1836&amp;"|"&amp;E1836&amp;"L"&amp;F1836)</f>
        <v/>
      </c>
    </row>
    <row r="1837">
      <c r="Z1837">
        <f>IF(A1837="","",COUNTIF('40_RAP_DE'!$C:$C,A1837))</f>
        <v/>
      </c>
      <c r="AA1837">
        <f>IF(A1837="","","JFT|"&amp;C1837&amp;"|"&amp;D1837&amp;"|"&amp;E1837&amp;"L"&amp;F1837)</f>
        <v/>
      </c>
    </row>
    <row r="1838">
      <c r="Z1838">
        <f>IF(A1838="","",COUNTIF('40_RAP_DE'!$C:$C,A1838))</f>
        <v/>
      </c>
      <c r="AA1838">
        <f>IF(A1838="","","JFT|"&amp;C1838&amp;"|"&amp;D1838&amp;"|"&amp;E1838&amp;"L"&amp;F1838)</f>
        <v/>
      </c>
    </row>
    <row r="1839">
      <c r="Z1839">
        <f>IF(A1839="","",COUNTIF('40_RAP_DE'!$C:$C,A1839))</f>
        <v/>
      </c>
      <c r="AA1839">
        <f>IF(A1839="","","JFT|"&amp;C1839&amp;"|"&amp;D1839&amp;"|"&amp;E1839&amp;"L"&amp;F1839)</f>
        <v/>
      </c>
    </row>
    <row r="1840">
      <c r="Z1840">
        <f>IF(A1840="","",COUNTIF('40_RAP_DE'!$C:$C,A1840))</f>
        <v/>
      </c>
      <c r="AA1840">
        <f>IF(A1840="","","JFT|"&amp;C1840&amp;"|"&amp;D1840&amp;"|"&amp;E1840&amp;"L"&amp;F1840)</f>
        <v/>
      </c>
    </row>
    <row r="1841">
      <c r="Z1841">
        <f>IF(A1841="","",COUNTIF('40_RAP_DE'!$C:$C,A1841))</f>
        <v/>
      </c>
      <c r="AA1841">
        <f>IF(A1841="","","JFT|"&amp;C1841&amp;"|"&amp;D1841&amp;"|"&amp;E1841&amp;"L"&amp;F1841)</f>
        <v/>
      </c>
    </row>
    <row r="1842">
      <c r="Z1842">
        <f>IF(A1842="","",COUNTIF('40_RAP_DE'!$C:$C,A1842))</f>
        <v/>
      </c>
      <c r="AA1842">
        <f>IF(A1842="","","JFT|"&amp;C1842&amp;"|"&amp;D1842&amp;"|"&amp;E1842&amp;"L"&amp;F1842)</f>
        <v/>
      </c>
    </row>
    <row r="1843">
      <c r="Z1843">
        <f>IF(A1843="","",COUNTIF('40_RAP_DE'!$C:$C,A1843))</f>
        <v/>
      </c>
      <c r="AA1843">
        <f>IF(A1843="","","JFT|"&amp;C1843&amp;"|"&amp;D1843&amp;"|"&amp;E1843&amp;"L"&amp;F1843)</f>
        <v/>
      </c>
    </row>
    <row r="1844">
      <c r="Z1844">
        <f>IF(A1844="","",COUNTIF('40_RAP_DE'!$C:$C,A1844))</f>
        <v/>
      </c>
      <c r="AA1844">
        <f>IF(A1844="","","JFT|"&amp;C1844&amp;"|"&amp;D1844&amp;"|"&amp;E1844&amp;"L"&amp;F1844)</f>
        <v/>
      </c>
    </row>
    <row r="1845">
      <c r="Z1845">
        <f>IF(A1845="","",COUNTIF('40_RAP_DE'!$C:$C,A1845))</f>
        <v/>
      </c>
      <c r="AA1845">
        <f>IF(A1845="","","JFT|"&amp;C1845&amp;"|"&amp;D1845&amp;"|"&amp;E1845&amp;"L"&amp;F1845)</f>
        <v/>
      </c>
    </row>
    <row r="1846">
      <c r="Z1846">
        <f>IF(A1846="","",COUNTIF('40_RAP_DE'!$C:$C,A1846))</f>
        <v/>
      </c>
      <c r="AA1846">
        <f>IF(A1846="","","JFT|"&amp;C1846&amp;"|"&amp;D1846&amp;"|"&amp;E1846&amp;"L"&amp;F1846)</f>
        <v/>
      </c>
    </row>
    <row r="1847">
      <c r="Z1847">
        <f>IF(A1847="","",COUNTIF('40_RAP_DE'!$C:$C,A1847))</f>
        <v/>
      </c>
      <c r="AA1847">
        <f>IF(A1847="","","JFT|"&amp;C1847&amp;"|"&amp;D1847&amp;"|"&amp;E1847&amp;"L"&amp;F1847)</f>
        <v/>
      </c>
    </row>
    <row r="1848">
      <c r="Z1848">
        <f>IF(A1848="","",COUNTIF('40_RAP_DE'!$C:$C,A1848))</f>
        <v/>
      </c>
      <c r="AA1848">
        <f>IF(A1848="","","JFT|"&amp;C1848&amp;"|"&amp;D1848&amp;"|"&amp;E1848&amp;"L"&amp;F1848)</f>
        <v/>
      </c>
    </row>
    <row r="1849">
      <c r="Z1849">
        <f>IF(A1849="","",COUNTIF('40_RAP_DE'!$C:$C,A1849))</f>
        <v/>
      </c>
      <c r="AA1849">
        <f>IF(A1849="","","JFT|"&amp;C1849&amp;"|"&amp;D1849&amp;"|"&amp;E1849&amp;"L"&amp;F1849)</f>
        <v/>
      </c>
    </row>
    <row r="1850">
      <c r="Z1850">
        <f>IF(A1850="","",COUNTIF('40_RAP_DE'!$C:$C,A1850))</f>
        <v/>
      </c>
      <c r="AA1850">
        <f>IF(A1850="","","JFT|"&amp;C1850&amp;"|"&amp;D1850&amp;"|"&amp;E1850&amp;"L"&amp;F1850)</f>
        <v/>
      </c>
    </row>
    <row r="1851">
      <c r="Z1851">
        <f>IF(A1851="","",COUNTIF('40_RAP_DE'!$C:$C,A1851))</f>
        <v/>
      </c>
      <c r="AA1851">
        <f>IF(A1851="","","JFT|"&amp;C1851&amp;"|"&amp;D1851&amp;"|"&amp;E1851&amp;"L"&amp;F1851)</f>
        <v/>
      </c>
    </row>
    <row r="1852">
      <c r="Z1852">
        <f>IF(A1852="","",COUNTIF('40_RAP_DE'!$C:$C,A1852))</f>
        <v/>
      </c>
      <c r="AA1852">
        <f>IF(A1852="","","JFT|"&amp;C1852&amp;"|"&amp;D1852&amp;"|"&amp;E1852&amp;"L"&amp;F1852)</f>
        <v/>
      </c>
    </row>
    <row r="1853">
      <c r="Z1853">
        <f>IF(A1853="","",COUNTIF('40_RAP_DE'!$C:$C,A1853))</f>
        <v/>
      </c>
      <c r="AA1853">
        <f>IF(A1853="","","JFT|"&amp;C1853&amp;"|"&amp;D1853&amp;"|"&amp;E1853&amp;"L"&amp;F1853)</f>
        <v/>
      </c>
    </row>
    <row r="1854">
      <c r="Z1854">
        <f>IF(A1854="","",COUNTIF('40_RAP_DE'!$C:$C,A1854))</f>
        <v/>
      </c>
      <c r="AA1854">
        <f>IF(A1854="","","JFT|"&amp;C1854&amp;"|"&amp;D1854&amp;"|"&amp;E1854&amp;"L"&amp;F1854)</f>
        <v/>
      </c>
    </row>
    <row r="1855">
      <c r="Z1855">
        <f>IF(A1855="","",COUNTIF('40_RAP_DE'!$C:$C,A1855))</f>
        <v/>
      </c>
      <c r="AA1855">
        <f>IF(A1855="","","JFT|"&amp;C1855&amp;"|"&amp;D1855&amp;"|"&amp;E1855&amp;"L"&amp;F1855)</f>
        <v/>
      </c>
    </row>
    <row r="1856">
      <c r="Z1856">
        <f>IF(A1856="","",COUNTIF('40_RAP_DE'!$C:$C,A1856))</f>
        <v/>
      </c>
      <c r="AA1856">
        <f>IF(A1856="","","JFT|"&amp;C1856&amp;"|"&amp;D1856&amp;"|"&amp;E1856&amp;"L"&amp;F1856)</f>
        <v/>
      </c>
    </row>
    <row r="1857">
      <c r="Z1857">
        <f>IF(A1857="","",COUNTIF('40_RAP_DE'!$C:$C,A1857))</f>
        <v/>
      </c>
      <c r="AA1857">
        <f>IF(A1857="","","JFT|"&amp;C1857&amp;"|"&amp;D1857&amp;"|"&amp;E1857&amp;"L"&amp;F1857)</f>
        <v/>
      </c>
    </row>
    <row r="1858">
      <c r="Z1858">
        <f>IF(A1858="","",COUNTIF('40_RAP_DE'!$C:$C,A1858))</f>
        <v/>
      </c>
      <c r="AA1858">
        <f>IF(A1858="","","JFT|"&amp;C1858&amp;"|"&amp;D1858&amp;"|"&amp;E1858&amp;"L"&amp;F1858)</f>
        <v/>
      </c>
    </row>
    <row r="1859">
      <c r="Z1859">
        <f>IF(A1859="","",COUNTIF('40_RAP_DE'!$C:$C,A1859))</f>
        <v/>
      </c>
      <c r="AA1859">
        <f>IF(A1859="","","JFT|"&amp;C1859&amp;"|"&amp;D1859&amp;"|"&amp;E1859&amp;"L"&amp;F1859)</f>
        <v/>
      </c>
    </row>
    <row r="1860">
      <c r="Z1860">
        <f>IF(A1860="","",COUNTIF('40_RAP_DE'!$C:$C,A1860))</f>
        <v/>
      </c>
      <c r="AA1860">
        <f>IF(A1860="","","JFT|"&amp;C1860&amp;"|"&amp;D1860&amp;"|"&amp;E1860&amp;"L"&amp;F1860)</f>
        <v/>
      </c>
    </row>
    <row r="1861">
      <c r="Z1861">
        <f>IF(A1861="","",COUNTIF('40_RAP_DE'!$C:$C,A1861))</f>
        <v/>
      </c>
      <c r="AA1861">
        <f>IF(A1861="","","JFT|"&amp;C1861&amp;"|"&amp;D1861&amp;"|"&amp;E1861&amp;"L"&amp;F1861)</f>
        <v/>
      </c>
    </row>
    <row r="1862">
      <c r="Z1862">
        <f>IF(A1862="","",COUNTIF('40_RAP_DE'!$C:$C,A1862))</f>
        <v/>
      </c>
      <c r="AA1862">
        <f>IF(A1862="","","JFT|"&amp;C1862&amp;"|"&amp;D1862&amp;"|"&amp;E1862&amp;"L"&amp;F1862)</f>
        <v/>
      </c>
    </row>
    <row r="1863">
      <c r="Z1863">
        <f>IF(A1863="","",COUNTIF('40_RAP_DE'!$C:$C,A1863))</f>
        <v/>
      </c>
      <c r="AA1863">
        <f>IF(A1863="","","JFT|"&amp;C1863&amp;"|"&amp;D1863&amp;"|"&amp;E1863&amp;"L"&amp;F1863)</f>
        <v/>
      </c>
    </row>
    <row r="1864">
      <c r="Z1864">
        <f>IF(A1864="","",COUNTIF('40_RAP_DE'!$C:$C,A1864))</f>
        <v/>
      </c>
      <c r="AA1864">
        <f>IF(A1864="","","JFT|"&amp;C1864&amp;"|"&amp;D1864&amp;"|"&amp;E1864&amp;"L"&amp;F1864)</f>
        <v/>
      </c>
    </row>
    <row r="1865">
      <c r="Z1865">
        <f>IF(A1865="","",COUNTIF('40_RAP_DE'!$C:$C,A1865))</f>
        <v/>
      </c>
      <c r="AA1865">
        <f>IF(A1865="","","JFT|"&amp;C1865&amp;"|"&amp;D1865&amp;"|"&amp;E1865&amp;"L"&amp;F1865)</f>
        <v/>
      </c>
    </row>
    <row r="1866">
      <c r="Z1866">
        <f>IF(A1866="","",COUNTIF('40_RAP_DE'!$C:$C,A1866))</f>
        <v/>
      </c>
      <c r="AA1866">
        <f>IF(A1866="","","JFT|"&amp;C1866&amp;"|"&amp;D1866&amp;"|"&amp;E1866&amp;"L"&amp;F1866)</f>
        <v/>
      </c>
    </row>
    <row r="1867">
      <c r="Z1867">
        <f>IF(A1867="","",COUNTIF('40_RAP_DE'!$C:$C,A1867))</f>
        <v/>
      </c>
      <c r="AA1867">
        <f>IF(A1867="","","JFT|"&amp;C1867&amp;"|"&amp;D1867&amp;"|"&amp;E1867&amp;"L"&amp;F1867)</f>
        <v/>
      </c>
    </row>
    <row r="1868">
      <c r="Z1868">
        <f>IF(A1868="","",COUNTIF('40_RAP_DE'!$C:$C,A1868))</f>
        <v/>
      </c>
      <c r="AA1868">
        <f>IF(A1868="","","JFT|"&amp;C1868&amp;"|"&amp;D1868&amp;"|"&amp;E1868&amp;"L"&amp;F1868)</f>
        <v/>
      </c>
    </row>
    <row r="1869">
      <c r="Z1869">
        <f>IF(A1869="","",COUNTIF('40_RAP_DE'!$C:$C,A1869))</f>
        <v/>
      </c>
      <c r="AA1869">
        <f>IF(A1869="","","JFT|"&amp;C1869&amp;"|"&amp;D1869&amp;"|"&amp;E1869&amp;"L"&amp;F1869)</f>
        <v/>
      </c>
    </row>
    <row r="1870">
      <c r="Z1870">
        <f>IF(A1870="","",COUNTIF('40_RAP_DE'!$C:$C,A1870))</f>
        <v/>
      </c>
      <c r="AA1870">
        <f>IF(A1870="","","JFT|"&amp;C1870&amp;"|"&amp;D1870&amp;"|"&amp;E1870&amp;"L"&amp;F1870)</f>
        <v/>
      </c>
    </row>
    <row r="1871">
      <c r="Z1871">
        <f>IF(A1871="","",COUNTIF('40_RAP_DE'!$C:$C,A1871))</f>
        <v/>
      </c>
      <c r="AA1871">
        <f>IF(A1871="","","JFT|"&amp;C1871&amp;"|"&amp;D1871&amp;"|"&amp;E1871&amp;"L"&amp;F1871)</f>
        <v/>
      </c>
    </row>
    <row r="1872">
      <c r="Z1872">
        <f>IF(A1872="","",COUNTIF('40_RAP_DE'!$C:$C,A1872))</f>
        <v/>
      </c>
      <c r="AA1872">
        <f>IF(A1872="","","JFT|"&amp;C1872&amp;"|"&amp;D1872&amp;"|"&amp;E1872&amp;"L"&amp;F1872)</f>
        <v/>
      </c>
    </row>
    <row r="1873">
      <c r="Z1873">
        <f>IF(A1873="","",COUNTIF('40_RAP_DE'!$C:$C,A1873))</f>
        <v/>
      </c>
      <c r="AA1873">
        <f>IF(A1873="","","JFT|"&amp;C1873&amp;"|"&amp;D1873&amp;"|"&amp;E1873&amp;"L"&amp;F1873)</f>
        <v/>
      </c>
    </row>
    <row r="1874">
      <c r="Z1874">
        <f>IF(A1874="","",COUNTIF('40_RAP_DE'!$C:$C,A1874))</f>
        <v/>
      </c>
      <c r="AA1874">
        <f>IF(A1874="","","JFT|"&amp;C1874&amp;"|"&amp;D1874&amp;"|"&amp;E1874&amp;"L"&amp;F1874)</f>
        <v/>
      </c>
    </row>
    <row r="1875">
      <c r="Z1875">
        <f>IF(A1875="","",COUNTIF('40_RAP_DE'!$C:$C,A1875))</f>
        <v/>
      </c>
      <c r="AA1875">
        <f>IF(A1875="","","JFT|"&amp;C1875&amp;"|"&amp;D1875&amp;"|"&amp;E1875&amp;"L"&amp;F1875)</f>
        <v/>
      </c>
    </row>
    <row r="1876">
      <c r="Z1876">
        <f>IF(A1876="","",COUNTIF('40_RAP_DE'!$C:$C,A1876))</f>
        <v/>
      </c>
      <c r="AA1876">
        <f>IF(A1876="","","JFT|"&amp;C1876&amp;"|"&amp;D1876&amp;"|"&amp;E1876&amp;"L"&amp;F1876)</f>
        <v/>
      </c>
    </row>
    <row r="1877">
      <c r="Z1877">
        <f>IF(A1877="","",COUNTIF('40_RAP_DE'!$C:$C,A1877))</f>
        <v/>
      </c>
      <c r="AA1877">
        <f>IF(A1877="","","JFT|"&amp;C1877&amp;"|"&amp;D1877&amp;"|"&amp;E1877&amp;"L"&amp;F1877)</f>
        <v/>
      </c>
    </row>
    <row r="1878">
      <c r="Z1878">
        <f>IF(A1878="","",COUNTIF('40_RAP_DE'!$C:$C,A1878))</f>
        <v/>
      </c>
      <c r="AA1878">
        <f>IF(A1878="","","JFT|"&amp;C1878&amp;"|"&amp;D1878&amp;"|"&amp;E1878&amp;"L"&amp;F1878)</f>
        <v/>
      </c>
    </row>
    <row r="1879">
      <c r="Z1879">
        <f>IF(A1879="","",COUNTIF('40_RAP_DE'!$C:$C,A1879))</f>
        <v/>
      </c>
      <c r="AA1879">
        <f>IF(A1879="","","JFT|"&amp;C1879&amp;"|"&amp;D1879&amp;"|"&amp;E1879&amp;"L"&amp;F1879)</f>
        <v/>
      </c>
    </row>
    <row r="1880">
      <c r="Z1880">
        <f>IF(A1880="","",COUNTIF('40_RAP_DE'!$C:$C,A1880))</f>
        <v/>
      </c>
      <c r="AA1880">
        <f>IF(A1880="","","JFT|"&amp;C1880&amp;"|"&amp;D1880&amp;"|"&amp;E1880&amp;"L"&amp;F1880)</f>
        <v/>
      </c>
    </row>
    <row r="1881">
      <c r="Z1881">
        <f>IF(A1881="","",COUNTIF('40_RAP_DE'!$C:$C,A1881))</f>
        <v/>
      </c>
      <c r="AA1881">
        <f>IF(A1881="","","JFT|"&amp;C1881&amp;"|"&amp;D1881&amp;"|"&amp;E1881&amp;"L"&amp;F1881)</f>
        <v/>
      </c>
    </row>
    <row r="1882">
      <c r="Z1882">
        <f>IF(A1882="","",COUNTIF('40_RAP_DE'!$C:$C,A1882))</f>
        <v/>
      </c>
      <c r="AA1882">
        <f>IF(A1882="","","JFT|"&amp;C1882&amp;"|"&amp;D1882&amp;"|"&amp;E1882&amp;"L"&amp;F1882)</f>
        <v/>
      </c>
    </row>
    <row r="1883">
      <c r="Z1883">
        <f>IF(A1883="","",COUNTIF('40_RAP_DE'!$C:$C,A1883))</f>
        <v/>
      </c>
      <c r="AA1883">
        <f>IF(A1883="","","JFT|"&amp;C1883&amp;"|"&amp;D1883&amp;"|"&amp;E1883&amp;"L"&amp;F1883)</f>
        <v/>
      </c>
    </row>
    <row r="1884">
      <c r="Z1884">
        <f>IF(A1884="","",COUNTIF('40_RAP_DE'!$C:$C,A1884))</f>
        <v/>
      </c>
      <c r="AA1884">
        <f>IF(A1884="","","JFT|"&amp;C1884&amp;"|"&amp;D1884&amp;"|"&amp;E1884&amp;"L"&amp;F1884)</f>
        <v/>
      </c>
    </row>
    <row r="1885">
      <c r="Z1885">
        <f>IF(A1885="","",COUNTIF('40_RAP_DE'!$C:$C,A1885))</f>
        <v/>
      </c>
      <c r="AA1885">
        <f>IF(A1885="","","JFT|"&amp;C1885&amp;"|"&amp;D1885&amp;"|"&amp;E1885&amp;"L"&amp;F1885)</f>
        <v/>
      </c>
    </row>
    <row r="1886">
      <c r="Z1886">
        <f>IF(A1886="","",COUNTIF('40_RAP_DE'!$C:$C,A1886))</f>
        <v/>
      </c>
      <c r="AA1886">
        <f>IF(A1886="","","JFT|"&amp;C1886&amp;"|"&amp;D1886&amp;"|"&amp;E1886&amp;"L"&amp;F1886)</f>
        <v/>
      </c>
    </row>
    <row r="1887">
      <c r="Z1887">
        <f>IF(A1887="","",COUNTIF('40_RAP_DE'!$C:$C,A1887))</f>
        <v/>
      </c>
      <c r="AA1887">
        <f>IF(A1887="","","JFT|"&amp;C1887&amp;"|"&amp;D1887&amp;"|"&amp;E1887&amp;"L"&amp;F1887)</f>
        <v/>
      </c>
    </row>
    <row r="1888">
      <c r="Z1888">
        <f>IF(A1888="","",COUNTIF('40_RAP_DE'!$C:$C,A1888))</f>
        <v/>
      </c>
      <c r="AA1888">
        <f>IF(A1888="","","JFT|"&amp;C1888&amp;"|"&amp;D1888&amp;"|"&amp;E1888&amp;"L"&amp;F1888)</f>
        <v/>
      </c>
    </row>
    <row r="1889">
      <c r="Z1889">
        <f>IF(A1889="","",COUNTIF('40_RAP_DE'!$C:$C,A1889))</f>
        <v/>
      </c>
      <c r="AA1889">
        <f>IF(A1889="","","JFT|"&amp;C1889&amp;"|"&amp;D1889&amp;"|"&amp;E1889&amp;"L"&amp;F1889)</f>
        <v/>
      </c>
    </row>
    <row r="1890">
      <c r="Z1890">
        <f>IF(A1890="","",COUNTIF('40_RAP_DE'!$C:$C,A1890))</f>
        <v/>
      </c>
      <c r="AA1890">
        <f>IF(A1890="","","JFT|"&amp;C1890&amp;"|"&amp;D1890&amp;"|"&amp;E1890&amp;"L"&amp;F1890)</f>
        <v/>
      </c>
    </row>
    <row r="1891">
      <c r="Z1891">
        <f>IF(A1891="","",COUNTIF('40_RAP_DE'!$C:$C,A1891))</f>
        <v/>
      </c>
      <c r="AA1891">
        <f>IF(A1891="","","JFT|"&amp;C1891&amp;"|"&amp;D1891&amp;"|"&amp;E1891&amp;"L"&amp;F1891)</f>
        <v/>
      </c>
    </row>
    <row r="1892">
      <c r="Z1892">
        <f>IF(A1892="","",COUNTIF('40_RAP_DE'!$C:$C,A1892))</f>
        <v/>
      </c>
      <c r="AA1892">
        <f>IF(A1892="","","JFT|"&amp;C1892&amp;"|"&amp;D1892&amp;"|"&amp;E1892&amp;"L"&amp;F1892)</f>
        <v/>
      </c>
    </row>
    <row r="1893">
      <c r="Z1893">
        <f>IF(A1893="","",COUNTIF('40_RAP_DE'!$C:$C,A1893))</f>
        <v/>
      </c>
      <c r="AA1893">
        <f>IF(A1893="","","JFT|"&amp;C1893&amp;"|"&amp;D1893&amp;"|"&amp;E1893&amp;"L"&amp;F1893)</f>
        <v/>
      </c>
    </row>
    <row r="1894">
      <c r="Z1894">
        <f>IF(A1894="","",COUNTIF('40_RAP_DE'!$C:$C,A1894))</f>
        <v/>
      </c>
      <c r="AA1894">
        <f>IF(A1894="","","JFT|"&amp;C1894&amp;"|"&amp;D1894&amp;"|"&amp;E1894&amp;"L"&amp;F1894)</f>
        <v/>
      </c>
    </row>
    <row r="1895">
      <c r="Z1895">
        <f>IF(A1895="","",COUNTIF('40_RAP_DE'!$C:$C,A1895))</f>
        <v/>
      </c>
      <c r="AA1895">
        <f>IF(A1895="","","JFT|"&amp;C1895&amp;"|"&amp;D1895&amp;"|"&amp;E1895&amp;"L"&amp;F1895)</f>
        <v/>
      </c>
    </row>
    <row r="1896">
      <c r="Z1896">
        <f>IF(A1896="","",COUNTIF('40_RAP_DE'!$C:$C,A1896))</f>
        <v/>
      </c>
      <c r="AA1896">
        <f>IF(A1896="","","JFT|"&amp;C1896&amp;"|"&amp;D1896&amp;"|"&amp;E1896&amp;"L"&amp;F1896)</f>
        <v/>
      </c>
    </row>
    <row r="1897">
      <c r="Z1897">
        <f>IF(A1897="","",COUNTIF('40_RAP_DE'!$C:$C,A1897))</f>
        <v/>
      </c>
      <c r="AA1897">
        <f>IF(A1897="","","JFT|"&amp;C1897&amp;"|"&amp;D1897&amp;"|"&amp;E1897&amp;"L"&amp;F1897)</f>
        <v/>
      </c>
    </row>
    <row r="1898">
      <c r="Z1898">
        <f>IF(A1898="","",COUNTIF('40_RAP_DE'!$C:$C,A1898))</f>
        <v/>
      </c>
      <c r="AA1898">
        <f>IF(A1898="","","JFT|"&amp;C1898&amp;"|"&amp;D1898&amp;"|"&amp;E1898&amp;"L"&amp;F1898)</f>
        <v/>
      </c>
    </row>
    <row r="1899">
      <c r="Z1899">
        <f>IF(A1899="","",COUNTIF('40_RAP_DE'!$C:$C,A1899))</f>
        <v/>
      </c>
      <c r="AA1899">
        <f>IF(A1899="","","JFT|"&amp;C1899&amp;"|"&amp;D1899&amp;"|"&amp;E1899&amp;"L"&amp;F1899)</f>
        <v/>
      </c>
    </row>
    <row r="1900">
      <c r="Z1900">
        <f>IF(A1900="","",COUNTIF('40_RAP_DE'!$C:$C,A1900))</f>
        <v/>
      </c>
      <c r="AA1900">
        <f>IF(A1900="","","JFT|"&amp;C1900&amp;"|"&amp;D1900&amp;"|"&amp;E1900&amp;"L"&amp;F1900)</f>
        <v/>
      </c>
    </row>
    <row r="1901">
      <c r="Z1901">
        <f>IF(A1901="","",COUNTIF('40_RAP_DE'!$C:$C,A1901))</f>
        <v/>
      </c>
      <c r="AA1901">
        <f>IF(A1901="","","JFT|"&amp;C1901&amp;"|"&amp;D1901&amp;"|"&amp;E1901&amp;"L"&amp;F1901)</f>
        <v/>
      </c>
    </row>
    <row r="1902">
      <c r="Z1902">
        <f>IF(A1902="","",COUNTIF('40_RAP_DE'!$C:$C,A1902))</f>
        <v/>
      </c>
      <c r="AA1902">
        <f>IF(A1902="","","JFT|"&amp;C1902&amp;"|"&amp;D1902&amp;"|"&amp;E1902&amp;"L"&amp;F1902)</f>
        <v/>
      </c>
    </row>
    <row r="1903">
      <c r="Z1903">
        <f>IF(A1903="","",COUNTIF('40_RAP_DE'!$C:$C,A1903))</f>
        <v/>
      </c>
      <c r="AA1903">
        <f>IF(A1903="","","JFT|"&amp;C1903&amp;"|"&amp;D1903&amp;"|"&amp;E1903&amp;"L"&amp;F1903)</f>
        <v/>
      </c>
    </row>
    <row r="1904">
      <c r="Z1904">
        <f>IF(A1904="","",COUNTIF('40_RAP_DE'!$C:$C,A1904))</f>
        <v/>
      </c>
      <c r="AA1904">
        <f>IF(A1904="","","JFT|"&amp;C1904&amp;"|"&amp;D1904&amp;"|"&amp;E1904&amp;"L"&amp;F1904)</f>
        <v/>
      </c>
    </row>
    <row r="1905">
      <c r="Z1905">
        <f>IF(A1905="","",COUNTIF('40_RAP_DE'!$C:$C,A1905))</f>
        <v/>
      </c>
      <c r="AA1905">
        <f>IF(A1905="","","JFT|"&amp;C1905&amp;"|"&amp;D1905&amp;"|"&amp;E1905&amp;"L"&amp;F1905)</f>
        <v/>
      </c>
    </row>
    <row r="1906">
      <c r="Z1906">
        <f>IF(A1906="","",COUNTIF('40_RAP_DE'!$C:$C,A1906))</f>
        <v/>
      </c>
      <c r="AA1906">
        <f>IF(A1906="","","JFT|"&amp;C1906&amp;"|"&amp;D1906&amp;"|"&amp;E1906&amp;"L"&amp;F1906)</f>
        <v/>
      </c>
    </row>
    <row r="1907">
      <c r="Z1907">
        <f>IF(A1907="","",COUNTIF('40_RAP_DE'!$C:$C,A1907))</f>
        <v/>
      </c>
      <c r="AA1907">
        <f>IF(A1907="","","JFT|"&amp;C1907&amp;"|"&amp;D1907&amp;"|"&amp;E1907&amp;"L"&amp;F1907)</f>
        <v/>
      </c>
    </row>
    <row r="1908">
      <c r="Z1908">
        <f>IF(A1908="","",COUNTIF('40_RAP_DE'!$C:$C,A1908))</f>
        <v/>
      </c>
      <c r="AA1908">
        <f>IF(A1908="","","JFT|"&amp;C1908&amp;"|"&amp;D1908&amp;"|"&amp;E1908&amp;"L"&amp;F1908)</f>
        <v/>
      </c>
    </row>
    <row r="1909">
      <c r="Z1909">
        <f>IF(A1909="","",COUNTIF('40_RAP_DE'!$C:$C,A1909))</f>
        <v/>
      </c>
      <c r="AA1909">
        <f>IF(A1909="","","JFT|"&amp;C1909&amp;"|"&amp;D1909&amp;"|"&amp;E1909&amp;"L"&amp;F1909)</f>
        <v/>
      </c>
    </row>
    <row r="1910">
      <c r="Z1910">
        <f>IF(A1910="","",COUNTIF('40_RAP_DE'!$C:$C,A1910))</f>
        <v/>
      </c>
      <c r="AA1910">
        <f>IF(A1910="","","JFT|"&amp;C1910&amp;"|"&amp;D1910&amp;"|"&amp;E1910&amp;"L"&amp;F1910)</f>
        <v/>
      </c>
    </row>
    <row r="1911">
      <c r="Z1911">
        <f>IF(A1911="","",COUNTIF('40_RAP_DE'!$C:$C,A1911))</f>
        <v/>
      </c>
      <c r="AA1911">
        <f>IF(A1911="","","JFT|"&amp;C1911&amp;"|"&amp;D1911&amp;"|"&amp;E1911&amp;"L"&amp;F1911)</f>
        <v/>
      </c>
    </row>
    <row r="1912">
      <c r="Z1912">
        <f>IF(A1912="","",COUNTIF('40_RAP_DE'!$C:$C,A1912))</f>
        <v/>
      </c>
      <c r="AA1912">
        <f>IF(A1912="","","JFT|"&amp;C1912&amp;"|"&amp;D1912&amp;"|"&amp;E1912&amp;"L"&amp;F1912)</f>
        <v/>
      </c>
    </row>
    <row r="1913">
      <c r="Z1913">
        <f>IF(A1913="","",COUNTIF('40_RAP_DE'!$C:$C,A1913))</f>
        <v/>
      </c>
      <c r="AA1913">
        <f>IF(A1913="","","JFT|"&amp;C1913&amp;"|"&amp;D1913&amp;"|"&amp;E1913&amp;"L"&amp;F1913)</f>
        <v/>
      </c>
    </row>
    <row r="1914">
      <c r="Z1914">
        <f>IF(A1914="","",COUNTIF('40_RAP_DE'!$C:$C,A1914))</f>
        <v/>
      </c>
      <c r="AA1914">
        <f>IF(A1914="","","JFT|"&amp;C1914&amp;"|"&amp;D1914&amp;"|"&amp;E1914&amp;"L"&amp;F1914)</f>
        <v/>
      </c>
    </row>
    <row r="1915">
      <c r="Z1915">
        <f>IF(A1915="","",COUNTIF('40_RAP_DE'!$C:$C,A1915))</f>
        <v/>
      </c>
      <c r="AA1915">
        <f>IF(A1915="","","JFT|"&amp;C1915&amp;"|"&amp;D1915&amp;"|"&amp;E1915&amp;"L"&amp;F1915)</f>
        <v/>
      </c>
    </row>
    <row r="1916">
      <c r="Z1916">
        <f>IF(A1916="","",COUNTIF('40_RAP_DE'!$C:$C,A1916))</f>
        <v/>
      </c>
      <c r="AA1916">
        <f>IF(A1916="","","JFT|"&amp;C1916&amp;"|"&amp;D1916&amp;"|"&amp;E1916&amp;"L"&amp;F1916)</f>
        <v/>
      </c>
    </row>
    <row r="1917">
      <c r="Z1917">
        <f>IF(A1917="","",COUNTIF('40_RAP_DE'!$C:$C,A1917))</f>
        <v/>
      </c>
      <c r="AA1917">
        <f>IF(A1917="","","JFT|"&amp;C1917&amp;"|"&amp;D1917&amp;"|"&amp;E1917&amp;"L"&amp;F1917)</f>
        <v/>
      </c>
    </row>
    <row r="1918">
      <c r="Z1918">
        <f>IF(A1918="","",COUNTIF('40_RAP_DE'!$C:$C,A1918))</f>
        <v/>
      </c>
      <c r="AA1918">
        <f>IF(A1918="","","JFT|"&amp;C1918&amp;"|"&amp;D1918&amp;"|"&amp;E1918&amp;"L"&amp;F1918)</f>
        <v/>
      </c>
    </row>
    <row r="1919">
      <c r="Z1919">
        <f>IF(A1919="","",COUNTIF('40_RAP_DE'!$C:$C,A1919))</f>
        <v/>
      </c>
      <c r="AA1919">
        <f>IF(A1919="","","JFT|"&amp;C1919&amp;"|"&amp;D1919&amp;"|"&amp;E1919&amp;"L"&amp;F1919)</f>
        <v/>
      </c>
    </row>
    <row r="1920">
      <c r="Z1920">
        <f>IF(A1920="","",COUNTIF('40_RAP_DE'!$C:$C,A1920))</f>
        <v/>
      </c>
      <c r="AA1920">
        <f>IF(A1920="","","JFT|"&amp;C1920&amp;"|"&amp;D1920&amp;"|"&amp;E1920&amp;"L"&amp;F1920)</f>
        <v/>
      </c>
    </row>
    <row r="1921">
      <c r="Z1921">
        <f>IF(A1921="","",COUNTIF('40_RAP_DE'!$C:$C,A1921))</f>
        <v/>
      </c>
      <c r="AA1921">
        <f>IF(A1921="","","JFT|"&amp;C1921&amp;"|"&amp;D1921&amp;"|"&amp;E1921&amp;"L"&amp;F1921)</f>
        <v/>
      </c>
    </row>
    <row r="1922">
      <c r="Z1922">
        <f>IF(A1922="","",COUNTIF('40_RAP_DE'!$C:$C,A1922))</f>
        <v/>
      </c>
      <c r="AA1922">
        <f>IF(A1922="","","JFT|"&amp;C1922&amp;"|"&amp;D1922&amp;"|"&amp;E1922&amp;"L"&amp;F1922)</f>
        <v/>
      </c>
    </row>
    <row r="1923">
      <c r="Z1923">
        <f>IF(A1923="","",COUNTIF('40_RAP_DE'!$C:$C,A1923))</f>
        <v/>
      </c>
      <c r="AA1923">
        <f>IF(A1923="","","JFT|"&amp;C1923&amp;"|"&amp;D1923&amp;"|"&amp;E1923&amp;"L"&amp;F1923)</f>
        <v/>
      </c>
    </row>
    <row r="1924">
      <c r="Z1924">
        <f>IF(A1924="","",COUNTIF('40_RAP_DE'!$C:$C,A1924))</f>
        <v/>
      </c>
      <c r="AA1924">
        <f>IF(A1924="","","JFT|"&amp;C1924&amp;"|"&amp;D1924&amp;"|"&amp;E1924&amp;"L"&amp;F1924)</f>
        <v/>
      </c>
    </row>
    <row r="1925">
      <c r="Z1925">
        <f>IF(A1925="","",COUNTIF('40_RAP_DE'!$C:$C,A1925))</f>
        <v/>
      </c>
      <c r="AA1925">
        <f>IF(A1925="","","JFT|"&amp;C1925&amp;"|"&amp;D1925&amp;"|"&amp;E1925&amp;"L"&amp;F1925)</f>
        <v/>
      </c>
    </row>
    <row r="1926">
      <c r="Z1926">
        <f>IF(A1926="","",COUNTIF('40_RAP_DE'!$C:$C,A1926))</f>
        <v/>
      </c>
      <c r="AA1926">
        <f>IF(A1926="","","JFT|"&amp;C1926&amp;"|"&amp;D1926&amp;"|"&amp;E1926&amp;"L"&amp;F1926)</f>
        <v/>
      </c>
    </row>
    <row r="1927">
      <c r="Z1927">
        <f>IF(A1927="","",COUNTIF('40_RAP_DE'!$C:$C,A1927))</f>
        <v/>
      </c>
      <c r="AA1927">
        <f>IF(A1927="","","JFT|"&amp;C1927&amp;"|"&amp;D1927&amp;"|"&amp;E1927&amp;"L"&amp;F1927)</f>
        <v/>
      </c>
    </row>
    <row r="1928">
      <c r="Z1928">
        <f>IF(A1928="","",COUNTIF('40_RAP_DE'!$C:$C,A1928))</f>
        <v/>
      </c>
      <c r="AA1928">
        <f>IF(A1928="","","JFT|"&amp;C1928&amp;"|"&amp;D1928&amp;"|"&amp;E1928&amp;"L"&amp;F1928)</f>
        <v/>
      </c>
    </row>
    <row r="1929">
      <c r="Z1929">
        <f>IF(A1929="","",COUNTIF('40_RAP_DE'!$C:$C,A1929))</f>
        <v/>
      </c>
      <c r="AA1929">
        <f>IF(A1929="","","JFT|"&amp;C1929&amp;"|"&amp;D1929&amp;"|"&amp;E1929&amp;"L"&amp;F1929)</f>
        <v/>
      </c>
    </row>
    <row r="1930">
      <c r="Z1930">
        <f>IF(A1930="","",COUNTIF('40_RAP_DE'!$C:$C,A1930))</f>
        <v/>
      </c>
      <c r="AA1930">
        <f>IF(A1930="","","JFT|"&amp;C1930&amp;"|"&amp;D1930&amp;"|"&amp;E1930&amp;"L"&amp;F1930)</f>
        <v/>
      </c>
    </row>
    <row r="1931">
      <c r="Z1931">
        <f>IF(A1931="","",COUNTIF('40_RAP_DE'!$C:$C,A1931))</f>
        <v/>
      </c>
      <c r="AA1931">
        <f>IF(A1931="","","JFT|"&amp;C1931&amp;"|"&amp;D1931&amp;"|"&amp;E1931&amp;"L"&amp;F1931)</f>
        <v/>
      </c>
    </row>
    <row r="1932">
      <c r="Z1932">
        <f>IF(A1932="","",COUNTIF('40_RAP_DE'!$C:$C,A1932))</f>
        <v/>
      </c>
      <c r="AA1932">
        <f>IF(A1932="","","JFT|"&amp;C1932&amp;"|"&amp;D1932&amp;"|"&amp;E1932&amp;"L"&amp;F1932)</f>
        <v/>
      </c>
    </row>
    <row r="1933">
      <c r="Z1933">
        <f>IF(A1933="","",COUNTIF('40_RAP_DE'!$C:$C,A1933))</f>
        <v/>
      </c>
      <c r="AA1933">
        <f>IF(A1933="","","JFT|"&amp;C1933&amp;"|"&amp;D1933&amp;"|"&amp;E1933&amp;"L"&amp;F1933)</f>
        <v/>
      </c>
    </row>
    <row r="1934">
      <c r="Z1934">
        <f>IF(A1934="","",COUNTIF('40_RAP_DE'!$C:$C,A1934))</f>
        <v/>
      </c>
      <c r="AA1934">
        <f>IF(A1934="","","JFT|"&amp;C1934&amp;"|"&amp;D1934&amp;"|"&amp;E1934&amp;"L"&amp;F1934)</f>
        <v/>
      </c>
    </row>
    <row r="1935">
      <c r="Z1935">
        <f>IF(A1935="","",COUNTIF('40_RAP_DE'!$C:$C,A1935))</f>
        <v/>
      </c>
      <c r="AA1935">
        <f>IF(A1935="","","JFT|"&amp;C1935&amp;"|"&amp;D1935&amp;"|"&amp;E1935&amp;"L"&amp;F1935)</f>
        <v/>
      </c>
    </row>
    <row r="1936">
      <c r="Z1936">
        <f>IF(A1936="","",COUNTIF('40_RAP_DE'!$C:$C,A1936))</f>
        <v/>
      </c>
      <c r="AA1936">
        <f>IF(A1936="","","JFT|"&amp;C1936&amp;"|"&amp;D1936&amp;"|"&amp;E1936&amp;"L"&amp;F1936)</f>
        <v/>
      </c>
    </row>
    <row r="1937">
      <c r="Z1937">
        <f>IF(A1937="","",COUNTIF('40_RAP_DE'!$C:$C,A1937))</f>
        <v/>
      </c>
      <c r="AA1937">
        <f>IF(A1937="","","JFT|"&amp;C1937&amp;"|"&amp;D1937&amp;"|"&amp;E1937&amp;"L"&amp;F1937)</f>
        <v/>
      </c>
    </row>
    <row r="1938">
      <c r="Z1938">
        <f>IF(A1938="","",COUNTIF('40_RAP_DE'!$C:$C,A1938))</f>
        <v/>
      </c>
      <c r="AA1938">
        <f>IF(A1938="","","JFT|"&amp;C1938&amp;"|"&amp;D1938&amp;"|"&amp;E1938&amp;"L"&amp;F1938)</f>
        <v/>
      </c>
    </row>
    <row r="1939">
      <c r="Z1939">
        <f>IF(A1939="","",COUNTIF('40_RAP_DE'!$C:$C,A1939))</f>
        <v/>
      </c>
      <c r="AA1939">
        <f>IF(A1939="","","JFT|"&amp;C1939&amp;"|"&amp;D1939&amp;"|"&amp;E1939&amp;"L"&amp;F1939)</f>
        <v/>
      </c>
    </row>
    <row r="1940">
      <c r="Z1940">
        <f>IF(A1940="","",COUNTIF('40_RAP_DE'!$C:$C,A1940))</f>
        <v/>
      </c>
      <c r="AA1940">
        <f>IF(A1940="","","JFT|"&amp;C1940&amp;"|"&amp;D1940&amp;"|"&amp;E1940&amp;"L"&amp;F1940)</f>
        <v/>
      </c>
    </row>
    <row r="1941">
      <c r="Z1941">
        <f>IF(A1941="","",COUNTIF('40_RAP_DE'!$C:$C,A1941))</f>
        <v/>
      </c>
      <c r="AA1941">
        <f>IF(A1941="","","JFT|"&amp;C1941&amp;"|"&amp;D1941&amp;"|"&amp;E1941&amp;"L"&amp;F1941)</f>
        <v/>
      </c>
    </row>
    <row r="1942">
      <c r="Z1942">
        <f>IF(A1942="","",COUNTIF('40_RAP_DE'!$C:$C,A1942))</f>
        <v/>
      </c>
      <c r="AA1942">
        <f>IF(A1942="","","JFT|"&amp;C1942&amp;"|"&amp;D1942&amp;"|"&amp;E1942&amp;"L"&amp;F1942)</f>
        <v/>
      </c>
    </row>
    <row r="1943">
      <c r="Z1943">
        <f>IF(A1943="","",COUNTIF('40_RAP_DE'!$C:$C,A1943))</f>
        <v/>
      </c>
      <c r="AA1943">
        <f>IF(A1943="","","JFT|"&amp;C1943&amp;"|"&amp;D1943&amp;"|"&amp;E1943&amp;"L"&amp;F1943)</f>
        <v/>
      </c>
    </row>
    <row r="1944">
      <c r="Z1944">
        <f>IF(A1944="","",COUNTIF('40_RAP_DE'!$C:$C,A1944))</f>
        <v/>
      </c>
      <c r="AA1944">
        <f>IF(A1944="","","JFT|"&amp;C1944&amp;"|"&amp;D1944&amp;"|"&amp;E1944&amp;"L"&amp;F1944)</f>
        <v/>
      </c>
    </row>
    <row r="1945">
      <c r="Z1945">
        <f>IF(A1945="","",COUNTIF('40_RAP_DE'!$C:$C,A1945))</f>
        <v/>
      </c>
      <c r="AA1945">
        <f>IF(A1945="","","JFT|"&amp;C1945&amp;"|"&amp;D1945&amp;"|"&amp;E1945&amp;"L"&amp;F1945)</f>
        <v/>
      </c>
    </row>
    <row r="1946">
      <c r="Z1946">
        <f>IF(A1946="","",COUNTIF('40_RAP_DE'!$C:$C,A1946))</f>
        <v/>
      </c>
      <c r="AA1946">
        <f>IF(A1946="","","JFT|"&amp;C1946&amp;"|"&amp;D1946&amp;"|"&amp;E1946&amp;"L"&amp;F1946)</f>
        <v/>
      </c>
    </row>
    <row r="1947">
      <c r="Z1947">
        <f>IF(A1947="","",COUNTIF('40_RAP_DE'!$C:$C,A1947))</f>
        <v/>
      </c>
      <c r="AA1947">
        <f>IF(A1947="","","JFT|"&amp;C1947&amp;"|"&amp;D1947&amp;"|"&amp;E1947&amp;"L"&amp;F1947)</f>
        <v/>
      </c>
    </row>
    <row r="1948">
      <c r="Z1948">
        <f>IF(A1948="","",COUNTIF('40_RAP_DE'!$C:$C,A1948))</f>
        <v/>
      </c>
      <c r="AA1948">
        <f>IF(A1948="","","JFT|"&amp;C1948&amp;"|"&amp;D1948&amp;"|"&amp;E1948&amp;"L"&amp;F1948)</f>
        <v/>
      </c>
    </row>
    <row r="1949">
      <c r="Z1949">
        <f>IF(A1949="","",COUNTIF('40_RAP_DE'!$C:$C,A1949))</f>
        <v/>
      </c>
      <c r="AA1949">
        <f>IF(A1949="","","JFT|"&amp;C1949&amp;"|"&amp;D1949&amp;"|"&amp;E1949&amp;"L"&amp;F1949)</f>
        <v/>
      </c>
    </row>
    <row r="1950">
      <c r="Z1950">
        <f>IF(A1950="","",COUNTIF('40_RAP_DE'!$C:$C,A1950))</f>
        <v/>
      </c>
      <c r="AA1950">
        <f>IF(A1950="","","JFT|"&amp;C1950&amp;"|"&amp;D1950&amp;"|"&amp;E1950&amp;"L"&amp;F1950)</f>
        <v/>
      </c>
    </row>
    <row r="1951">
      <c r="Z1951">
        <f>IF(A1951="","",COUNTIF('40_RAP_DE'!$C:$C,A1951))</f>
        <v/>
      </c>
      <c r="AA1951">
        <f>IF(A1951="","","JFT|"&amp;C1951&amp;"|"&amp;D1951&amp;"|"&amp;E1951&amp;"L"&amp;F1951)</f>
        <v/>
      </c>
    </row>
    <row r="1952">
      <c r="Z1952">
        <f>IF(A1952="","",COUNTIF('40_RAP_DE'!$C:$C,A1952))</f>
        <v/>
      </c>
      <c r="AA1952">
        <f>IF(A1952="","","JFT|"&amp;C1952&amp;"|"&amp;D1952&amp;"|"&amp;E1952&amp;"L"&amp;F1952)</f>
        <v/>
      </c>
    </row>
    <row r="1953">
      <c r="Z1953">
        <f>IF(A1953="","",COUNTIF('40_RAP_DE'!$C:$C,A1953))</f>
        <v/>
      </c>
      <c r="AA1953">
        <f>IF(A1953="","","JFT|"&amp;C1953&amp;"|"&amp;D1953&amp;"|"&amp;E1953&amp;"L"&amp;F1953)</f>
        <v/>
      </c>
    </row>
    <row r="1954">
      <c r="Z1954">
        <f>IF(A1954="","",COUNTIF('40_RAP_DE'!$C:$C,A1954))</f>
        <v/>
      </c>
      <c r="AA1954">
        <f>IF(A1954="","","JFT|"&amp;C1954&amp;"|"&amp;D1954&amp;"|"&amp;E1954&amp;"L"&amp;F1954)</f>
        <v/>
      </c>
    </row>
    <row r="1955">
      <c r="Z1955">
        <f>IF(A1955="","",COUNTIF('40_RAP_DE'!$C:$C,A1955))</f>
        <v/>
      </c>
      <c r="AA1955">
        <f>IF(A1955="","","JFT|"&amp;C1955&amp;"|"&amp;D1955&amp;"|"&amp;E1955&amp;"L"&amp;F1955)</f>
        <v/>
      </c>
    </row>
    <row r="1956">
      <c r="Z1956">
        <f>IF(A1956="","",COUNTIF('40_RAP_DE'!$C:$C,A1956))</f>
        <v/>
      </c>
      <c r="AA1956">
        <f>IF(A1956="","","JFT|"&amp;C1956&amp;"|"&amp;D1956&amp;"|"&amp;E1956&amp;"L"&amp;F1956)</f>
        <v/>
      </c>
    </row>
    <row r="1957">
      <c r="Z1957">
        <f>IF(A1957="","",COUNTIF('40_RAP_DE'!$C:$C,A1957))</f>
        <v/>
      </c>
      <c r="AA1957">
        <f>IF(A1957="","","JFT|"&amp;C1957&amp;"|"&amp;D1957&amp;"|"&amp;E1957&amp;"L"&amp;F1957)</f>
        <v/>
      </c>
    </row>
    <row r="1958">
      <c r="Z1958">
        <f>IF(A1958="","",COUNTIF('40_RAP_DE'!$C:$C,A1958))</f>
        <v/>
      </c>
      <c r="AA1958">
        <f>IF(A1958="","","JFT|"&amp;C1958&amp;"|"&amp;D1958&amp;"|"&amp;E1958&amp;"L"&amp;F1958)</f>
        <v/>
      </c>
    </row>
    <row r="1959">
      <c r="Z1959">
        <f>IF(A1959="","",COUNTIF('40_RAP_DE'!$C:$C,A1959))</f>
        <v/>
      </c>
      <c r="AA1959">
        <f>IF(A1959="","","JFT|"&amp;C1959&amp;"|"&amp;D1959&amp;"|"&amp;E1959&amp;"L"&amp;F1959)</f>
        <v/>
      </c>
    </row>
    <row r="1960">
      <c r="Z1960">
        <f>IF(A1960="","",COUNTIF('40_RAP_DE'!$C:$C,A1960))</f>
        <v/>
      </c>
      <c r="AA1960">
        <f>IF(A1960="","","JFT|"&amp;C1960&amp;"|"&amp;D1960&amp;"|"&amp;E1960&amp;"L"&amp;F1960)</f>
        <v/>
      </c>
    </row>
    <row r="1961">
      <c r="Z1961">
        <f>IF(A1961="","",COUNTIF('40_RAP_DE'!$C:$C,A1961))</f>
        <v/>
      </c>
      <c r="AA1961">
        <f>IF(A1961="","","JFT|"&amp;C1961&amp;"|"&amp;D1961&amp;"|"&amp;E1961&amp;"L"&amp;F1961)</f>
        <v/>
      </c>
    </row>
    <row r="1962">
      <c r="Z1962">
        <f>IF(A1962="","",COUNTIF('40_RAP_DE'!$C:$C,A1962))</f>
        <v/>
      </c>
      <c r="AA1962">
        <f>IF(A1962="","","JFT|"&amp;C1962&amp;"|"&amp;D1962&amp;"|"&amp;E1962&amp;"L"&amp;F1962)</f>
        <v/>
      </c>
    </row>
    <row r="1963">
      <c r="Z1963">
        <f>IF(A1963="","",COUNTIF('40_RAP_DE'!$C:$C,A1963))</f>
        <v/>
      </c>
      <c r="AA1963">
        <f>IF(A1963="","","JFT|"&amp;C1963&amp;"|"&amp;D1963&amp;"|"&amp;E1963&amp;"L"&amp;F1963)</f>
        <v/>
      </c>
    </row>
    <row r="1964">
      <c r="Z1964">
        <f>IF(A1964="","",COUNTIF('40_RAP_DE'!$C:$C,A1964))</f>
        <v/>
      </c>
      <c r="AA1964">
        <f>IF(A1964="","","JFT|"&amp;C1964&amp;"|"&amp;D1964&amp;"|"&amp;E1964&amp;"L"&amp;F1964)</f>
        <v/>
      </c>
    </row>
    <row r="1965">
      <c r="Z1965">
        <f>IF(A1965="","",COUNTIF('40_RAP_DE'!$C:$C,A1965))</f>
        <v/>
      </c>
      <c r="AA1965">
        <f>IF(A1965="","","JFT|"&amp;C1965&amp;"|"&amp;D1965&amp;"|"&amp;E1965&amp;"L"&amp;F1965)</f>
        <v/>
      </c>
    </row>
    <row r="1966">
      <c r="Z1966">
        <f>IF(A1966="","",COUNTIF('40_RAP_DE'!$C:$C,A1966))</f>
        <v/>
      </c>
      <c r="AA1966">
        <f>IF(A1966="","","JFT|"&amp;C1966&amp;"|"&amp;D1966&amp;"|"&amp;E1966&amp;"L"&amp;F1966)</f>
        <v/>
      </c>
    </row>
    <row r="1967">
      <c r="Z1967">
        <f>IF(A1967="","",COUNTIF('40_RAP_DE'!$C:$C,A1967))</f>
        <v/>
      </c>
      <c r="AA1967">
        <f>IF(A1967="","","JFT|"&amp;C1967&amp;"|"&amp;D1967&amp;"|"&amp;E1967&amp;"L"&amp;F1967)</f>
        <v/>
      </c>
    </row>
    <row r="1968">
      <c r="Z1968">
        <f>IF(A1968="","",COUNTIF('40_RAP_DE'!$C:$C,A1968))</f>
        <v/>
      </c>
      <c r="AA1968">
        <f>IF(A1968="","","JFT|"&amp;C1968&amp;"|"&amp;D1968&amp;"|"&amp;E1968&amp;"L"&amp;F1968)</f>
        <v/>
      </c>
    </row>
    <row r="1969">
      <c r="Z1969">
        <f>IF(A1969="","",COUNTIF('40_RAP_DE'!$C:$C,A1969))</f>
        <v/>
      </c>
      <c r="AA1969">
        <f>IF(A1969="","","JFT|"&amp;C1969&amp;"|"&amp;D1969&amp;"|"&amp;E1969&amp;"L"&amp;F1969)</f>
        <v/>
      </c>
    </row>
    <row r="1970">
      <c r="Z1970">
        <f>IF(A1970="","",COUNTIF('40_RAP_DE'!$C:$C,A1970))</f>
        <v/>
      </c>
      <c r="AA1970">
        <f>IF(A1970="","","JFT|"&amp;C1970&amp;"|"&amp;D1970&amp;"|"&amp;E1970&amp;"L"&amp;F1970)</f>
        <v/>
      </c>
    </row>
    <row r="1971">
      <c r="Z1971">
        <f>IF(A1971="","",COUNTIF('40_RAP_DE'!$C:$C,A1971))</f>
        <v/>
      </c>
      <c r="AA1971">
        <f>IF(A1971="","","JFT|"&amp;C1971&amp;"|"&amp;D1971&amp;"|"&amp;E1971&amp;"L"&amp;F1971)</f>
        <v/>
      </c>
    </row>
    <row r="1972">
      <c r="Z1972">
        <f>IF(A1972="","",COUNTIF('40_RAP_DE'!$C:$C,A1972))</f>
        <v/>
      </c>
      <c r="AA1972">
        <f>IF(A1972="","","JFT|"&amp;C1972&amp;"|"&amp;D1972&amp;"|"&amp;E1972&amp;"L"&amp;F1972)</f>
        <v/>
      </c>
    </row>
    <row r="1973">
      <c r="Z1973">
        <f>IF(A1973="","",COUNTIF('40_RAP_DE'!$C:$C,A1973))</f>
        <v/>
      </c>
      <c r="AA1973">
        <f>IF(A1973="","","JFT|"&amp;C1973&amp;"|"&amp;D1973&amp;"|"&amp;E1973&amp;"L"&amp;F1973)</f>
        <v/>
      </c>
    </row>
    <row r="1974">
      <c r="Z1974">
        <f>IF(A1974="","",COUNTIF('40_RAP_DE'!$C:$C,A1974))</f>
        <v/>
      </c>
      <c r="AA1974">
        <f>IF(A1974="","","JFT|"&amp;C1974&amp;"|"&amp;D1974&amp;"|"&amp;E1974&amp;"L"&amp;F1974)</f>
        <v/>
      </c>
    </row>
    <row r="1975">
      <c r="Z1975">
        <f>IF(A1975="","",COUNTIF('40_RAP_DE'!$C:$C,A1975))</f>
        <v/>
      </c>
      <c r="AA1975">
        <f>IF(A1975="","","JFT|"&amp;C1975&amp;"|"&amp;D1975&amp;"|"&amp;E1975&amp;"L"&amp;F1975)</f>
        <v/>
      </c>
    </row>
    <row r="1976">
      <c r="Z1976">
        <f>IF(A1976="","",COUNTIF('40_RAP_DE'!$C:$C,A1976))</f>
        <v/>
      </c>
      <c r="AA1976">
        <f>IF(A1976="","","JFT|"&amp;C1976&amp;"|"&amp;D1976&amp;"|"&amp;E1976&amp;"L"&amp;F1976)</f>
        <v/>
      </c>
    </row>
    <row r="1977">
      <c r="Z1977">
        <f>IF(A1977="","",COUNTIF('40_RAP_DE'!$C:$C,A1977))</f>
        <v/>
      </c>
      <c r="AA1977">
        <f>IF(A1977="","","JFT|"&amp;C1977&amp;"|"&amp;D1977&amp;"|"&amp;E1977&amp;"L"&amp;F1977)</f>
        <v/>
      </c>
    </row>
    <row r="1978">
      <c r="Z1978">
        <f>IF(A1978="","",COUNTIF('40_RAP_DE'!$C:$C,A1978))</f>
        <v/>
      </c>
      <c r="AA1978">
        <f>IF(A1978="","","JFT|"&amp;C1978&amp;"|"&amp;D1978&amp;"|"&amp;E1978&amp;"L"&amp;F1978)</f>
        <v/>
      </c>
    </row>
    <row r="1979">
      <c r="Z1979">
        <f>IF(A1979="","",COUNTIF('40_RAP_DE'!$C:$C,A1979))</f>
        <v/>
      </c>
      <c r="AA1979">
        <f>IF(A1979="","","JFT|"&amp;C1979&amp;"|"&amp;D1979&amp;"|"&amp;E1979&amp;"L"&amp;F1979)</f>
        <v/>
      </c>
    </row>
    <row r="1980">
      <c r="Z1980">
        <f>IF(A1980="","",COUNTIF('40_RAP_DE'!$C:$C,A1980))</f>
        <v/>
      </c>
      <c r="AA1980">
        <f>IF(A1980="","","JFT|"&amp;C1980&amp;"|"&amp;D1980&amp;"|"&amp;E1980&amp;"L"&amp;F1980)</f>
        <v/>
      </c>
    </row>
    <row r="1981">
      <c r="Z1981">
        <f>IF(A1981="","",COUNTIF('40_RAP_DE'!$C:$C,A1981))</f>
        <v/>
      </c>
      <c r="AA1981">
        <f>IF(A1981="","","JFT|"&amp;C1981&amp;"|"&amp;D1981&amp;"|"&amp;E1981&amp;"L"&amp;F1981)</f>
        <v/>
      </c>
    </row>
    <row r="1982">
      <c r="Z1982">
        <f>IF(A1982="","",COUNTIF('40_RAP_DE'!$C:$C,A1982))</f>
        <v/>
      </c>
      <c r="AA1982">
        <f>IF(A1982="","","JFT|"&amp;C1982&amp;"|"&amp;D1982&amp;"|"&amp;E1982&amp;"L"&amp;F1982)</f>
        <v/>
      </c>
    </row>
    <row r="1983">
      <c r="Z1983">
        <f>IF(A1983="","",COUNTIF('40_RAP_DE'!$C:$C,A1983))</f>
        <v/>
      </c>
      <c r="AA1983">
        <f>IF(A1983="","","JFT|"&amp;C1983&amp;"|"&amp;D1983&amp;"|"&amp;E1983&amp;"L"&amp;F1983)</f>
        <v/>
      </c>
    </row>
    <row r="1984">
      <c r="Z1984">
        <f>IF(A1984="","",COUNTIF('40_RAP_DE'!$C:$C,A1984))</f>
        <v/>
      </c>
      <c r="AA1984">
        <f>IF(A1984="","","JFT|"&amp;C1984&amp;"|"&amp;D1984&amp;"|"&amp;E1984&amp;"L"&amp;F1984)</f>
        <v/>
      </c>
    </row>
    <row r="1985">
      <c r="Z1985">
        <f>IF(A1985="","",COUNTIF('40_RAP_DE'!$C:$C,A1985))</f>
        <v/>
      </c>
      <c r="AA1985">
        <f>IF(A1985="","","JFT|"&amp;C1985&amp;"|"&amp;D1985&amp;"|"&amp;E1985&amp;"L"&amp;F1985)</f>
        <v/>
      </c>
    </row>
    <row r="1986">
      <c r="Z1986">
        <f>IF(A1986="","",COUNTIF('40_RAP_DE'!$C:$C,A1986))</f>
        <v/>
      </c>
      <c r="AA1986">
        <f>IF(A1986="","","JFT|"&amp;C1986&amp;"|"&amp;D1986&amp;"|"&amp;E1986&amp;"L"&amp;F1986)</f>
        <v/>
      </c>
    </row>
    <row r="1987">
      <c r="Z1987">
        <f>IF(A1987="","",COUNTIF('40_RAP_DE'!$C:$C,A1987))</f>
        <v/>
      </c>
      <c r="AA1987">
        <f>IF(A1987="","","JFT|"&amp;C1987&amp;"|"&amp;D1987&amp;"|"&amp;E1987&amp;"L"&amp;F1987)</f>
        <v/>
      </c>
    </row>
    <row r="1988">
      <c r="Z1988">
        <f>IF(A1988="","",COUNTIF('40_RAP_DE'!$C:$C,A1988))</f>
        <v/>
      </c>
      <c r="AA1988">
        <f>IF(A1988="","","JFT|"&amp;C1988&amp;"|"&amp;D1988&amp;"|"&amp;E1988&amp;"L"&amp;F1988)</f>
        <v/>
      </c>
    </row>
    <row r="1989">
      <c r="Z1989">
        <f>IF(A1989="","",COUNTIF('40_RAP_DE'!$C:$C,A1989))</f>
        <v/>
      </c>
      <c r="AA1989">
        <f>IF(A1989="","","JFT|"&amp;C1989&amp;"|"&amp;D1989&amp;"|"&amp;E1989&amp;"L"&amp;F1989)</f>
        <v/>
      </c>
    </row>
    <row r="1990">
      <c r="Z1990">
        <f>IF(A1990="","",COUNTIF('40_RAP_DE'!$C:$C,A1990))</f>
        <v/>
      </c>
      <c r="AA1990">
        <f>IF(A1990="","","JFT|"&amp;C1990&amp;"|"&amp;D1990&amp;"|"&amp;E1990&amp;"L"&amp;F1990)</f>
        <v/>
      </c>
    </row>
    <row r="1991">
      <c r="Z1991">
        <f>IF(A1991="","",COUNTIF('40_RAP_DE'!$C:$C,A1991))</f>
        <v/>
      </c>
      <c r="AA1991">
        <f>IF(A1991="","","JFT|"&amp;C1991&amp;"|"&amp;D1991&amp;"|"&amp;E1991&amp;"L"&amp;F1991)</f>
        <v/>
      </c>
    </row>
    <row r="1992">
      <c r="Z1992">
        <f>IF(A1992="","",COUNTIF('40_RAP_DE'!$C:$C,A1992))</f>
        <v/>
      </c>
      <c r="AA1992">
        <f>IF(A1992="","","JFT|"&amp;C1992&amp;"|"&amp;D1992&amp;"|"&amp;E1992&amp;"L"&amp;F1992)</f>
        <v/>
      </c>
    </row>
    <row r="1993">
      <c r="Z1993">
        <f>IF(A1993="","",COUNTIF('40_RAP_DE'!$C:$C,A1993))</f>
        <v/>
      </c>
      <c r="AA1993">
        <f>IF(A1993="","","JFT|"&amp;C1993&amp;"|"&amp;D1993&amp;"|"&amp;E1993&amp;"L"&amp;F1993)</f>
        <v/>
      </c>
    </row>
    <row r="1994">
      <c r="Z1994">
        <f>IF(A1994="","",COUNTIF('40_RAP_DE'!$C:$C,A1994))</f>
        <v/>
      </c>
      <c r="AA1994">
        <f>IF(A1994="","","JFT|"&amp;C1994&amp;"|"&amp;D1994&amp;"|"&amp;E1994&amp;"L"&amp;F1994)</f>
        <v/>
      </c>
    </row>
    <row r="1995">
      <c r="Z1995">
        <f>IF(A1995="","",COUNTIF('40_RAP_DE'!$C:$C,A1995))</f>
        <v/>
      </c>
      <c r="AA1995">
        <f>IF(A1995="","","JFT|"&amp;C1995&amp;"|"&amp;D1995&amp;"|"&amp;E1995&amp;"L"&amp;F1995)</f>
        <v/>
      </c>
    </row>
    <row r="1996">
      <c r="Z1996">
        <f>IF(A1996="","",COUNTIF('40_RAP_DE'!$C:$C,A1996))</f>
        <v/>
      </c>
      <c r="AA1996">
        <f>IF(A1996="","","JFT|"&amp;C1996&amp;"|"&amp;D1996&amp;"|"&amp;E1996&amp;"L"&amp;F1996)</f>
        <v/>
      </c>
    </row>
    <row r="1997">
      <c r="Z1997">
        <f>IF(A1997="","",COUNTIF('40_RAP_DE'!$C:$C,A1997))</f>
        <v/>
      </c>
      <c r="AA1997">
        <f>IF(A1997="","","JFT|"&amp;C1997&amp;"|"&amp;D1997&amp;"|"&amp;E1997&amp;"L"&amp;F1997)</f>
        <v/>
      </c>
    </row>
    <row r="1998">
      <c r="Z1998">
        <f>IF(A1998="","",COUNTIF('40_RAP_DE'!$C:$C,A1998))</f>
        <v/>
      </c>
      <c r="AA1998">
        <f>IF(A1998="","","JFT|"&amp;C1998&amp;"|"&amp;D1998&amp;"|"&amp;E1998&amp;"L"&amp;F1998)</f>
        <v/>
      </c>
    </row>
    <row r="1999">
      <c r="Z1999">
        <f>IF(A1999="","",COUNTIF('40_RAP_DE'!$C:$C,A1999))</f>
        <v/>
      </c>
      <c r="AA1999">
        <f>IF(A1999="","","JFT|"&amp;C1999&amp;"|"&amp;D1999&amp;"|"&amp;E1999&amp;"L"&amp;F1999)</f>
        <v/>
      </c>
    </row>
    <row r="2000">
      <c r="Z2000">
        <f>IF(A2000="","",COUNTIF('40_RAP_DE'!$C:$C,A2000))</f>
        <v/>
      </c>
      <c r="AA2000">
        <f>IF(A2000="","","JFT|"&amp;C2000&amp;"|"&amp;D2000&amp;"|"&amp;E2000&amp;"L"&amp;F2000)</f>
        <v/>
      </c>
    </row>
  </sheetData>
  <dataValidations count="3">
    <dataValidation sqref="Y2:Y5000" showDropDown="0" showInputMessage="0" showErrorMessage="0" allowBlank="1" type="list">
      <formula1>='99_DANH_MUC'!$F$2:$F$7</formula1>
    </dataValidation>
    <dataValidation sqref="X2:X5000" showDropDown="0" showInputMessage="0" showErrorMessage="0" allowBlank="1" type="list">
      <formula1>"Ngoài phạm vi,2 đáp án đúng,Sai tiếng Nhật,Nhiễu yếu,Lộ đáp án,Hình/Audio lỗi,Khác"</formula1>
    </dataValidation>
    <dataValidation sqref="M2:M5000" showDropDown="0" showInputMessage="0" showErrorMessage="0" allowBlank="1" type="list">
      <formula1>"1,2,3,4"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7030A0"/>
    <outlinePr summaryBelow="1" summaryRight="1"/>
    <pageSetUpPr/>
  </sheetPr>
  <dimension ref="A1:F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0" customWidth="1" min="4" max="4"/>
    <col width="32" customWidth="1" min="5" max="5"/>
    <col width="18" customWidth="1" min="6" max="6"/>
  </cols>
  <sheetData>
    <row r="1" ht="42" customHeight="1">
      <c r="A1" s="8" t="inlineStr">
        <is>
          <t>Mã đề</t>
        </is>
      </c>
      <c r="B1" s="8" t="inlineStr">
        <is>
          <t>STT</t>
        </is>
      </c>
      <c r="C1" s="8" t="inlineStr">
        <is>
          <t>Mã câu</t>
        </is>
      </c>
      <c r="D1" s="10" t="inlineStr">
        <is>
          <t>Dạng bài</t>
        </is>
      </c>
      <c r="E1" s="10" t="inlineStr">
        <is>
          <t>Trạng thái câu</t>
        </is>
      </c>
      <c r="F1" s="8" t="inlineStr">
        <is>
          <t>Ghi chú</t>
        </is>
      </c>
    </row>
    <row r="2">
      <c r="D2">
        <f>IF(C2="","",IFERROR(INDEX('30_NGAN_HANG'!$D:$D,MATCH(C2,'30_NGAN_HANG'!$A:$A,0)),"Không tìm thấy"))</f>
        <v/>
      </c>
      <c r="E2">
        <f>IF(C2="","",IFERROR(INDEX('30_NGAN_HANG'!$Y:$Y,MATCH(C2,'30_NGAN_HANG'!$A:$A,0)),""))</f>
        <v/>
      </c>
    </row>
    <row r="3">
      <c r="D3">
        <f>IF(C3="","",IFERROR(INDEX('30_NGAN_HANG'!$D:$D,MATCH(C3,'30_NGAN_HANG'!$A:$A,0)),"Không tìm thấy"))</f>
        <v/>
      </c>
      <c r="E3">
        <f>IF(C3="","",IFERROR(INDEX('30_NGAN_HANG'!$Y:$Y,MATCH(C3,'30_NGAN_HANG'!$A:$A,0)),""))</f>
        <v/>
      </c>
    </row>
    <row r="4">
      <c r="D4">
        <f>IF(C4="","",IFERROR(INDEX('30_NGAN_HANG'!$D:$D,MATCH(C4,'30_NGAN_HANG'!$A:$A,0)),"Không tìm thấy"))</f>
        <v/>
      </c>
      <c r="E4">
        <f>IF(C4="","",IFERROR(INDEX('30_NGAN_HANG'!$Y:$Y,MATCH(C4,'30_NGAN_HANG'!$A:$A,0)),""))</f>
        <v/>
      </c>
    </row>
    <row r="5">
      <c r="D5">
        <f>IF(C5="","",IFERROR(INDEX('30_NGAN_HANG'!$D:$D,MATCH(C5,'30_NGAN_HANG'!$A:$A,0)),"Không tìm thấy"))</f>
        <v/>
      </c>
      <c r="E5">
        <f>IF(C5="","",IFERROR(INDEX('30_NGAN_HANG'!$Y:$Y,MATCH(C5,'30_NGAN_HANG'!$A:$A,0)),""))</f>
        <v/>
      </c>
    </row>
    <row r="6">
      <c r="D6">
        <f>IF(C6="","",IFERROR(INDEX('30_NGAN_HANG'!$D:$D,MATCH(C6,'30_NGAN_HANG'!$A:$A,0)),"Không tìm thấy"))</f>
        <v/>
      </c>
      <c r="E6">
        <f>IF(C6="","",IFERROR(INDEX('30_NGAN_HANG'!$Y:$Y,MATCH(C6,'30_NGAN_HANG'!$A:$A,0)),""))</f>
        <v/>
      </c>
    </row>
    <row r="7">
      <c r="D7">
        <f>IF(C7="","",IFERROR(INDEX('30_NGAN_HANG'!$D:$D,MATCH(C7,'30_NGAN_HANG'!$A:$A,0)),"Không tìm thấy"))</f>
        <v/>
      </c>
      <c r="E7">
        <f>IF(C7="","",IFERROR(INDEX('30_NGAN_HANG'!$Y:$Y,MATCH(C7,'30_NGAN_HANG'!$A:$A,0)),""))</f>
        <v/>
      </c>
    </row>
    <row r="8">
      <c r="D8">
        <f>IF(C8="","",IFERROR(INDEX('30_NGAN_HANG'!$D:$D,MATCH(C8,'30_NGAN_HANG'!$A:$A,0)),"Không tìm thấy"))</f>
        <v/>
      </c>
      <c r="E8">
        <f>IF(C8="","",IFERROR(INDEX('30_NGAN_HANG'!$Y:$Y,MATCH(C8,'30_NGAN_HANG'!$A:$A,0)),""))</f>
        <v/>
      </c>
    </row>
    <row r="9">
      <c r="D9">
        <f>IF(C9="","",IFERROR(INDEX('30_NGAN_HANG'!$D:$D,MATCH(C9,'30_NGAN_HANG'!$A:$A,0)),"Không tìm thấy"))</f>
        <v/>
      </c>
      <c r="E9">
        <f>IF(C9="","",IFERROR(INDEX('30_NGAN_HANG'!$Y:$Y,MATCH(C9,'30_NGAN_HANG'!$A:$A,0)),""))</f>
        <v/>
      </c>
    </row>
    <row r="10">
      <c r="D10">
        <f>IF(C10="","",IFERROR(INDEX('30_NGAN_HANG'!$D:$D,MATCH(C10,'30_NGAN_HANG'!$A:$A,0)),"Không tìm thấy"))</f>
        <v/>
      </c>
      <c r="E10">
        <f>IF(C10="","",IFERROR(INDEX('30_NGAN_HANG'!$Y:$Y,MATCH(C10,'30_NGAN_HANG'!$A:$A,0)),""))</f>
        <v/>
      </c>
    </row>
    <row r="11">
      <c r="D11">
        <f>IF(C11="","",IFERROR(INDEX('30_NGAN_HANG'!$D:$D,MATCH(C11,'30_NGAN_HANG'!$A:$A,0)),"Không tìm thấy"))</f>
        <v/>
      </c>
      <c r="E11">
        <f>IF(C11="","",IFERROR(INDEX('30_NGAN_HANG'!$Y:$Y,MATCH(C11,'30_NGAN_HANG'!$A:$A,0)),""))</f>
        <v/>
      </c>
    </row>
    <row r="12">
      <c r="D12">
        <f>IF(C12="","",IFERROR(INDEX('30_NGAN_HANG'!$D:$D,MATCH(C12,'30_NGAN_HANG'!$A:$A,0)),"Không tìm thấy"))</f>
        <v/>
      </c>
      <c r="E12">
        <f>IF(C12="","",IFERROR(INDEX('30_NGAN_HANG'!$Y:$Y,MATCH(C12,'30_NGAN_HANG'!$A:$A,0)),""))</f>
        <v/>
      </c>
    </row>
    <row r="13">
      <c r="D13">
        <f>IF(C13="","",IFERROR(INDEX('30_NGAN_HANG'!$D:$D,MATCH(C13,'30_NGAN_HANG'!$A:$A,0)),"Không tìm thấy"))</f>
        <v/>
      </c>
      <c r="E13">
        <f>IF(C13="","",IFERROR(INDEX('30_NGAN_HANG'!$Y:$Y,MATCH(C13,'30_NGAN_HANG'!$A:$A,0)),""))</f>
        <v/>
      </c>
    </row>
    <row r="14">
      <c r="D14">
        <f>IF(C14="","",IFERROR(INDEX('30_NGAN_HANG'!$D:$D,MATCH(C14,'30_NGAN_HANG'!$A:$A,0)),"Không tìm thấy"))</f>
        <v/>
      </c>
      <c r="E14">
        <f>IF(C14="","",IFERROR(INDEX('30_NGAN_HANG'!$Y:$Y,MATCH(C14,'30_NGAN_HANG'!$A:$A,0)),""))</f>
        <v/>
      </c>
    </row>
    <row r="15">
      <c r="D15">
        <f>IF(C15="","",IFERROR(INDEX('30_NGAN_HANG'!$D:$D,MATCH(C15,'30_NGAN_HANG'!$A:$A,0)),"Không tìm thấy"))</f>
        <v/>
      </c>
      <c r="E15">
        <f>IF(C15="","",IFERROR(INDEX('30_NGAN_HANG'!$Y:$Y,MATCH(C15,'30_NGAN_HANG'!$A:$A,0)),""))</f>
        <v/>
      </c>
    </row>
    <row r="16">
      <c r="D16">
        <f>IF(C16="","",IFERROR(INDEX('30_NGAN_HANG'!$D:$D,MATCH(C16,'30_NGAN_HANG'!$A:$A,0)),"Không tìm thấy"))</f>
        <v/>
      </c>
      <c r="E16">
        <f>IF(C16="","",IFERROR(INDEX('30_NGAN_HANG'!$Y:$Y,MATCH(C16,'30_NGAN_HANG'!$A:$A,0)),""))</f>
        <v/>
      </c>
    </row>
    <row r="17">
      <c r="D17">
        <f>IF(C17="","",IFERROR(INDEX('30_NGAN_HANG'!$D:$D,MATCH(C17,'30_NGAN_HANG'!$A:$A,0)),"Không tìm thấy"))</f>
        <v/>
      </c>
      <c r="E17">
        <f>IF(C17="","",IFERROR(INDEX('30_NGAN_HANG'!$Y:$Y,MATCH(C17,'30_NGAN_HANG'!$A:$A,0)),""))</f>
        <v/>
      </c>
    </row>
    <row r="18">
      <c r="D18">
        <f>IF(C18="","",IFERROR(INDEX('30_NGAN_HANG'!$D:$D,MATCH(C18,'30_NGAN_HANG'!$A:$A,0)),"Không tìm thấy"))</f>
        <v/>
      </c>
      <c r="E18">
        <f>IF(C18="","",IFERROR(INDEX('30_NGAN_HANG'!$Y:$Y,MATCH(C18,'30_NGAN_HANG'!$A:$A,0)),""))</f>
        <v/>
      </c>
    </row>
    <row r="19">
      <c r="D19">
        <f>IF(C19="","",IFERROR(INDEX('30_NGAN_HANG'!$D:$D,MATCH(C19,'30_NGAN_HANG'!$A:$A,0)),"Không tìm thấy"))</f>
        <v/>
      </c>
      <c r="E19">
        <f>IF(C19="","",IFERROR(INDEX('30_NGAN_HANG'!$Y:$Y,MATCH(C19,'30_NGAN_HANG'!$A:$A,0)),""))</f>
        <v/>
      </c>
    </row>
    <row r="20">
      <c r="D20">
        <f>IF(C20="","",IFERROR(INDEX('30_NGAN_HANG'!$D:$D,MATCH(C20,'30_NGAN_HANG'!$A:$A,0)),"Không tìm thấy"))</f>
        <v/>
      </c>
      <c r="E20">
        <f>IF(C20="","",IFERROR(INDEX('30_NGAN_HANG'!$Y:$Y,MATCH(C20,'30_NGAN_HANG'!$A:$A,0)),""))</f>
        <v/>
      </c>
    </row>
    <row r="21">
      <c r="D21">
        <f>IF(C21="","",IFERROR(INDEX('30_NGAN_HANG'!$D:$D,MATCH(C21,'30_NGAN_HANG'!$A:$A,0)),"Không tìm thấy"))</f>
        <v/>
      </c>
      <c r="E21">
        <f>IF(C21="","",IFERROR(INDEX('30_NGAN_HANG'!$Y:$Y,MATCH(C21,'30_NGAN_HANG'!$A:$A,0)),""))</f>
        <v/>
      </c>
    </row>
    <row r="22">
      <c r="D22">
        <f>IF(C22="","",IFERROR(INDEX('30_NGAN_HANG'!$D:$D,MATCH(C22,'30_NGAN_HANG'!$A:$A,0)),"Không tìm thấy"))</f>
        <v/>
      </c>
      <c r="E22">
        <f>IF(C22="","",IFERROR(INDEX('30_NGAN_HANG'!$Y:$Y,MATCH(C22,'30_NGAN_HANG'!$A:$A,0)),""))</f>
        <v/>
      </c>
    </row>
    <row r="23">
      <c r="D23">
        <f>IF(C23="","",IFERROR(INDEX('30_NGAN_HANG'!$D:$D,MATCH(C23,'30_NGAN_HANG'!$A:$A,0)),"Không tìm thấy"))</f>
        <v/>
      </c>
      <c r="E23">
        <f>IF(C23="","",IFERROR(INDEX('30_NGAN_HANG'!$Y:$Y,MATCH(C23,'30_NGAN_HANG'!$A:$A,0)),""))</f>
        <v/>
      </c>
    </row>
    <row r="24">
      <c r="D24">
        <f>IF(C24="","",IFERROR(INDEX('30_NGAN_HANG'!$D:$D,MATCH(C24,'30_NGAN_HANG'!$A:$A,0)),"Không tìm thấy"))</f>
        <v/>
      </c>
      <c r="E24">
        <f>IF(C24="","",IFERROR(INDEX('30_NGAN_HANG'!$Y:$Y,MATCH(C24,'30_NGAN_HANG'!$A:$A,0)),""))</f>
        <v/>
      </c>
    </row>
    <row r="25">
      <c r="D25">
        <f>IF(C25="","",IFERROR(INDEX('30_NGAN_HANG'!$D:$D,MATCH(C25,'30_NGAN_HANG'!$A:$A,0)),"Không tìm thấy"))</f>
        <v/>
      </c>
      <c r="E25">
        <f>IF(C25="","",IFERROR(INDEX('30_NGAN_HANG'!$Y:$Y,MATCH(C25,'30_NGAN_HANG'!$A:$A,0)),""))</f>
        <v/>
      </c>
    </row>
    <row r="26">
      <c r="D26">
        <f>IF(C26="","",IFERROR(INDEX('30_NGAN_HANG'!$D:$D,MATCH(C26,'30_NGAN_HANG'!$A:$A,0)),"Không tìm thấy"))</f>
        <v/>
      </c>
      <c r="E26">
        <f>IF(C26="","",IFERROR(INDEX('30_NGAN_HANG'!$Y:$Y,MATCH(C26,'30_NGAN_HANG'!$A:$A,0)),""))</f>
        <v/>
      </c>
    </row>
    <row r="27">
      <c r="D27">
        <f>IF(C27="","",IFERROR(INDEX('30_NGAN_HANG'!$D:$D,MATCH(C27,'30_NGAN_HANG'!$A:$A,0)),"Không tìm thấy"))</f>
        <v/>
      </c>
      <c r="E27">
        <f>IF(C27="","",IFERROR(INDEX('30_NGAN_HANG'!$Y:$Y,MATCH(C27,'30_NGAN_HANG'!$A:$A,0)),""))</f>
        <v/>
      </c>
    </row>
    <row r="28">
      <c r="D28">
        <f>IF(C28="","",IFERROR(INDEX('30_NGAN_HANG'!$D:$D,MATCH(C28,'30_NGAN_HANG'!$A:$A,0)),"Không tìm thấy"))</f>
        <v/>
      </c>
      <c r="E28">
        <f>IF(C28="","",IFERROR(INDEX('30_NGAN_HANG'!$Y:$Y,MATCH(C28,'30_NGAN_HANG'!$A:$A,0)),""))</f>
        <v/>
      </c>
    </row>
    <row r="29">
      <c r="D29">
        <f>IF(C29="","",IFERROR(INDEX('30_NGAN_HANG'!$D:$D,MATCH(C29,'30_NGAN_HANG'!$A:$A,0)),"Không tìm thấy"))</f>
        <v/>
      </c>
      <c r="E29">
        <f>IF(C29="","",IFERROR(INDEX('30_NGAN_HANG'!$Y:$Y,MATCH(C29,'30_NGAN_HANG'!$A:$A,0)),""))</f>
        <v/>
      </c>
    </row>
    <row r="30">
      <c r="D30">
        <f>IF(C30="","",IFERROR(INDEX('30_NGAN_HANG'!$D:$D,MATCH(C30,'30_NGAN_HANG'!$A:$A,0)),"Không tìm thấy"))</f>
        <v/>
      </c>
      <c r="E30">
        <f>IF(C30="","",IFERROR(INDEX('30_NGAN_HANG'!$Y:$Y,MATCH(C30,'30_NGAN_HANG'!$A:$A,0)),""))</f>
        <v/>
      </c>
    </row>
    <row r="31">
      <c r="D31">
        <f>IF(C31="","",IFERROR(INDEX('30_NGAN_HANG'!$D:$D,MATCH(C31,'30_NGAN_HANG'!$A:$A,0)),"Không tìm thấy"))</f>
        <v/>
      </c>
      <c r="E31">
        <f>IF(C31="","",IFERROR(INDEX('30_NGAN_HANG'!$Y:$Y,MATCH(C31,'30_NGAN_HANG'!$A:$A,0)),""))</f>
        <v/>
      </c>
    </row>
    <row r="32">
      <c r="D32">
        <f>IF(C32="","",IFERROR(INDEX('30_NGAN_HANG'!$D:$D,MATCH(C32,'30_NGAN_HANG'!$A:$A,0)),"Không tìm thấy"))</f>
        <v/>
      </c>
      <c r="E32">
        <f>IF(C32="","",IFERROR(INDEX('30_NGAN_HANG'!$Y:$Y,MATCH(C32,'30_NGAN_HANG'!$A:$A,0)),""))</f>
        <v/>
      </c>
    </row>
    <row r="33">
      <c r="D33">
        <f>IF(C33="","",IFERROR(INDEX('30_NGAN_HANG'!$D:$D,MATCH(C33,'30_NGAN_HANG'!$A:$A,0)),"Không tìm thấy"))</f>
        <v/>
      </c>
      <c r="E33">
        <f>IF(C33="","",IFERROR(INDEX('30_NGAN_HANG'!$Y:$Y,MATCH(C33,'30_NGAN_HANG'!$A:$A,0)),""))</f>
        <v/>
      </c>
    </row>
    <row r="34">
      <c r="D34">
        <f>IF(C34="","",IFERROR(INDEX('30_NGAN_HANG'!$D:$D,MATCH(C34,'30_NGAN_HANG'!$A:$A,0)),"Không tìm thấy"))</f>
        <v/>
      </c>
      <c r="E34">
        <f>IF(C34="","",IFERROR(INDEX('30_NGAN_HANG'!$Y:$Y,MATCH(C34,'30_NGAN_HANG'!$A:$A,0)),""))</f>
        <v/>
      </c>
    </row>
    <row r="35">
      <c r="D35">
        <f>IF(C35="","",IFERROR(INDEX('30_NGAN_HANG'!$D:$D,MATCH(C35,'30_NGAN_HANG'!$A:$A,0)),"Không tìm thấy"))</f>
        <v/>
      </c>
      <c r="E35">
        <f>IF(C35="","",IFERROR(INDEX('30_NGAN_HANG'!$Y:$Y,MATCH(C35,'30_NGAN_HANG'!$A:$A,0)),""))</f>
        <v/>
      </c>
    </row>
    <row r="36">
      <c r="D36">
        <f>IF(C36="","",IFERROR(INDEX('30_NGAN_HANG'!$D:$D,MATCH(C36,'30_NGAN_HANG'!$A:$A,0)),"Không tìm thấy"))</f>
        <v/>
      </c>
      <c r="E36">
        <f>IF(C36="","",IFERROR(INDEX('30_NGAN_HANG'!$Y:$Y,MATCH(C36,'30_NGAN_HANG'!$A:$A,0)),""))</f>
        <v/>
      </c>
    </row>
    <row r="37">
      <c r="D37">
        <f>IF(C37="","",IFERROR(INDEX('30_NGAN_HANG'!$D:$D,MATCH(C37,'30_NGAN_HANG'!$A:$A,0)),"Không tìm thấy"))</f>
        <v/>
      </c>
      <c r="E37">
        <f>IF(C37="","",IFERROR(INDEX('30_NGAN_HANG'!$Y:$Y,MATCH(C37,'30_NGAN_HANG'!$A:$A,0)),""))</f>
        <v/>
      </c>
    </row>
    <row r="38">
      <c r="D38">
        <f>IF(C38="","",IFERROR(INDEX('30_NGAN_HANG'!$D:$D,MATCH(C38,'30_NGAN_HANG'!$A:$A,0)),"Không tìm thấy"))</f>
        <v/>
      </c>
      <c r="E38">
        <f>IF(C38="","",IFERROR(INDEX('30_NGAN_HANG'!$Y:$Y,MATCH(C38,'30_NGAN_HANG'!$A:$A,0)),""))</f>
        <v/>
      </c>
    </row>
    <row r="39">
      <c r="D39">
        <f>IF(C39="","",IFERROR(INDEX('30_NGAN_HANG'!$D:$D,MATCH(C39,'30_NGAN_HANG'!$A:$A,0)),"Không tìm thấy"))</f>
        <v/>
      </c>
      <c r="E39">
        <f>IF(C39="","",IFERROR(INDEX('30_NGAN_HANG'!$Y:$Y,MATCH(C39,'30_NGAN_HANG'!$A:$A,0)),""))</f>
        <v/>
      </c>
    </row>
    <row r="40">
      <c r="D40">
        <f>IF(C40="","",IFERROR(INDEX('30_NGAN_HANG'!$D:$D,MATCH(C40,'30_NGAN_HANG'!$A:$A,0)),"Không tìm thấy"))</f>
        <v/>
      </c>
      <c r="E40">
        <f>IF(C40="","",IFERROR(INDEX('30_NGAN_HANG'!$Y:$Y,MATCH(C40,'30_NGAN_HANG'!$A:$A,0)),""))</f>
        <v/>
      </c>
    </row>
    <row r="41">
      <c r="D41">
        <f>IF(C41="","",IFERROR(INDEX('30_NGAN_HANG'!$D:$D,MATCH(C41,'30_NGAN_HANG'!$A:$A,0)),"Không tìm thấy"))</f>
        <v/>
      </c>
      <c r="E41">
        <f>IF(C41="","",IFERROR(INDEX('30_NGAN_HANG'!$Y:$Y,MATCH(C41,'30_NGAN_HANG'!$A:$A,0)),""))</f>
        <v/>
      </c>
    </row>
    <row r="42">
      <c r="D42">
        <f>IF(C42="","",IFERROR(INDEX('30_NGAN_HANG'!$D:$D,MATCH(C42,'30_NGAN_HANG'!$A:$A,0)),"Không tìm thấy"))</f>
        <v/>
      </c>
      <c r="E42">
        <f>IF(C42="","",IFERROR(INDEX('30_NGAN_HANG'!$Y:$Y,MATCH(C42,'30_NGAN_HANG'!$A:$A,0)),""))</f>
        <v/>
      </c>
    </row>
    <row r="43">
      <c r="D43">
        <f>IF(C43="","",IFERROR(INDEX('30_NGAN_HANG'!$D:$D,MATCH(C43,'30_NGAN_HANG'!$A:$A,0)),"Không tìm thấy"))</f>
        <v/>
      </c>
      <c r="E43">
        <f>IF(C43="","",IFERROR(INDEX('30_NGAN_HANG'!$Y:$Y,MATCH(C43,'30_NGAN_HANG'!$A:$A,0)),""))</f>
        <v/>
      </c>
    </row>
    <row r="44">
      <c r="D44">
        <f>IF(C44="","",IFERROR(INDEX('30_NGAN_HANG'!$D:$D,MATCH(C44,'30_NGAN_HANG'!$A:$A,0)),"Không tìm thấy"))</f>
        <v/>
      </c>
      <c r="E44">
        <f>IF(C44="","",IFERROR(INDEX('30_NGAN_HANG'!$Y:$Y,MATCH(C44,'30_NGAN_HANG'!$A:$A,0)),""))</f>
        <v/>
      </c>
    </row>
    <row r="45">
      <c r="D45">
        <f>IF(C45="","",IFERROR(INDEX('30_NGAN_HANG'!$D:$D,MATCH(C45,'30_NGAN_HANG'!$A:$A,0)),"Không tìm thấy"))</f>
        <v/>
      </c>
      <c r="E45">
        <f>IF(C45="","",IFERROR(INDEX('30_NGAN_HANG'!$Y:$Y,MATCH(C45,'30_NGAN_HANG'!$A:$A,0)),""))</f>
        <v/>
      </c>
    </row>
    <row r="46">
      <c r="D46">
        <f>IF(C46="","",IFERROR(INDEX('30_NGAN_HANG'!$D:$D,MATCH(C46,'30_NGAN_HANG'!$A:$A,0)),"Không tìm thấy"))</f>
        <v/>
      </c>
      <c r="E46">
        <f>IF(C46="","",IFERROR(INDEX('30_NGAN_HANG'!$Y:$Y,MATCH(C46,'30_NGAN_HANG'!$A:$A,0)),""))</f>
        <v/>
      </c>
    </row>
    <row r="47">
      <c r="D47">
        <f>IF(C47="","",IFERROR(INDEX('30_NGAN_HANG'!$D:$D,MATCH(C47,'30_NGAN_HANG'!$A:$A,0)),"Không tìm thấy"))</f>
        <v/>
      </c>
      <c r="E47">
        <f>IF(C47="","",IFERROR(INDEX('30_NGAN_HANG'!$Y:$Y,MATCH(C47,'30_NGAN_HANG'!$A:$A,0)),""))</f>
        <v/>
      </c>
    </row>
    <row r="48">
      <c r="D48">
        <f>IF(C48="","",IFERROR(INDEX('30_NGAN_HANG'!$D:$D,MATCH(C48,'30_NGAN_HANG'!$A:$A,0)),"Không tìm thấy"))</f>
        <v/>
      </c>
      <c r="E48">
        <f>IF(C48="","",IFERROR(INDEX('30_NGAN_HANG'!$Y:$Y,MATCH(C48,'30_NGAN_HANG'!$A:$A,0)),""))</f>
        <v/>
      </c>
    </row>
    <row r="49">
      <c r="D49">
        <f>IF(C49="","",IFERROR(INDEX('30_NGAN_HANG'!$D:$D,MATCH(C49,'30_NGAN_HANG'!$A:$A,0)),"Không tìm thấy"))</f>
        <v/>
      </c>
      <c r="E49">
        <f>IF(C49="","",IFERROR(INDEX('30_NGAN_HANG'!$Y:$Y,MATCH(C49,'30_NGAN_HANG'!$A:$A,0)),""))</f>
        <v/>
      </c>
    </row>
    <row r="50">
      <c r="D50">
        <f>IF(C50="","",IFERROR(INDEX('30_NGAN_HANG'!$D:$D,MATCH(C50,'30_NGAN_HANG'!$A:$A,0)),"Không tìm thấy"))</f>
        <v/>
      </c>
      <c r="E50">
        <f>IF(C50="","",IFERROR(INDEX('30_NGAN_HANG'!$Y:$Y,MATCH(C50,'30_NGAN_HANG'!$A:$A,0)),""))</f>
        <v/>
      </c>
    </row>
    <row r="51">
      <c r="D51">
        <f>IF(C51="","",IFERROR(INDEX('30_NGAN_HANG'!$D:$D,MATCH(C51,'30_NGAN_HANG'!$A:$A,0)),"Không tìm thấy"))</f>
        <v/>
      </c>
      <c r="E51">
        <f>IF(C51="","",IFERROR(INDEX('30_NGAN_HANG'!$Y:$Y,MATCH(C51,'30_NGAN_HANG'!$A:$A,0)),""))</f>
        <v/>
      </c>
    </row>
    <row r="52">
      <c r="D52">
        <f>IF(C52="","",IFERROR(INDEX('30_NGAN_HANG'!$D:$D,MATCH(C52,'30_NGAN_HANG'!$A:$A,0)),"Không tìm thấy"))</f>
        <v/>
      </c>
      <c r="E52">
        <f>IF(C52="","",IFERROR(INDEX('30_NGAN_HANG'!$Y:$Y,MATCH(C52,'30_NGAN_HANG'!$A:$A,0)),""))</f>
        <v/>
      </c>
    </row>
    <row r="53">
      <c r="D53">
        <f>IF(C53="","",IFERROR(INDEX('30_NGAN_HANG'!$D:$D,MATCH(C53,'30_NGAN_HANG'!$A:$A,0)),"Không tìm thấy"))</f>
        <v/>
      </c>
      <c r="E53">
        <f>IF(C53="","",IFERROR(INDEX('30_NGAN_HANG'!$Y:$Y,MATCH(C53,'30_NGAN_HANG'!$A:$A,0)),""))</f>
        <v/>
      </c>
    </row>
    <row r="54">
      <c r="D54">
        <f>IF(C54="","",IFERROR(INDEX('30_NGAN_HANG'!$D:$D,MATCH(C54,'30_NGAN_HANG'!$A:$A,0)),"Không tìm thấy"))</f>
        <v/>
      </c>
      <c r="E54">
        <f>IF(C54="","",IFERROR(INDEX('30_NGAN_HANG'!$Y:$Y,MATCH(C54,'30_NGAN_HANG'!$A:$A,0)),""))</f>
        <v/>
      </c>
    </row>
    <row r="55">
      <c r="D55">
        <f>IF(C55="","",IFERROR(INDEX('30_NGAN_HANG'!$D:$D,MATCH(C55,'30_NGAN_HANG'!$A:$A,0)),"Không tìm thấy"))</f>
        <v/>
      </c>
      <c r="E55">
        <f>IF(C55="","",IFERROR(INDEX('30_NGAN_HANG'!$Y:$Y,MATCH(C55,'30_NGAN_HANG'!$A:$A,0)),""))</f>
        <v/>
      </c>
    </row>
    <row r="56">
      <c r="D56">
        <f>IF(C56="","",IFERROR(INDEX('30_NGAN_HANG'!$D:$D,MATCH(C56,'30_NGAN_HANG'!$A:$A,0)),"Không tìm thấy"))</f>
        <v/>
      </c>
      <c r="E56">
        <f>IF(C56="","",IFERROR(INDEX('30_NGAN_HANG'!$Y:$Y,MATCH(C56,'30_NGAN_HANG'!$A:$A,0)),""))</f>
        <v/>
      </c>
    </row>
    <row r="57">
      <c r="D57">
        <f>IF(C57="","",IFERROR(INDEX('30_NGAN_HANG'!$D:$D,MATCH(C57,'30_NGAN_HANG'!$A:$A,0)),"Không tìm thấy"))</f>
        <v/>
      </c>
      <c r="E57">
        <f>IF(C57="","",IFERROR(INDEX('30_NGAN_HANG'!$Y:$Y,MATCH(C57,'30_NGAN_HANG'!$A:$A,0)),""))</f>
        <v/>
      </c>
    </row>
    <row r="58">
      <c r="D58">
        <f>IF(C58="","",IFERROR(INDEX('30_NGAN_HANG'!$D:$D,MATCH(C58,'30_NGAN_HANG'!$A:$A,0)),"Không tìm thấy"))</f>
        <v/>
      </c>
      <c r="E58">
        <f>IF(C58="","",IFERROR(INDEX('30_NGAN_HANG'!$Y:$Y,MATCH(C58,'30_NGAN_HANG'!$A:$A,0)),""))</f>
        <v/>
      </c>
    </row>
    <row r="59">
      <c r="D59">
        <f>IF(C59="","",IFERROR(INDEX('30_NGAN_HANG'!$D:$D,MATCH(C59,'30_NGAN_HANG'!$A:$A,0)),"Không tìm thấy"))</f>
        <v/>
      </c>
      <c r="E59">
        <f>IF(C59="","",IFERROR(INDEX('30_NGAN_HANG'!$Y:$Y,MATCH(C59,'30_NGAN_HANG'!$A:$A,0)),""))</f>
        <v/>
      </c>
    </row>
    <row r="60">
      <c r="D60">
        <f>IF(C60="","",IFERROR(INDEX('30_NGAN_HANG'!$D:$D,MATCH(C60,'30_NGAN_HANG'!$A:$A,0)),"Không tìm thấy"))</f>
        <v/>
      </c>
      <c r="E60">
        <f>IF(C60="","",IFERROR(INDEX('30_NGAN_HANG'!$Y:$Y,MATCH(C60,'30_NGAN_HANG'!$A:$A,0)),""))</f>
        <v/>
      </c>
    </row>
    <row r="61">
      <c r="D61">
        <f>IF(C61="","",IFERROR(INDEX('30_NGAN_HANG'!$D:$D,MATCH(C61,'30_NGAN_HANG'!$A:$A,0)),"Không tìm thấy"))</f>
        <v/>
      </c>
      <c r="E61">
        <f>IF(C61="","",IFERROR(INDEX('30_NGAN_HANG'!$Y:$Y,MATCH(C61,'30_NGAN_HANG'!$A:$A,0)),""))</f>
        <v/>
      </c>
    </row>
    <row r="62">
      <c r="D62">
        <f>IF(C62="","",IFERROR(INDEX('30_NGAN_HANG'!$D:$D,MATCH(C62,'30_NGAN_HANG'!$A:$A,0)),"Không tìm thấy"))</f>
        <v/>
      </c>
      <c r="E62">
        <f>IF(C62="","",IFERROR(INDEX('30_NGAN_HANG'!$Y:$Y,MATCH(C62,'30_NGAN_HANG'!$A:$A,0)),""))</f>
        <v/>
      </c>
    </row>
    <row r="63">
      <c r="D63">
        <f>IF(C63="","",IFERROR(INDEX('30_NGAN_HANG'!$D:$D,MATCH(C63,'30_NGAN_HANG'!$A:$A,0)),"Không tìm thấy"))</f>
        <v/>
      </c>
      <c r="E63">
        <f>IF(C63="","",IFERROR(INDEX('30_NGAN_HANG'!$Y:$Y,MATCH(C63,'30_NGAN_HANG'!$A:$A,0)),""))</f>
        <v/>
      </c>
    </row>
    <row r="64">
      <c r="D64">
        <f>IF(C64="","",IFERROR(INDEX('30_NGAN_HANG'!$D:$D,MATCH(C64,'30_NGAN_HANG'!$A:$A,0)),"Không tìm thấy"))</f>
        <v/>
      </c>
      <c r="E64">
        <f>IF(C64="","",IFERROR(INDEX('30_NGAN_HANG'!$Y:$Y,MATCH(C64,'30_NGAN_HANG'!$A:$A,0)),""))</f>
        <v/>
      </c>
    </row>
    <row r="65">
      <c r="D65">
        <f>IF(C65="","",IFERROR(INDEX('30_NGAN_HANG'!$D:$D,MATCH(C65,'30_NGAN_HANG'!$A:$A,0)),"Không tìm thấy"))</f>
        <v/>
      </c>
      <c r="E65">
        <f>IF(C65="","",IFERROR(INDEX('30_NGAN_HANG'!$Y:$Y,MATCH(C65,'30_NGAN_HANG'!$A:$A,0)),""))</f>
        <v/>
      </c>
    </row>
    <row r="66">
      <c r="D66">
        <f>IF(C66="","",IFERROR(INDEX('30_NGAN_HANG'!$D:$D,MATCH(C66,'30_NGAN_HANG'!$A:$A,0)),"Không tìm thấy"))</f>
        <v/>
      </c>
      <c r="E66">
        <f>IF(C66="","",IFERROR(INDEX('30_NGAN_HANG'!$Y:$Y,MATCH(C66,'30_NGAN_HANG'!$A:$A,0)),""))</f>
        <v/>
      </c>
    </row>
    <row r="67">
      <c r="D67">
        <f>IF(C67="","",IFERROR(INDEX('30_NGAN_HANG'!$D:$D,MATCH(C67,'30_NGAN_HANG'!$A:$A,0)),"Không tìm thấy"))</f>
        <v/>
      </c>
      <c r="E67">
        <f>IF(C67="","",IFERROR(INDEX('30_NGAN_HANG'!$Y:$Y,MATCH(C67,'30_NGAN_HANG'!$A:$A,0)),""))</f>
        <v/>
      </c>
    </row>
    <row r="68">
      <c r="D68">
        <f>IF(C68="","",IFERROR(INDEX('30_NGAN_HANG'!$D:$D,MATCH(C68,'30_NGAN_HANG'!$A:$A,0)),"Không tìm thấy"))</f>
        <v/>
      </c>
      <c r="E68">
        <f>IF(C68="","",IFERROR(INDEX('30_NGAN_HANG'!$Y:$Y,MATCH(C68,'30_NGAN_HANG'!$A:$A,0)),""))</f>
        <v/>
      </c>
    </row>
    <row r="69">
      <c r="D69">
        <f>IF(C69="","",IFERROR(INDEX('30_NGAN_HANG'!$D:$D,MATCH(C69,'30_NGAN_HANG'!$A:$A,0)),"Không tìm thấy"))</f>
        <v/>
      </c>
      <c r="E69">
        <f>IF(C69="","",IFERROR(INDEX('30_NGAN_HANG'!$Y:$Y,MATCH(C69,'30_NGAN_HANG'!$A:$A,0)),""))</f>
        <v/>
      </c>
    </row>
    <row r="70">
      <c r="D70">
        <f>IF(C70="","",IFERROR(INDEX('30_NGAN_HANG'!$D:$D,MATCH(C70,'30_NGAN_HANG'!$A:$A,0)),"Không tìm thấy"))</f>
        <v/>
      </c>
      <c r="E70">
        <f>IF(C70="","",IFERROR(INDEX('30_NGAN_HANG'!$Y:$Y,MATCH(C70,'30_NGAN_HANG'!$A:$A,0)),""))</f>
        <v/>
      </c>
    </row>
    <row r="71">
      <c r="D71">
        <f>IF(C71="","",IFERROR(INDEX('30_NGAN_HANG'!$D:$D,MATCH(C71,'30_NGAN_HANG'!$A:$A,0)),"Không tìm thấy"))</f>
        <v/>
      </c>
      <c r="E71">
        <f>IF(C71="","",IFERROR(INDEX('30_NGAN_HANG'!$Y:$Y,MATCH(C71,'30_NGAN_HANG'!$A:$A,0)),""))</f>
        <v/>
      </c>
    </row>
    <row r="72">
      <c r="D72">
        <f>IF(C72="","",IFERROR(INDEX('30_NGAN_HANG'!$D:$D,MATCH(C72,'30_NGAN_HANG'!$A:$A,0)),"Không tìm thấy"))</f>
        <v/>
      </c>
      <c r="E72">
        <f>IF(C72="","",IFERROR(INDEX('30_NGAN_HANG'!$Y:$Y,MATCH(C72,'30_NGAN_HANG'!$A:$A,0)),""))</f>
        <v/>
      </c>
    </row>
    <row r="73">
      <c r="D73">
        <f>IF(C73="","",IFERROR(INDEX('30_NGAN_HANG'!$D:$D,MATCH(C73,'30_NGAN_HANG'!$A:$A,0)),"Không tìm thấy"))</f>
        <v/>
      </c>
      <c r="E73">
        <f>IF(C73="","",IFERROR(INDEX('30_NGAN_HANG'!$Y:$Y,MATCH(C73,'30_NGAN_HANG'!$A:$A,0)),""))</f>
        <v/>
      </c>
    </row>
    <row r="74">
      <c r="D74">
        <f>IF(C74="","",IFERROR(INDEX('30_NGAN_HANG'!$D:$D,MATCH(C74,'30_NGAN_HANG'!$A:$A,0)),"Không tìm thấy"))</f>
        <v/>
      </c>
      <c r="E74">
        <f>IF(C74="","",IFERROR(INDEX('30_NGAN_HANG'!$Y:$Y,MATCH(C74,'30_NGAN_HANG'!$A:$A,0)),""))</f>
        <v/>
      </c>
    </row>
    <row r="75">
      <c r="D75">
        <f>IF(C75="","",IFERROR(INDEX('30_NGAN_HANG'!$D:$D,MATCH(C75,'30_NGAN_HANG'!$A:$A,0)),"Không tìm thấy"))</f>
        <v/>
      </c>
      <c r="E75">
        <f>IF(C75="","",IFERROR(INDEX('30_NGAN_HANG'!$Y:$Y,MATCH(C75,'30_NGAN_HANG'!$A:$A,0)),""))</f>
        <v/>
      </c>
    </row>
    <row r="76">
      <c r="D76">
        <f>IF(C76="","",IFERROR(INDEX('30_NGAN_HANG'!$D:$D,MATCH(C76,'30_NGAN_HANG'!$A:$A,0)),"Không tìm thấy"))</f>
        <v/>
      </c>
      <c r="E76">
        <f>IF(C76="","",IFERROR(INDEX('30_NGAN_HANG'!$Y:$Y,MATCH(C76,'30_NGAN_HANG'!$A:$A,0)),""))</f>
        <v/>
      </c>
    </row>
    <row r="77">
      <c r="D77">
        <f>IF(C77="","",IFERROR(INDEX('30_NGAN_HANG'!$D:$D,MATCH(C77,'30_NGAN_HANG'!$A:$A,0)),"Không tìm thấy"))</f>
        <v/>
      </c>
      <c r="E77">
        <f>IF(C77="","",IFERROR(INDEX('30_NGAN_HANG'!$Y:$Y,MATCH(C77,'30_NGAN_HANG'!$A:$A,0)),""))</f>
        <v/>
      </c>
    </row>
    <row r="78">
      <c r="D78">
        <f>IF(C78="","",IFERROR(INDEX('30_NGAN_HANG'!$D:$D,MATCH(C78,'30_NGAN_HANG'!$A:$A,0)),"Không tìm thấy"))</f>
        <v/>
      </c>
      <c r="E78">
        <f>IF(C78="","",IFERROR(INDEX('30_NGAN_HANG'!$Y:$Y,MATCH(C78,'30_NGAN_HANG'!$A:$A,0)),""))</f>
        <v/>
      </c>
    </row>
    <row r="79">
      <c r="D79">
        <f>IF(C79="","",IFERROR(INDEX('30_NGAN_HANG'!$D:$D,MATCH(C79,'30_NGAN_HANG'!$A:$A,0)),"Không tìm thấy"))</f>
        <v/>
      </c>
      <c r="E79">
        <f>IF(C79="","",IFERROR(INDEX('30_NGAN_HANG'!$Y:$Y,MATCH(C79,'30_NGAN_HANG'!$A:$A,0)),""))</f>
        <v/>
      </c>
    </row>
    <row r="80">
      <c r="D80">
        <f>IF(C80="","",IFERROR(INDEX('30_NGAN_HANG'!$D:$D,MATCH(C80,'30_NGAN_HANG'!$A:$A,0)),"Không tìm thấy"))</f>
        <v/>
      </c>
      <c r="E80">
        <f>IF(C80="","",IFERROR(INDEX('30_NGAN_HANG'!$Y:$Y,MATCH(C80,'30_NGAN_HANG'!$A:$A,0)),""))</f>
        <v/>
      </c>
    </row>
    <row r="81">
      <c r="D81">
        <f>IF(C81="","",IFERROR(INDEX('30_NGAN_HANG'!$D:$D,MATCH(C81,'30_NGAN_HANG'!$A:$A,0)),"Không tìm thấy"))</f>
        <v/>
      </c>
      <c r="E81">
        <f>IF(C81="","",IFERROR(INDEX('30_NGAN_HANG'!$Y:$Y,MATCH(C81,'30_NGAN_HANG'!$A:$A,0)),""))</f>
        <v/>
      </c>
    </row>
    <row r="82">
      <c r="D82">
        <f>IF(C82="","",IFERROR(INDEX('30_NGAN_HANG'!$D:$D,MATCH(C82,'30_NGAN_HANG'!$A:$A,0)),"Không tìm thấy"))</f>
        <v/>
      </c>
      <c r="E82">
        <f>IF(C82="","",IFERROR(INDEX('30_NGAN_HANG'!$Y:$Y,MATCH(C82,'30_NGAN_HANG'!$A:$A,0)),""))</f>
        <v/>
      </c>
    </row>
    <row r="83">
      <c r="D83">
        <f>IF(C83="","",IFERROR(INDEX('30_NGAN_HANG'!$D:$D,MATCH(C83,'30_NGAN_HANG'!$A:$A,0)),"Không tìm thấy"))</f>
        <v/>
      </c>
      <c r="E83">
        <f>IF(C83="","",IFERROR(INDEX('30_NGAN_HANG'!$Y:$Y,MATCH(C83,'30_NGAN_HANG'!$A:$A,0)),""))</f>
        <v/>
      </c>
    </row>
    <row r="84">
      <c r="D84">
        <f>IF(C84="","",IFERROR(INDEX('30_NGAN_HANG'!$D:$D,MATCH(C84,'30_NGAN_HANG'!$A:$A,0)),"Không tìm thấy"))</f>
        <v/>
      </c>
      <c r="E84">
        <f>IF(C84="","",IFERROR(INDEX('30_NGAN_HANG'!$Y:$Y,MATCH(C84,'30_NGAN_HANG'!$A:$A,0)),""))</f>
        <v/>
      </c>
    </row>
    <row r="85">
      <c r="D85">
        <f>IF(C85="","",IFERROR(INDEX('30_NGAN_HANG'!$D:$D,MATCH(C85,'30_NGAN_HANG'!$A:$A,0)),"Không tìm thấy"))</f>
        <v/>
      </c>
      <c r="E85">
        <f>IF(C85="","",IFERROR(INDEX('30_NGAN_HANG'!$Y:$Y,MATCH(C85,'30_NGAN_HANG'!$A:$A,0)),""))</f>
        <v/>
      </c>
    </row>
    <row r="86">
      <c r="D86">
        <f>IF(C86="","",IFERROR(INDEX('30_NGAN_HANG'!$D:$D,MATCH(C86,'30_NGAN_HANG'!$A:$A,0)),"Không tìm thấy"))</f>
        <v/>
      </c>
      <c r="E86">
        <f>IF(C86="","",IFERROR(INDEX('30_NGAN_HANG'!$Y:$Y,MATCH(C86,'30_NGAN_HANG'!$A:$A,0)),""))</f>
        <v/>
      </c>
    </row>
    <row r="87">
      <c r="D87">
        <f>IF(C87="","",IFERROR(INDEX('30_NGAN_HANG'!$D:$D,MATCH(C87,'30_NGAN_HANG'!$A:$A,0)),"Không tìm thấy"))</f>
        <v/>
      </c>
      <c r="E87">
        <f>IF(C87="","",IFERROR(INDEX('30_NGAN_HANG'!$Y:$Y,MATCH(C87,'30_NGAN_HANG'!$A:$A,0)),""))</f>
        <v/>
      </c>
    </row>
    <row r="88">
      <c r="D88">
        <f>IF(C88="","",IFERROR(INDEX('30_NGAN_HANG'!$D:$D,MATCH(C88,'30_NGAN_HANG'!$A:$A,0)),"Không tìm thấy"))</f>
        <v/>
      </c>
      <c r="E88">
        <f>IF(C88="","",IFERROR(INDEX('30_NGAN_HANG'!$Y:$Y,MATCH(C88,'30_NGAN_HANG'!$A:$A,0)),""))</f>
        <v/>
      </c>
    </row>
    <row r="89">
      <c r="D89">
        <f>IF(C89="","",IFERROR(INDEX('30_NGAN_HANG'!$D:$D,MATCH(C89,'30_NGAN_HANG'!$A:$A,0)),"Không tìm thấy"))</f>
        <v/>
      </c>
      <c r="E89">
        <f>IF(C89="","",IFERROR(INDEX('30_NGAN_HANG'!$Y:$Y,MATCH(C89,'30_NGAN_HANG'!$A:$A,0)),""))</f>
        <v/>
      </c>
    </row>
    <row r="90">
      <c r="D90">
        <f>IF(C90="","",IFERROR(INDEX('30_NGAN_HANG'!$D:$D,MATCH(C90,'30_NGAN_HANG'!$A:$A,0)),"Không tìm thấy"))</f>
        <v/>
      </c>
      <c r="E90">
        <f>IF(C90="","",IFERROR(INDEX('30_NGAN_HANG'!$Y:$Y,MATCH(C90,'30_NGAN_HANG'!$A:$A,0)),""))</f>
        <v/>
      </c>
    </row>
    <row r="91">
      <c r="D91">
        <f>IF(C91="","",IFERROR(INDEX('30_NGAN_HANG'!$D:$D,MATCH(C91,'30_NGAN_HANG'!$A:$A,0)),"Không tìm thấy"))</f>
        <v/>
      </c>
      <c r="E91">
        <f>IF(C91="","",IFERROR(INDEX('30_NGAN_HANG'!$Y:$Y,MATCH(C91,'30_NGAN_HANG'!$A:$A,0)),""))</f>
        <v/>
      </c>
    </row>
    <row r="92">
      <c r="D92">
        <f>IF(C92="","",IFERROR(INDEX('30_NGAN_HANG'!$D:$D,MATCH(C92,'30_NGAN_HANG'!$A:$A,0)),"Không tìm thấy"))</f>
        <v/>
      </c>
      <c r="E92">
        <f>IF(C92="","",IFERROR(INDEX('30_NGAN_HANG'!$Y:$Y,MATCH(C92,'30_NGAN_HANG'!$A:$A,0)),""))</f>
        <v/>
      </c>
    </row>
    <row r="93">
      <c r="D93">
        <f>IF(C93="","",IFERROR(INDEX('30_NGAN_HANG'!$D:$D,MATCH(C93,'30_NGAN_HANG'!$A:$A,0)),"Không tìm thấy"))</f>
        <v/>
      </c>
      <c r="E93">
        <f>IF(C93="","",IFERROR(INDEX('30_NGAN_HANG'!$Y:$Y,MATCH(C93,'30_NGAN_HANG'!$A:$A,0)),""))</f>
        <v/>
      </c>
    </row>
    <row r="94">
      <c r="D94">
        <f>IF(C94="","",IFERROR(INDEX('30_NGAN_HANG'!$D:$D,MATCH(C94,'30_NGAN_HANG'!$A:$A,0)),"Không tìm thấy"))</f>
        <v/>
      </c>
      <c r="E94">
        <f>IF(C94="","",IFERROR(INDEX('30_NGAN_HANG'!$Y:$Y,MATCH(C94,'30_NGAN_HANG'!$A:$A,0)),""))</f>
        <v/>
      </c>
    </row>
    <row r="95">
      <c r="D95">
        <f>IF(C95="","",IFERROR(INDEX('30_NGAN_HANG'!$D:$D,MATCH(C95,'30_NGAN_HANG'!$A:$A,0)),"Không tìm thấy"))</f>
        <v/>
      </c>
      <c r="E95">
        <f>IF(C95="","",IFERROR(INDEX('30_NGAN_HANG'!$Y:$Y,MATCH(C95,'30_NGAN_HANG'!$A:$A,0)),""))</f>
        <v/>
      </c>
    </row>
    <row r="96">
      <c r="D96">
        <f>IF(C96="","",IFERROR(INDEX('30_NGAN_HANG'!$D:$D,MATCH(C96,'30_NGAN_HANG'!$A:$A,0)),"Không tìm thấy"))</f>
        <v/>
      </c>
      <c r="E96">
        <f>IF(C96="","",IFERROR(INDEX('30_NGAN_HANG'!$Y:$Y,MATCH(C96,'30_NGAN_HANG'!$A:$A,0)),""))</f>
        <v/>
      </c>
    </row>
    <row r="97">
      <c r="D97">
        <f>IF(C97="","",IFERROR(INDEX('30_NGAN_HANG'!$D:$D,MATCH(C97,'30_NGAN_HANG'!$A:$A,0)),"Không tìm thấy"))</f>
        <v/>
      </c>
      <c r="E97">
        <f>IF(C97="","",IFERROR(INDEX('30_NGAN_HANG'!$Y:$Y,MATCH(C97,'30_NGAN_HANG'!$A:$A,0)),""))</f>
        <v/>
      </c>
    </row>
    <row r="98">
      <c r="D98">
        <f>IF(C98="","",IFERROR(INDEX('30_NGAN_HANG'!$D:$D,MATCH(C98,'30_NGAN_HANG'!$A:$A,0)),"Không tìm thấy"))</f>
        <v/>
      </c>
      <c r="E98">
        <f>IF(C98="","",IFERROR(INDEX('30_NGAN_HANG'!$Y:$Y,MATCH(C98,'30_NGAN_HANG'!$A:$A,0)),""))</f>
        <v/>
      </c>
    </row>
    <row r="99">
      <c r="D99">
        <f>IF(C99="","",IFERROR(INDEX('30_NGAN_HANG'!$D:$D,MATCH(C99,'30_NGAN_HANG'!$A:$A,0)),"Không tìm thấy"))</f>
        <v/>
      </c>
      <c r="E99">
        <f>IF(C99="","",IFERROR(INDEX('30_NGAN_HANG'!$Y:$Y,MATCH(C99,'30_NGAN_HANG'!$A:$A,0)),""))</f>
        <v/>
      </c>
    </row>
    <row r="100">
      <c r="D100">
        <f>IF(C100="","",IFERROR(INDEX('30_NGAN_HANG'!$D:$D,MATCH(C100,'30_NGAN_HANG'!$A:$A,0)),"Không tìm thấy"))</f>
        <v/>
      </c>
      <c r="E100">
        <f>IF(C100="","",IFERROR(INDEX('30_NGAN_HANG'!$Y:$Y,MATCH(C100,'30_NGAN_HANG'!$A:$A,0)),""))</f>
        <v/>
      </c>
    </row>
    <row r="101">
      <c r="D101">
        <f>IF(C101="","",IFERROR(INDEX('30_NGAN_HANG'!$D:$D,MATCH(C101,'30_NGAN_HANG'!$A:$A,0)),"Không tìm thấy"))</f>
        <v/>
      </c>
      <c r="E101">
        <f>IF(C101="","",IFERROR(INDEX('30_NGAN_HANG'!$Y:$Y,MATCH(C101,'30_NGAN_HANG'!$A:$A,0)),""))</f>
        <v/>
      </c>
    </row>
    <row r="102">
      <c r="D102">
        <f>IF(C102="","",IFERROR(INDEX('30_NGAN_HANG'!$D:$D,MATCH(C102,'30_NGAN_HANG'!$A:$A,0)),"Không tìm thấy"))</f>
        <v/>
      </c>
      <c r="E102">
        <f>IF(C102="","",IFERROR(INDEX('30_NGAN_HANG'!$Y:$Y,MATCH(C102,'30_NGAN_HANG'!$A:$A,0)),""))</f>
        <v/>
      </c>
    </row>
    <row r="103">
      <c r="D103">
        <f>IF(C103="","",IFERROR(INDEX('30_NGAN_HANG'!$D:$D,MATCH(C103,'30_NGAN_HANG'!$A:$A,0)),"Không tìm thấy"))</f>
        <v/>
      </c>
      <c r="E103">
        <f>IF(C103="","",IFERROR(INDEX('30_NGAN_HANG'!$Y:$Y,MATCH(C103,'30_NGAN_HANG'!$A:$A,0)),""))</f>
        <v/>
      </c>
    </row>
    <row r="104">
      <c r="D104">
        <f>IF(C104="","",IFERROR(INDEX('30_NGAN_HANG'!$D:$D,MATCH(C104,'30_NGAN_HANG'!$A:$A,0)),"Không tìm thấy"))</f>
        <v/>
      </c>
      <c r="E104">
        <f>IF(C104="","",IFERROR(INDEX('30_NGAN_HANG'!$Y:$Y,MATCH(C104,'30_NGAN_HANG'!$A:$A,0)),""))</f>
        <v/>
      </c>
    </row>
    <row r="105">
      <c r="D105">
        <f>IF(C105="","",IFERROR(INDEX('30_NGAN_HANG'!$D:$D,MATCH(C105,'30_NGAN_HANG'!$A:$A,0)),"Không tìm thấy"))</f>
        <v/>
      </c>
      <c r="E105">
        <f>IF(C105="","",IFERROR(INDEX('30_NGAN_HANG'!$Y:$Y,MATCH(C105,'30_NGAN_HANG'!$A:$A,0)),""))</f>
        <v/>
      </c>
    </row>
    <row r="106">
      <c r="D106">
        <f>IF(C106="","",IFERROR(INDEX('30_NGAN_HANG'!$D:$D,MATCH(C106,'30_NGAN_HANG'!$A:$A,0)),"Không tìm thấy"))</f>
        <v/>
      </c>
      <c r="E106">
        <f>IF(C106="","",IFERROR(INDEX('30_NGAN_HANG'!$Y:$Y,MATCH(C106,'30_NGAN_HANG'!$A:$A,0)),""))</f>
        <v/>
      </c>
    </row>
    <row r="107">
      <c r="D107">
        <f>IF(C107="","",IFERROR(INDEX('30_NGAN_HANG'!$D:$D,MATCH(C107,'30_NGAN_HANG'!$A:$A,0)),"Không tìm thấy"))</f>
        <v/>
      </c>
      <c r="E107">
        <f>IF(C107="","",IFERROR(INDEX('30_NGAN_HANG'!$Y:$Y,MATCH(C107,'30_NGAN_HANG'!$A:$A,0)),""))</f>
        <v/>
      </c>
    </row>
    <row r="108">
      <c r="D108">
        <f>IF(C108="","",IFERROR(INDEX('30_NGAN_HANG'!$D:$D,MATCH(C108,'30_NGAN_HANG'!$A:$A,0)),"Không tìm thấy"))</f>
        <v/>
      </c>
      <c r="E108">
        <f>IF(C108="","",IFERROR(INDEX('30_NGAN_HANG'!$Y:$Y,MATCH(C108,'30_NGAN_HANG'!$A:$A,0)),""))</f>
        <v/>
      </c>
    </row>
    <row r="109">
      <c r="D109">
        <f>IF(C109="","",IFERROR(INDEX('30_NGAN_HANG'!$D:$D,MATCH(C109,'30_NGAN_HANG'!$A:$A,0)),"Không tìm thấy"))</f>
        <v/>
      </c>
      <c r="E109">
        <f>IF(C109="","",IFERROR(INDEX('30_NGAN_HANG'!$Y:$Y,MATCH(C109,'30_NGAN_HANG'!$A:$A,0)),""))</f>
        <v/>
      </c>
    </row>
    <row r="110">
      <c r="D110">
        <f>IF(C110="","",IFERROR(INDEX('30_NGAN_HANG'!$D:$D,MATCH(C110,'30_NGAN_HANG'!$A:$A,0)),"Không tìm thấy"))</f>
        <v/>
      </c>
      <c r="E110">
        <f>IF(C110="","",IFERROR(INDEX('30_NGAN_HANG'!$Y:$Y,MATCH(C110,'30_NGAN_HANG'!$A:$A,0)),""))</f>
        <v/>
      </c>
    </row>
    <row r="111">
      <c r="D111">
        <f>IF(C111="","",IFERROR(INDEX('30_NGAN_HANG'!$D:$D,MATCH(C111,'30_NGAN_HANG'!$A:$A,0)),"Không tìm thấy"))</f>
        <v/>
      </c>
      <c r="E111">
        <f>IF(C111="","",IFERROR(INDEX('30_NGAN_HANG'!$Y:$Y,MATCH(C111,'30_NGAN_HANG'!$A:$A,0)),""))</f>
        <v/>
      </c>
    </row>
    <row r="112">
      <c r="D112">
        <f>IF(C112="","",IFERROR(INDEX('30_NGAN_HANG'!$D:$D,MATCH(C112,'30_NGAN_HANG'!$A:$A,0)),"Không tìm thấy"))</f>
        <v/>
      </c>
      <c r="E112">
        <f>IF(C112="","",IFERROR(INDEX('30_NGAN_HANG'!$Y:$Y,MATCH(C112,'30_NGAN_HANG'!$A:$A,0)),""))</f>
        <v/>
      </c>
    </row>
    <row r="113">
      <c r="D113">
        <f>IF(C113="","",IFERROR(INDEX('30_NGAN_HANG'!$D:$D,MATCH(C113,'30_NGAN_HANG'!$A:$A,0)),"Không tìm thấy"))</f>
        <v/>
      </c>
      <c r="E113">
        <f>IF(C113="","",IFERROR(INDEX('30_NGAN_HANG'!$Y:$Y,MATCH(C113,'30_NGAN_HANG'!$A:$A,0)),""))</f>
        <v/>
      </c>
    </row>
    <row r="114">
      <c r="D114">
        <f>IF(C114="","",IFERROR(INDEX('30_NGAN_HANG'!$D:$D,MATCH(C114,'30_NGAN_HANG'!$A:$A,0)),"Không tìm thấy"))</f>
        <v/>
      </c>
      <c r="E114">
        <f>IF(C114="","",IFERROR(INDEX('30_NGAN_HANG'!$Y:$Y,MATCH(C114,'30_NGAN_HANG'!$A:$A,0)),""))</f>
        <v/>
      </c>
    </row>
    <row r="115">
      <c r="D115">
        <f>IF(C115="","",IFERROR(INDEX('30_NGAN_HANG'!$D:$D,MATCH(C115,'30_NGAN_HANG'!$A:$A,0)),"Không tìm thấy"))</f>
        <v/>
      </c>
      <c r="E115">
        <f>IF(C115="","",IFERROR(INDEX('30_NGAN_HANG'!$Y:$Y,MATCH(C115,'30_NGAN_HANG'!$A:$A,0)),""))</f>
        <v/>
      </c>
    </row>
    <row r="116">
      <c r="D116">
        <f>IF(C116="","",IFERROR(INDEX('30_NGAN_HANG'!$D:$D,MATCH(C116,'30_NGAN_HANG'!$A:$A,0)),"Không tìm thấy"))</f>
        <v/>
      </c>
      <c r="E116">
        <f>IF(C116="","",IFERROR(INDEX('30_NGAN_HANG'!$Y:$Y,MATCH(C116,'30_NGAN_HANG'!$A:$A,0)),""))</f>
        <v/>
      </c>
    </row>
    <row r="117">
      <c r="D117">
        <f>IF(C117="","",IFERROR(INDEX('30_NGAN_HANG'!$D:$D,MATCH(C117,'30_NGAN_HANG'!$A:$A,0)),"Không tìm thấy"))</f>
        <v/>
      </c>
      <c r="E117">
        <f>IF(C117="","",IFERROR(INDEX('30_NGAN_HANG'!$Y:$Y,MATCH(C117,'30_NGAN_HANG'!$A:$A,0)),""))</f>
        <v/>
      </c>
    </row>
    <row r="118">
      <c r="D118">
        <f>IF(C118="","",IFERROR(INDEX('30_NGAN_HANG'!$D:$D,MATCH(C118,'30_NGAN_HANG'!$A:$A,0)),"Không tìm thấy"))</f>
        <v/>
      </c>
      <c r="E118">
        <f>IF(C118="","",IFERROR(INDEX('30_NGAN_HANG'!$Y:$Y,MATCH(C118,'30_NGAN_HANG'!$A:$A,0)),""))</f>
        <v/>
      </c>
    </row>
    <row r="119">
      <c r="D119">
        <f>IF(C119="","",IFERROR(INDEX('30_NGAN_HANG'!$D:$D,MATCH(C119,'30_NGAN_HANG'!$A:$A,0)),"Không tìm thấy"))</f>
        <v/>
      </c>
      <c r="E119">
        <f>IF(C119="","",IFERROR(INDEX('30_NGAN_HANG'!$Y:$Y,MATCH(C119,'30_NGAN_HANG'!$A:$A,0)),""))</f>
        <v/>
      </c>
    </row>
    <row r="120">
      <c r="D120">
        <f>IF(C120="","",IFERROR(INDEX('30_NGAN_HANG'!$D:$D,MATCH(C120,'30_NGAN_HANG'!$A:$A,0)),"Không tìm thấy"))</f>
        <v/>
      </c>
      <c r="E120">
        <f>IF(C120="","",IFERROR(INDEX('30_NGAN_HANG'!$Y:$Y,MATCH(C120,'30_NGAN_HANG'!$A:$A,0)),""))</f>
        <v/>
      </c>
    </row>
    <row r="121">
      <c r="D121">
        <f>IF(C121="","",IFERROR(INDEX('30_NGAN_HANG'!$D:$D,MATCH(C121,'30_NGAN_HANG'!$A:$A,0)),"Không tìm thấy"))</f>
        <v/>
      </c>
      <c r="E121">
        <f>IF(C121="","",IFERROR(INDEX('30_NGAN_HANG'!$Y:$Y,MATCH(C121,'30_NGAN_HANG'!$A:$A,0)),""))</f>
        <v/>
      </c>
    </row>
    <row r="122">
      <c r="D122">
        <f>IF(C122="","",IFERROR(INDEX('30_NGAN_HANG'!$D:$D,MATCH(C122,'30_NGAN_HANG'!$A:$A,0)),"Không tìm thấy"))</f>
        <v/>
      </c>
      <c r="E122">
        <f>IF(C122="","",IFERROR(INDEX('30_NGAN_HANG'!$Y:$Y,MATCH(C122,'30_NGAN_HANG'!$A:$A,0)),""))</f>
        <v/>
      </c>
    </row>
    <row r="123">
      <c r="D123">
        <f>IF(C123="","",IFERROR(INDEX('30_NGAN_HANG'!$D:$D,MATCH(C123,'30_NGAN_HANG'!$A:$A,0)),"Không tìm thấy"))</f>
        <v/>
      </c>
      <c r="E123">
        <f>IF(C123="","",IFERROR(INDEX('30_NGAN_HANG'!$Y:$Y,MATCH(C123,'30_NGAN_HANG'!$A:$A,0)),""))</f>
        <v/>
      </c>
    </row>
    <row r="124">
      <c r="D124">
        <f>IF(C124="","",IFERROR(INDEX('30_NGAN_HANG'!$D:$D,MATCH(C124,'30_NGAN_HANG'!$A:$A,0)),"Không tìm thấy"))</f>
        <v/>
      </c>
      <c r="E124">
        <f>IF(C124="","",IFERROR(INDEX('30_NGAN_HANG'!$Y:$Y,MATCH(C124,'30_NGAN_HANG'!$A:$A,0)),""))</f>
        <v/>
      </c>
    </row>
    <row r="125">
      <c r="D125">
        <f>IF(C125="","",IFERROR(INDEX('30_NGAN_HANG'!$D:$D,MATCH(C125,'30_NGAN_HANG'!$A:$A,0)),"Không tìm thấy"))</f>
        <v/>
      </c>
      <c r="E125">
        <f>IF(C125="","",IFERROR(INDEX('30_NGAN_HANG'!$Y:$Y,MATCH(C125,'30_NGAN_HANG'!$A:$A,0)),""))</f>
        <v/>
      </c>
    </row>
    <row r="126">
      <c r="D126">
        <f>IF(C126="","",IFERROR(INDEX('30_NGAN_HANG'!$D:$D,MATCH(C126,'30_NGAN_HANG'!$A:$A,0)),"Không tìm thấy"))</f>
        <v/>
      </c>
      <c r="E126">
        <f>IF(C126="","",IFERROR(INDEX('30_NGAN_HANG'!$Y:$Y,MATCH(C126,'30_NGAN_HANG'!$A:$A,0)),""))</f>
        <v/>
      </c>
    </row>
    <row r="127">
      <c r="D127">
        <f>IF(C127="","",IFERROR(INDEX('30_NGAN_HANG'!$D:$D,MATCH(C127,'30_NGAN_HANG'!$A:$A,0)),"Không tìm thấy"))</f>
        <v/>
      </c>
      <c r="E127">
        <f>IF(C127="","",IFERROR(INDEX('30_NGAN_HANG'!$Y:$Y,MATCH(C127,'30_NGAN_HANG'!$A:$A,0)),""))</f>
        <v/>
      </c>
    </row>
    <row r="128">
      <c r="D128">
        <f>IF(C128="","",IFERROR(INDEX('30_NGAN_HANG'!$D:$D,MATCH(C128,'30_NGAN_HANG'!$A:$A,0)),"Không tìm thấy"))</f>
        <v/>
      </c>
      <c r="E128">
        <f>IF(C128="","",IFERROR(INDEX('30_NGAN_HANG'!$Y:$Y,MATCH(C128,'30_NGAN_HANG'!$A:$A,0)),""))</f>
        <v/>
      </c>
    </row>
    <row r="129">
      <c r="D129">
        <f>IF(C129="","",IFERROR(INDEX('30_NGAN_HANG'!$D:$D,MATCH(C129,'30_NGAN_HANG'!$A:$A,0)),"Không tìm thấy"))</f>
        <v/>
      </c>
      <c r="E129">
        <f>IF(C129="","",IFERROR(INDEX('30_NGAN_HANG'!$Y:$Y,MATCH(C129,'30_NGAN_HANG'!$A:$A,0)),""))</f>
        <v/>
      </c>
    </row>
    <row r="130">
      <c r="D130">
        <f>IF(C130="","",IFERROR(INDEX('30_NGAN_HANG'!$D:$D,MATCH(C130,'30_NGAN_HANG'!$A:$A,0)),"Không tìm thấy"))</f>
        <v/>
      </c>
      <c r="E130">
        <f>IF(C130="","",IFERROR(INDEX('30_NGAN_HANG'!$Y:$Y,MATCH(C130,'30_NGAN_HANG'!$A:$A,0)),""))</f>
        <v/>
      </c>
    </row>
    <row r="131">
      <c r="D131">
        <f>IF(C131="","",IFERROR(INDEX('30_NGAN_HANG'!$D:$D,MATCH(C131,'30_NGAN_HANG'!$A:$A,0)),"Không tìm thấy"))</f>
        <v/>
      </c>
      <c r="E131">
        <f>IF(C131="","",IFERROR(INDEX('30_NGAN_HANG'!$Y:$Y,MATCH(C131,'30_NGAN_HANG'!$A:$A,0)),""))</f>
        <v/>
      </c>
    </row>
    <row r="132">
      <c r="D132">
        <f>IF(C132="","",IFERROR(INDEX('30_NGAN_HANG'!$D:$D,MATCH(C132,'30_NGAN_HANG'!$A:$A,0)),"Không tìm thấy"))</f>
        <v/>
      </c>
      <c r="E132">
        <f>IF(C132="","",IFERROR(INDEX('30_NGAN_HANG'!$Y:$Y,MATCH(C132,'30_NGAN_HANG'!$A:$A,0)),""))</f>
        <v/>
      </c>
    </row>
    <row r="133">
      <c r="D133">
        <f>IF(C133="","",IFERROR(INDEX('30_NGAN_HANG'!$D:$D,MATCH(C133,'30_NGAN_HANG'!$A:$A,0)),"Không tìm thấy"))</f>
        <v/>
      </c>
      <c r="E133">
        <f>IF(C133="","",IFERROR(INDEX('30_NGAN_HANG'!$Y:$Y,MATCH(C133,'30_NGAN_HANG'!$A:$A,0)),""))</f>
        <v/>
      </c>
    </row>
    <row r="134">
      <c r="D134">
        <f>IF(C134="","",IFERROR(INDEX('30_NGAN_HANG'!$D:$D,MATCH(C134,'30_NGAN_HANG'!$A:$A,0)),"Không tìm thấy"))</f>
        <v/>
      </c>
      <c r="E134">
        <f>IF(C134="","",IFERROR(INDEX('30_NGAN_HANG'!$Y:$Y,MATCH(C134,'30_NGAN_HANG'!$A:$A,0)),""))</f>
        <v/>
      </c>
    </row>
    <row r="135">
      <c r="D135">
        <f>IF(C135="","",IFERROR(INDEX('30_NGAN_HANG'!$D:$D,MATCH(C135,'30_NGAN_HANG'!$A:$A,0)),"Không tìm thấy"))</f>
        <v/>
      </c>
      <c r="E135">
        <f>IF(C135="","",IFERROR(INDEX('30_NGAN_HANG'!$Y:$Y,MATCH(C135,'30_NGAN_HANG'!$A:$A,0)),""))</f>
        <v/>
      </c>
    </row>
    <row r="136">
      <c r="D136">
        <f>IF(C136="","",IFERROR(INDEX('30_NGAN_HANG'!$D:$D,MATCH(C136,'30_NGAN_HANG'!$A:$A,0)),"Không tìm thấy"))</f>
        <v/>
      </c>
      <c r="E136">
        <f>IF(C136="","",IFERROR(INDEX('30_NGAN_HANG'!$Y:$Y,MATCH(C136,'30_NGAN_HANG'!$A:$A,0)),""))</f>
        <v/>
      </c>
    </row>
    <row r="137">
      <c r="D137">
        <f>IF(C137="","",IFERROR(INDEX('30_NGAN_HANG'!$D:$D,MATCH(C137,'30_NGAN_HANG'!$A:$A,0)),"Không tìm thấy"))</f>
        <v/>
      </c>
      <c r="E137">
        <f>IF(C137="","",IFERROR(INDEX('30_NGAN_HANG'!$Y:$Y,MATCH(C137,'30_NGAN_HANG'!$A:$A,0)),""))</f>
        <v/>
      </c>
    </row>
    <row r="138">
      <c r="D138">
        <f>IF(C138="","",IFERROR(INDEX('30_NGAN_HANG'!$D:$D,MATCH(C138,'30_NGAN_HANG'!$A:$A,0)),"Không tìm thấy"))</f>
        <v/>
      </c>
      <c r="E138">
        <f>IF(C138="","",IFERROR(INDEX('30_NGAN_HANG'!$Y:$Y,MATCH(C138,'30_NGAN_HANG'!$A:$A,0)),""))</f>
        <v/>
      </c>
    </row>
    <row r="139">
      <c r="D139">
        <f>IF(C139="","",IFERROR(INDEX('30_NGAN_HANG'!$D:$D,MATCH(C139,'30_NGAN_HANG'!$A:$A,0)),"Không tìm thấy"))</f>
        <v/>
      </c>
      <c r="E139">
        <f>IF(C139="","",IFERROR(INDEX('30_NGAN_HANG'!$Y:$Y,MATCH(C139,'30_NGAN_HANG'!$A:$A,0)),""))</f>
        <v/>
      </c>
    </row>
    <row r="140">
      <c r="D140">
        <f>IF(C140="","",IFERROR(INDEX('30_NGAN_HANG'!$D:$D,MATCH(C140,'30_NGAN_HANG'!$A:$A,0)),"Không tìm thấy"))</f>
        <v/>
      </c>
      <c r="E140">
        <f>IF(C140="","",IFERROR(INDEX('30_NGAN_HANG'!$Y:$Y,MATCH(C140,'30_NGAN_HANG'!$A:$A,0)),""))</f>
        <v/>
      </c>
    </row>
    <row r="141">
      <c r="D141">
        <f>IF(C141="","",IFERROR(INDEX('30_NGAN_HANG'!$D:$D,MATCH(C141,'30_NGAN_HANG'!$A:$A,0)),"Không tìm thấy"))</f>
        <v/>
      </c>
      <c r="E141">
        <f>IF(C141="","",IFERROR(INDEX('30_NGAN_HANG'!$Y:$Y,MATCH(C141,'30_NGAN_HANG'!$A:$A,0)),""))</f>
        <v/>
      </c>
    </row>
    <row r="142">
      <c r="D142">
        <f>IF(C142="","",IFERROR(INDEX('30_NGAN_HANG'!$D:$D,MATCH(C142,'30_NGAN_HANG'!$A:$A,0)),"Không tìm thấy"))</f>
        <v/>
      </c>
      <c r="E142">
        <f>IF(C142="","",IFERROR(INDEX('30_NGAN_HANG'!$Y:$Y,MATCH(C142,'30_NGAN_HANG'!$A:$A,0)),""))</f>
        <v/>
      </c>
    </row>
    <row r="143">
      <c r="D143">
        <f>IF(C143="","",IFERROR(INDEX('30_NGAN_HANG'!$D:$D,MATCH(C143,'30_NGAN_HANG'!$A:$A,0)),"Không tìm thấy"))</f>
        <v/>
      </c>
      <c r="E143">
        <f>IF(C143="","",IFERROR(INDEX('30_NGAN_HANG'!$Y:$Y,MATCH(C143,'30_NGAN_HANG'!$A:$A,0)),""))</f>
        <v/>
      </c>
    </row>
    <row r="144">
      <c r="D144">
        <f>IF(C144="","",IFERROR(INDEX('30_NGAN_HANG'!$D:$D,MATCH(C144,'30_NGAN_HANG'!$A:$A,0)),"Không tìm thấy"))</f>
        <v/>
      </c>
      <c r="E144">
        <f>IF(C144="","",IFERROR(INDEX('30_NGAN_HANG'!$Y:$Y,MATCH(C144,'30_NGAN_HANG'!$A:$A,0)),""))</f>
        <v/>
      </c>
    </row>
    <row r="145">
      <c r="D145">
        <f>IF(C145="","",IFERROR(INDEX('30_NGAN_HANG'!$D:$D,MATCH(C145,'30_NGAN_HANG'!$A:$A,0)),"Không tìm thấy"))</f>
        <v/>
      </c>
      <c r="E145">
        <f>IF(C145="","",IFERROR(INDEX('30_NGAN_HANG'!$Y:$Y,MATCH(C145,'30_NGAN_HANG'!$A:$A,0)),""))</f>
        <v/>
      </c>
    </row>
    <row r="146">
      <c r="D146">
        <f>IF(C146="","",IFERROR(INDEX('30_NGAN_HANG'!$D:$D,MATCH(C146,'30_NGAN_HANG'!$A:$A,0)),"Không tìm thấy"))</f>
        <v/>
      </c>
      <c r="E146">
        <f>IF(C146="","",IFERROR(INDEX('30_NGAN_HANG'!$Y:$Y,MATCH(C146,'30_NGAN_HANG'!$A:$A,0)),""))</f>
        <v/>
      </c>
    </row>
    <row r="147">
      <c r="D147">
        <f>IF(C147="","",IFERROR(INDEX('30_NGAN_HANG'!$D:$D,MATCH(C147,'30_NGAN_HANG'!$A:$A,0)),"Không tìm thấy"))</f>
        <v/>
      </c>
      <c r="E147">
        <f>IF(C147="","",IFERROR(INDEX('30_NGAN_HANG'!$Y:$Y,MATCH(C147,'30_NGAN_HANG'!$A:$A,0)),""))</f>
        <v/>
      </c>
    </row>
    <row r="148">
      <c r="D148">
        <f>IF(C148="","",IFERROR(INDEX('30_NGAN_HANG'!$D:$D,MATCH(C148,'30_NGAN_HANG'!$A:$A,0)),"Không tìm thấy"))</f>
        <v/>
      </c>
      <c r="E148">
        <f>IF(C148="","",IFERROR(INDEX('30_NGAN_HANG'!$Y:$Y,MATCH(C148,'30_NGAN_HANG'!$A:$A,0)),""))</f>
        <v/>
      </c>
    </row>
    <row r="149">
      <c r="D149">
        <f>IF(C149="","",IFERROR(INDEX('30_NGAN_HANG'!$D:$D,MATCH(C149,'30_NGAN_HANG'!$A:$A,0)),"Không tìm thấy"))</f>
        <v/>
      </c>
      <c r="E149">
        <f>IF(C149="","",IFERROR(INDEX('30_NGAN_HANG'!$Y:$Y,MATCH(C149,'30_NGAN_HANG'!$A:$A,0)),""))</f>
        <v/>
      </c>
    </row>
    <row r="150">
      <c r="D150">
        <f>IF(C150="","",IFERROR(INDEX('30_NGAN_HANG'!$D:$D,MATCH(C150,'30_NGAN_HANG'!$A:$A,0)),"Không tìm thấy"))</f>
        <v/>
      </c>
      <c r="E150">
        <f>IF(C150="","",IFERROR(INDEX('30_NGAN_HANG'!$Y:$Y,MATCH(C150,'30_NGAN_HANG'!$A:$A,0)),""))</f>
        <v/>
      </c>
    </row>
    <row r="151">
      <c r="D151">
        <f>IF(C151="","",IFERROR(INDEX('30_NGAN_HANG'!$D:$D,MATCH(C151,'30_NGAN_HANG'!$A:$A,0)),"Không tìm thấy"))</f>
        <v/>
      </c>
      <c r="E151">
        <f>IF(C151="","",IFERROR(INDEX('30_NGAN_HANG'!$Y:$Y,MATCH(C151,'30_NGAN_HANG'!$A:$A,0)),""))</f>
        <v/>
      </c>
    </row>
    <row r="152">
      <c r="D152">
        <f>IF(C152="","",IFERROR(INDEX('30_NGAN_HANG'!$D:$D,MATCH(C152,'30_NGAN_HANG'!$A:$A,0)),"Không tìm thấy"))</f>
        <v/>
      </c>
      <c r="E152">
        <f>IF(C152="","",IFERROR(INDEX('30_NGAN_HANG'!$Y:$Y,MATCH(C152,'30_NGAN_HANG'!$A:$A,0)),""))</f>
        <v/>
      </c>
    </row>
    <row r="153">
      <c r="D153">
        <f>IF(C153="","",IFERROR(INDEX('30_NGAN_HANG'!$D:$D,MATCH(C153,'30_NGAN_HANG'!$A:$A,0)),"Không tìm thấy"))</f>
        <v/>
      </c>
      <c r="E153">
        <f>IF(C153="","",IFERROR(INDEX('30_NGAN_HANG'!$Y:$Y,MATCH(C153,'30_NGAN_HANG'!$A:$A,0)),""))</f>
        <v/>
      </c>
    </row>
    <row r="154">
      <c r="D154">
        <f>IF(C154="","",IFERROR(INDEX('30_NGAN_HANG'!$D:$D,MATCH(C154,'30_NGAN_HANG'!$A:$A,0)),"Không tìm thấy"))</f>
        <v/>
      </c>
      <c r="E154">
        <f>IF(C154="","",IFERROR(INDEX('30_NGAN_HANG'!$Y:$Y,MATCH(C154,'30_NGAN_HANG'!$A:$A,0)),""))</f>
        <v/>
      </c>
    </row>
    <row r="155">
      <c r="D155">
        <f>IF(C155="","",IFERROR(INDEX('30_NGAN_HANG'!$D:$D,MATCH(C155,'30_NGAN_HANG'!$A:$A,0)),"Không tìm thấy"))</f>
        <v/>
      </c>
      <c r="E155">
        <f>IF(C155="","",IFERROR(INDEX('30_NGAN_HANG'!$Y:$Y,MATCH(C155,'30_NGAN_HANG'!$A:$A,0)),""))</f>
        <v/>
      </c>
    </row>
    <row r="156">
      <c r="D156">
        <f>IF(C156="","",IFERROR(INDEX('30_NGAN_HANG'!$D:$D,MATCH(C156,'30_NGAN_HANG'!$A:$A,0)),"Không tìm thấy"))</f>
        <v/>
      </c>
      <c r="E156">
        <f>IF(C156="","",IFERROR(INDEX('30_NGAN_HANG'!$Y:$Y,MATCH(C156,'30_NGAN_HANG'!$A:$A,0)),""))</f>
        <v/>
      </c>
    </row>
    <row r="157">
      <c r="D157">
        <f>IF(C157="","",IFERROR(INDEX('30_NGAN_HANG'!$D:$D,MATCH(C157,'30_NGAN_HANG'!$A:$A,0)),"Không tìm thấy"))</f>
        <v/>
      </c>
      <c r="E157">
        <f>IF(C157="","",IFERROR(INDEX('30_NGAN_HANG'!$Y:$Y,MATCH(C157,'30_NGAN_HANG'!$A:$A,0)),""))</f>
        <v/>
      </c>
    </row>
    <row r="158">
      <c r="D158">
        <f>IF(C158="","",IFERROR(INDEX('30_NGAN_HANG'!$D:$D,MATCH(C158,'30_NGAN_HANG'!$A:$A,0)),"Không tìm thấy"))</f>
        <v/>
      </c>
      <c r="E158">
        <f>IF(C158="","",IFERROR(INDEX('30_NGAN_HANG'!$Y:$Y,MATCH(C158,'30_NGAN_HANG'!$A:$A,0)),""))</f>
        <v/>
      </c>
    </row>
    <row r="159">
      <c r="D159">
        <f>IF(C159="","",IFERROR(INDEX('30_NGAN_HANG'!$D:$D,MATCH(C159,'30_NGAN_HANG'!$A:$A,0)),"Không tìm thấy"))</f>
        <v/>
      </c>
      <c r="E159">
        <f>IF(C159="","",IFERROR(INDEX('30_NGAN_HANG'!$Y:$Y,MATCH(C159,'30_NGAN_HANG'!$A:$A,0)),""))</f>
        <v/>
      </c>
    </row>
    <row r="160">
      <c r="D160">
        <f>IF(C160="","",IFERROR(INDEX('30_NGAN_HANG'!$D:$D,MATCH(C160,'30_NGAN_HANG'!$A:$A,0)),"Không tìm thấy"))</f>
        <v/>
      </c>
      <c r="E160">
        <f>IF(C160="","",IFERROR(INDEX('30_NGAN_HANG'!$Y:$Y,MATCH(C160,'30_NGAN_HANG'!$A:$A,0)),""))</f>
        <v/>
      </c>
    </row>
    <row r="161">
      <c r="D161">
        <f>IF(C161="","",IFERROR(INDEX('30_NGAN_HANG'!$D:$D,MATCH(C161,'30_NGAN_HANG'!$A:$A,0)),"Không tìm thấy"))</f>
        <v/>
      </c>
      <c r="E161">
        <f>IF(C161="","",IFERROR(INDEX('30_NGAN_HANG'!$Y:$Y,MATCH(C161,'30_NGAN_HANG'!$A:$A,0)),""))</f>
        <v/>
      </c>
    </row>
    <row r="162">
      <c r="D162">
        <f>IF(C162="","",IFERROR(INDEX('30_NGAN_HANG'!$D:$D,MATCH(C162,'30_NGAN_HANG'!$A:$A,0)),"Không tìm thấy"))</f>
        <v/>
      </c>
      <c r="E162">
        <f>IF(C162="","",IFERROR(INDEX('30_NGAN_HANG'!$Y:$Y,MATCH(C162,'30_NGAN_HANG'!$A:$A,0)),""))</f>
        <v/>
      </c>
    </row>
    <row r="163">
      <c r="D163">
        <f>IF(C163="","",IFERROR(INDEX('30_NGAN_HANG'!$D:$D,MATCH(C163,'30_NGAN_HANG'!$A:$A,0)),"Không tìm thấy"))</f>
        <v/>
      </c>
      <c r="E163">
        <f>IF(C163="","",IFERROR(INDEX('30_NGAN_HANG'!$Y:$Y,MATCH(C163,'30_NGAN_HANG'!$A:$A,0)),""))</f>
        <v/>
      </c>
    </row>
    <row r="164">
      <c r="D164">
        <f>IF(C164="","",IFERROR(INDEX('30_NGAN_HANG'!$D:$D,MATCH(C164,'30_NGAN_HANG'!$A:$A,0)),"Không tìm thấy"))</f>
        <v/>
      </c>
      <c r="E164">
        <f>IF(C164="","",IFERROR(INDEX('30_NGAN_HANG'!$Y:$Y,MATCH(C164,'30_NGAN_HANG'!$A:$A,0)),""))</f>
        <v/>
      </c>
    </row>
    <row r="165">
      <c r="D165">
        <f>IF(C165="","",IFERROR(INDEX('30_NGAN_HANG'!$D:$D,MATCH(C165,'30_NGAN_HANG'!$A:$A,0)),"Không tìm thấy"))</f>
        <v/>
      </c>
      <c r="E165">
        <f>IF(C165="","",IFERROR(INDEX('30_NGAN_HANG'!$Y:$Y,MATCH(C165,'30_NGAN_HANG'!$A:$A,0)),""))</f>
        <v/>
      </c>
    </row>
    <row r="166">
      <c r="D166">
        <f>IF(C166="","",IFERROR(INDEX('30_NGAN_HANG'!$D:$D,MATCH(C166,'30_NGAN_HANG'!$A:$A,0)),"Không tìm thấy"))</f>
        <v/>
      </c>
      <c r="E166">
        <f>IF(C166="","",IFERROR(INDEX('30_NGAN_HANG'!$Y:$Y,MATCH(C166,'30_NGAN_HANG'!$A:$A,0)),""))</f>
        <v/>
      </c>
    </row>
    <row r="167">
      <c r="D167">
        <f>IF(C167="","",IFERROR(INDEX('30_NGAN_HANG'!$D:$D,MATCH(C167,'30_NGAN_HANG'!$A:$A,0)),"Không tìm thấy"))</f>
        <v/>
      </c>
      <c r="E167">
        <f>IF(C167="","",IFERROR(INDEX('30_NGAN_HANG'!$Y:$Y,MATCH(C167,'30_NGAN_HANG'!$A:$A,0)),""))</f>
        <v/>
      </c>
    </row>
    <row r="168">
      <c r="D168">
        <f>IF(C168="","",IFERROR(INDEX('30_NGAN_HANG'!$D:$D,MATCH(C168,'30_NGAN_HANG'!$A:$A,0)),"Không tìm thấy"))</f>
        <v/>
      </c>
      <c r="E168">
        <f>IF(C168="","",IFERROR(INDEX('30_NGAN_HANG'!$Y:$Y,MATCH(C168,'30_NGAN_HANG'!$A:$A,0)),""))</f>
        <v/>
      </c>
    </row>
    <row r="169">
      <c r="D169">
        <f>IF(C169="","",IFERROR(INDEX('30_NGAN_HANG'!$D:$D,MATCH(C169,'30_NGAN_HANG'!$A:$A,0)),"Không tìm thấy"))</f>
        <v/>
      </c>
      <c r="E169">
        <f>IF(C169="","",IFERROR(INDEX('30_NGAN_HANG'!$Y:$Y,MATCH(C169,'30_NGAN_HANG'!$A:$A,0)),""))</f>
        <v/>
      </c>
    </row>
    <row r="170">
      <c r="D170">
        <f>IF(C170="","",IFERROR(INDEX('30_NGAN_HANG'!$D:$D,MATCH(C170,'30_NGAN_HANG'!$A:$A,0)),"Không tìm thấy"))</f>
        <v/>
      </c>
      <c r="E170">
        <f>IF(C170="","",IFERROR(INDEX('30_NGAN_HANG'!$Y:$Y,MATCH(C170,'30_NGAN_HANG'!$A:$A,0)),""))</f>
        <v/>
      </c>
    </row>
    <row r="171">
      <c r="D171">
        <f>IF(C171="","",IFERROR(INDEX('30_NGAN_HANG'!$D:$D,MATCH(C171,'30_NGAN_HANG'!$A:$A,0)),"Không tìm thấy"))</f>
        <v/>
      </c>
      <c r="E171">
        <f>IF(C171="","",IFERROR(INDEX('30_NGAN_HANG'!$Y:$Y,MATCH(C171,'30_NGAN_HANG'!$A:$A,0)),""))</f>
        <v/>
      </c>
    </row>
    <row r="172">
      <c r="D172">
        <f>IF(C172="","",IFERROR(INDEX('30_NGAN_HANG'!$D:$D,MATCH(C172,'30_NGAN_HANG'!$A:$A,0)),"Không tìm thấy"))</f>
        <v/>
      </c>
      <c r="E172">
        <f>IF(C172="","",IFERROR(INDEX('30_NGAN_HANG'!$Y:$Y,MATCH(C172,'30_NGAN_HANG'!$A:$A,0)),""))</f>
        <v/>
      </c>
    </row>
    <row r="173">
      <c r="D173">
        <f>IF(C173="","",IFERROR(INDEX('30_NGAN_HANG'!$D:$D,MATCH(C173,'30_NGAN_HANG'!$A:$A,0)),"Không tìm thấy"))</f>
        <v/>
      </c>
      <c r="E173">
        <f>IF(C173="","",IFERROR(INDEX('30_NGAN_HANG'!$Y:$Y,MATCH(C173,'30_NGAN_HANG'!$A:$A,0)),""))</f>
        <v/>
      </c>
    </row>
    <row r="174">
      <c r="D174">
        <f>IF(C174="","",IFERROR(INDEX('30_NGAN_HANG'!$D:$D,MATCH(C174,'30_NGAN_HANG'!$A:$A,0)),"Không tìm thấy"))</f>
        <v/>
      </c>
      <c r="E174">
        <f>IF(C174="","",IFERROR(INDEX('30_NGAN_HANG'!$Y:$Y,MATCH(C174,'30_NGAN_HANG'!$A:$A,0)),""))</f>
        <v/>
      </c>
    </row>
    <row r="175">
      <c r="D175">
        <f>IF(C175="","",IFERROR(INDEX('30_NGAN_HANG'!$D:$D,MATCH(C175,'30_NGAN_HANG'!$A:$A,0)),"Không tìm thấy"))</f>
        <v/>
      </c>
      <c r="E175">
        <f>IF(C175="","",IFERROR(INDEX('30_NGAN_HANG'!$Y:$Y,MATCH(C175,'30_NGAN_HANG'!$A:$A,0)),""))</f>
        <v/>
      </c>
    </row>
    <row r="176">
      <c r="D176">
        <f>IF(C176="","",IFERROR(INDEX('30_NGAN_HANG'!$D:$D,MATCH(C176,'30_NGAN_HANG'!$A:$A,0)),"Không tìm thấy"))</f>
        <v/>
      </c>
      <c r="E176">
        <f>IF(C176="","",IFERROR(INDEX('30_NGAN_HANG'!$Y:$Y,MATCH(C176,'30_NGAN_HANG'!$A:$A,0)),""))</f>
        <v/>
      </c>
    </row>
    <row r="177">
      <c r="D177">
        <f>IF(C177="","",IFERROR(INDEX('30_NGAN_HANG'!$D:$D,MATCH(C177,'30_NGAN_HANG'!$A:$A,0)),"Không tìm thấy"))</f>
        <v/>
      </c>
      <c r="E177">
        <f>IF(C177="","",IFERROR(INDEX('30_NGAN_HANG'!$Y:$Y,MATCH(C177,'30_NGAN_HANG'!$A:$A,0)),""))</f>
        <v/>
      </c>
    </row>
    <row r="178">
      <c r="D178">
        <f>IF(C178="","",IFERROR(INDEX('30_NGAN_HANG'!$D:$D,MATCH(C178,'30_NGAN_HANG'!$A:$A,0)),"Không tìm thấy"))</f>
        <v/>
      </c>
      <c r="E178">
        <f>IF(C178="","",IFERROR(INDEX('30_NGAN_HANG'!$Y:$Y,MATCH(C178,'30_NGAN_HANG'!$A:$A,0)),""))</f>
        <v/>
      </c>
    </row>
    <row r="179">
      <c r="D179">
        <f>IF(C179="","",IFERROR(INDEX('30_NGAN_HANG'!$D:$D,MATCH(C179,'30_NGAN_HANG'!$A:$A,0)),"Không tìm thấy"))</f>
        <v/>
      </c>
      <c r="E179">
        <f>IF(C179="","",IFERROR(INDEX('30_NGAN_HANG'!$Y:$Y,MATCH(C179,'30_NGAN_HANG'!$A:$A,0)),""))</f>
        <v/>
      </c>
    </row>
    <row r="180">
      <c r="D180">
        <f>IF(C180="","",IFERROR(INDEX('30_NGAN_HANG'!$D:$D,MATCH(C180,'30_NGAN_HANG'!$A:$A,0)),"Không tìm thấy"))</f>
        <v/>
      </c>
      <c r="E180">
        <f>IF(C180="","",IFERROR(INDEX('30_NGAN_HANG'!$Y:$Y,MATCH(C180,'30_NGAN_HANG'!$A:$A,0)),""))</f>
        <v/>
      </c>
    </row>
    <row r="181">
      <c r="D181">
        <f>IF(C181="","",IFERROR(INDEX('30_NGAN_HANG'!$D:$D,MATCH(C181,'30_NGAN_HANG'!$A:$A,0)),"Không tìm thấy"))</f>
        <v/>
      </c>
      <c r="E181">
        <f>IF(C181="","",IFERROR(INDEX('30_NGAN_HANG'!$Y:$Y,MATCH(C181,'30_NGAN_HANG'!$A:$A,0)),""))</f>
        <v/>
      </c>
    </row>
    <row r="182">
      <c r="D182">
        <f>IF(C182="","",IFERROR(INDEX('30_NGAN_HANG'!$D:$D,MATCH(C182,'30_NGAN_HANG'!$A:$A,0)),"Không tìm thấy"))</f>
        <v/>
      </c>
      <c r="E182">
        <f>IF(C182="","",IFERROR(INDEX('30_NGAN_HANG'!$Y:$Y,MATCH(C182,'30_NGAN_HANG'!$A:$A,0)),""))</f>
        <v/>
      </c>
    </row>
    <row r="183">
      <c r="D183">
        <f>IF(C183="","",IFERROR(INDEX('30_NGAN_HANG'!$D:$D,MATCH(C183,'30_NGAN_HANG'!$A:$A,0)),"Không tìm thấy"))</f>
        <v/>
      </c>
      <c r="E183">
        <f>IF(C183="","",IFERROR(INDEX('30_NGAN_HANG'!$Y:$Y,MATCH(C183,'30_NGAN_HANG'!$A:$A,0)),""))</f>
        <v/>
      </c>
    </row>
    <row r="184">
      <c r="D184">
        <f>IF(C184="","",IFERROR(INDEX('30_NGAN_HANG'!$D:$D,MATCH(C184,'30_NGAN_HANG'!$A:$A,0)),"Không tìm thấy"))</f>
        <v/>
      </c>
      <c r="E184">
        <f>IF(C184="","",IFERROR(INDEX('30_NGAN_HANG'!$Y:$Y,MATCH(C184,'30_NGAN_HANG'!$A:$A,0)),""))</f>
        <v/>
      </c>
    </row>
    <row r="185">
      <c r="D185">
        <f>IF(C185="","",IFERROR(INDEX('30_NGAN_HANG'!$D:$D,MATCH(C185,'30_NGAN_HANG'!$A:$A,0)),"Không tìm thấy"))</f>
        <v/>
      </c>
      <c r="E185">
        <f>IF(C185="","",IFERROR(INDEX('30_NGAN_HANG'!$Y:$Y,MATCH(C185,'30_NGAN_HANG'!$A:$A,0)),""))</f>
        <v/>
      </c>
    </row>
    <row r="186">
      <c r="D186">
        <f>IF(C186="","",IFERROR(INDEX('30_NGAN_HANG'!$D:$D,MATCH(C186,'30_NGAN_HANG'!$A:$A,0)),"Không tìm thấy"))</f>
        <v/>
      </c>
      <c r="E186">
        <f>IF(C186="","",IFERROR(INDEX('30_NGAN_HANG'!$Y:$Y,MATCH(C186,'30_NGAN_HANG'!$A:$A,0)),""))</f>
        <v/>
      </c>
    </row>
    <row r="187">
      <c r="D187">
        <f>IF(C187="","",IFERROR(INDEX('30_NGAN_HANG'!$D:$D,MATCH(C187,'30_NGAN_HANG'!$A:$A,0)),"Không tìm thấy"))</f>
        <v/>
      </c>
      <c r="E187">
        <f>IF(C187="","",IFERROR(INDEX('30_NGAN_HANG'!$Y:$Y,MATCH(C187,'30_NGAN_HANG'!$A:$A,0)),""))</f>
        <v/>
      </c>
    </row>
    <row r="188">
      <c r="D188">
        <f>IF(C188="","",IFERROR(INDEX('30_NGAN_HANG'!$D:$D,MATCH(C188,'30_NGAN_HANG'!$A:$A,0)),"Không tìm thấy"))</f>
        <v/>
      </c>
      <c r="E188">
        <f>IF(C188="","",IFERROR(INDEX('30_NGAN_HANG'!$Y:$Y,MATCH(C188,'30_NGAN_HANG'!$A:$A,0)),""))</f>
        <v/>
      </c>
    </row>
    <row r="189">
      <c r="D189">
        <f>IF(C189="","",IFERROR(INDEX('30_NGAN_HANG'!$D:$D,MATCH(C189,'30_NGAN_HANG'!$A:$A,0)),"Không tìm thấy"))</f>
        <v/>
      </c>
      <c r="E189">
        <f>IF(C189="","",IFERROR(INDEX('30_NGAN_HANG'!$Y:$Y,MATCH(C189,'30_NGAN_HANG'!$A:$A,0)),""))</f>
        <v/>
      </c>
    </row>
    <row r="190">
      <c r="D190">
        <f>IF(C190="","",IFERROR(INDEX('30_NGAN_HANG'!$D:$D,MATCH(C190,'30_NGAN_HANG'!$A:$A,0)),"Không tìm thấy"))</f>
        <v/>
      </c>
      <c r="E190">
        <f>IF(C190="","",IFERROR(INDEX('30_NGAN_HANG'!$Y:$Y,MATCH(C190,'30_NGAN_HANG'!$A:$A,0)),""))</f>
        <v/>
      </c>
    </row>
    <row r="191">
      <c r="D191">
        <f>IF(C191="","",IFERROR(INDEX('30_NGAN_HANG'!$D:$D,MATCH(C191,'30_NGAN_HANG'!$A:$A,0)),"Không tìm thấy"))</f>
        <v/>
      </c>
      <c r="E191">
        <f>IF(C191="","",IFERROR(INDEX('30_NGAN_HANG'!$Y:$Y,MATCH(C191,'30_NGAN_HANG'!$A:$A,0)),""))</f>
        <v/>
      </c>
    </row>
    <row r="192">
      <c r="D192">
        <f>IF(C192="","",IFERROR(INDEX('30_NGAN_HANG'!$D:$D,MATCH(C192,'30_NGAN_HANG'!$A:$A,0)),"Không tìm thấy"))</f>
        <v/>
      </c>
      <c r="E192">
        <f>IF(C192="","",IFERROR(INDEX('30_NGAN_HANG'!$Y:$Y,MATCH(C192,'30_NGAN_HANG'!$A:$A,0)),""))</f>
        <v/>
      </c>
    </row>
    <row r="193">
      <c r="D193">
        <f>IF(C193="","",IFERROR(INDEX('30_NGAN_HANG'!$D:$D,MATCH(C193,'30_NGAN_HANG'!$A:$A,0)),"Không tìm thấy"))</f>
        <v/>
      </c>
      <c r="E193">
        <f>IF(C193="","",IFERROR(INDEX('30_NGAN_HANG'!$Y:$Y,MATCH(C193,'30_NGAN_HANG'!$A:$A,0)),""))</f>
        <v/>
      </c>
    </row>
    <row r="194">
      <c r="D194">
        <f>IF(C194="","",IFERROR(INDEX('30_NGAN_HANG'!$D:$D,MATCH(C194,'30_NGAN_HANG'!$A:$A,0)),"Không tìm thấy"))</f>
        <v/>
      </c>
      <c r="E194">
        <f>IF(C194="","",IFERROR(INDEX('30_NGAN_HANG'!$Y:$Y,MATCH(C194,'30_NGAN_HANG'!$A:$A,0)),""))</f>
        <v/>
      </c>
    </row>
    <row r="195">
      <c r="D195">
        <f>IF(C195="","",IFERROR(INDEX('30_NGAN_HANG'!$D:$D,MATCH(C195,'30_NGAN_HANG'!$A:$A,0)),"Không tìm thấy"))</f>
        <v/>
      </c>
      <c r="E195">
        <f>IF(C195="","",IFERROR(INDEX('30_NGAN_HANG'!$Y:$Y,MATCH(C195,'30_NGAN_HANG'!$A:$A,0)),""))</f>
        <v/>
      </c>
    </row>
    <row r="196">
      <c r="D196">
        <f>IF(C196="","",IFERROR(INDEX('30_NGAN_HANG'!$D:$D,MATCH(C196,'30_NGAN_HANG'!$A:$A,0)),"Không tìm thấy"))</f>
        <v/>
      </c>
      <c r="E196">
        <f>IF(C196="","",IFERROR(INDEX('30_NGAN_HANG'!$Y:$Y,MATCH(C196,'30_NGAN_HANG'!$A:$A,0)),""))</f>
        <v/>
      </c>
    </row>
    <row r="197">
      <c r="D197">
        <f>IF(C197="","",IFERROR(INDEX('30_NGAN_HANG'!$D:$D,MATCH(C197,'30_NGAN_HANG'!$A:$A,0)),"Không tìm thấy"))</f>
        <v/>
      </c>
      <c r="E197">
        <f>IF(C197="","",IFERROR(INDEX('30_NGAN_HANG'!$Y:$Y,MATCH(C197,'30_NGAN_HANG'!$A:$A,0)),""))</f>
        <v/>
      </c>
    </row>
    <row r="198">
      <c r="D198">
        <f>IF(C198="","",IFERROR(INDEX('30_NGAN_HANG'!$D:$D,MATCH(C198,'30_NGAN_HANG'!$A:$A,0)),"Không tìm thấy"))</f>
        <v/>
      </c>
      <c r="E198">
        <f>IF(C198="","",IFERROR(INDEX('30_NGAN_HANG'!$Y:$Y,MATCH(C198,'30_NGAN_HANG'!$A:$A,0)),""))</f>
        <v/>
      </c>
    </row>
    <row r="199">
      <c r="D199">
        <f>IF(C199="","",IFERROR(INDEX('30_NGAN_HANG'!$D:$D,MATCH(C199,'30_NGAN_HANG'!$A:$A,0)),"Không tìm thấy"))</f>
        <v/>
      </c>
      <c r="E199">
        <f>IF(C199="","",IFERROR(INDEX('30_NGAN_HANG'!$Y:$Y,MATCH(C199,'30_NGAN_HANG'!$A:$A,0)),""))</f>
        <v/>
      </c>
    </row>
    <row r="200">
      <c r="D200">
        <f>IF(C200="","",IFERROR(INDEX('30_NGAN_HANG'!$D:$D,MATCH(C200,'30_NGAN_HANG'!$A:$A,0)),"Không tìm thấy"))</f>
        <v/>
      </c>
      <c r="E200">
        <f>IF(C200="","",IFERROR(INDEX('30_NGAN_HANG'!$Y:$Y,MATCH(C200,'30_NGAN_HANG'!$A:$A,0)),""))</f>
        <v/>
      </c>
    </row>
    <row r="201">
      <c r="D201">
        <f>IF(C201="","",IFERROR(INDEX('30_NGAN_HANG'!$D:$D,MATCH(C201,'30_NGAN_HANG'!$A:$A,0)),"Không tìm thấy"))</f>
        <v/>
      </c>
      <c r="E201">
        <f>IF(C201="","",IFERROR(INDEX('30_NGAN_HANG'!$Y:$Y,MATCH(C201,'30_NGAN_HANG'!$A:$A,0)),""))</f>
        <v/>
      </c>
    </row>
    <row r="202">
      <c r="D202">
        <f>IF(C202="","",IFERROR(INDEX('30_NGAN_HANG'!$D:$D,MATCH(C202,'30_NGAN_HANG'!$A:$A,0)),"Không tìm thấy"))</f>
        <v/>
      </c>
      <c r="E202">
        <f>IF(C202="","",IFERROR(INDEX('30_NGAN_HANG'!$Y:$Y,MATCH(C202,'30_NGAN_HANG'!$A:$A,0)),""))</f>
        <v/>
      </c>
    </row>
    <row r="203">
      <c r="D203">
        <f>IF(C203="","",IFERROR(INDEX('30_NGAN_HANG'!$D:$D,MATCH(C203,'30_NGAN_HANG'!$A:$A,0)),"Không tìm thấy"))</f>
        <v/>
      </c>
      <c r="E203">
        <f>IF(C203="","",IFERROR(INDEX('30_NGAN_HANG'!$Y:$Y,MATCH(C203,'30_NGAN_HANG'!$A:$A,0)),""))</f>
        <v/>
      </c>
    </row>
    <row r="204">
      <c r="D204">
        <f>IF(C204="","",IFERROR(INDEX('30_NGAN_HANG'!$D:$D,MATCH(C204,'30_NGAN_HANG'!$A:$A,0)),"Không tìm thấy"))</f>
        <v/>
      </c>
      <c r="E204">
        <f>IF(C204="","",IFERROR(INDEX('30_NGAN_HANG'!$Y:$Y,MATCH(C204,'30_NGAN_HANG'!$A:$A,0)),""))</f>
        <v/>
      </c>
    </row>
    <row r="205">
      <c r="D205">
        <f>IF(C205="","",IFERROR(INDEX('30_NGAN_HANG'!$D:$D,MATCH(C205,'30_NGAN_HANG'!$A:$A,0)),"Không tìm thấy"))</f>
        <v/>
      </c>
      <c r="E205">
        <f>IF(C205="","",IFERROR(INDEX('30_NGAN_HANG'!$Y:$Y,MATCH(C205,'30_NGAN_HANG'!$A:$A,0)),""))</f>
        <v/>
      </c>
    </row>
    <row r="206">
      <c r="D206">
        <f>IF(C206="","",IFERROR(INDEX('30_NGAN_HANG'!$D:$D,MATCH(C206,'30_NGAN_HANG'!$A:$A,0)),"Không tìm thấy"))</f>
        <v/>
      </c>
      <c r="E206">
        <f>IF(C206="","",IFERROR(INDEX('30_NGAN_HANG'!$Y:$Y,MATCH(C206,'30_NGAN_HANG'!$A:$A,0)),""))</f>
        <v/>
      </c>
    </row>
    <row r="207">
      <c r="D207">
        <f>IF(C207="","",IFERROR(INDEX('30_NGAN_HANG'!$D:$D,MATCH(C207,'30_NGAN_HANG'!$A:$A,0)),"Không tìm thấy"))</f>
        <v/>
      </c>
      <c r="E207">
        <f>IF(C207="","",IFERROR(INDEX('30_NGAN_HANG'!$Y:$Y,MATCH(C207,'30_NGAN_HANG'!$A:$A,0)),""))</f>
        <v/>
      </c>
    </row>
    <row r="208">
      <c r="D208">
        <f>IF(C208="","",IFERROR(INDEX('30_NGAN_HANG'!$D:$D,MATCH(C208,'30_NGAN_HANG'!$A:$A,0)),"Không tìm thấy"))</f>
        <v/>
      </c>
      <c r="E208">
        <f>IF(C208="","",IFERROR(INDEX('30_NGAN_HANG'!$Y:$Y,MATCH(C208,'30_NGAN_HANG'!$A:$A,0)),""))</f>
        <v/>
      </c>
    </row>
    <row r="209">
      <c r="D209">
        <f>IF(C209="","",IFERROR(INDEX('30_NGAN_HANG'!$D:$D,MATCH(C209,'30_NGAN_HANG'!$A:$A,0)),"Không tìm thấy"))</f>
        <v/>
      </c>
      <c r="E209">
        <f>IF(C209="","",IFERROR(INDEX('30_NGAN_HANG'!$Y:$Y,MATCH(C209,'30_NGAN_HANG'!$A:$A,0)),""))</f>
        <v/>
      </c>
    </row>
    <row r="210">
      <c r="D210">
        <f>IF(C210="","",IFERROR(INDEX('30_NGAN_HANG'!$D:$D,MATCH(C210,'30_NGAN_HANG'!$A:$A,0)),"Không tìm thấy"))</f>
        <v/>
      </c>
      <c r="E210">
        <f>IF(C210="","",IFERROR(INDEX('30_NGAN_HANG'!$Y:$Y,MATCH(C210,'30_NGAN_HANG'!$A:$A,0)),""))</f>
        <v/>
      </c>
    </row>
    <row r="211">
      <c r="D211">
        <f>IF(C211="","",IFERROR(INDEX('30_NGAN_HANG'!$D:$D,MATCH(C211,'30_NGAN_HANG'!$A:$A,0)),"Không tìm thấy"))</f>
        <v/>
      </c>
      <c r="E211">
        <f>IF(C211="","",IFERROR(INDEX('30_NGAN_HANG'!$Y:$Y,MATCH(C211,'30_NGAN_HANG'!$A:$A,0)),""))</f>
        <v/>
      </c>
    </row>
    <row r="212">
      <c r="D212">
        <f>IF(C212="","",IFERROR(INDEX('30_NGAN_HANG'!$D:$D,MATCH(C212,'30_NGAN_HANG'!$A:$A,0)),"Không tìm thấy"))</f>
        <v/>
      </c>
      <c r="E212">
        <f>IF(C212="","",IFERROR(INDEX('30_NGAN_HANG'!$Y:$Y,MATCH(C212,'30_NGAN_HANG'!$A:$A,0)),""))</f>
        <v/>
      </c>
    </row>
    <row r="213">
      <c r="D213">
        <f>IF(C213="","",IFERROR(INDEX('30_NGAN_HANG'!$D:$D,MATCH(C213,'30_NGAN_HANG'!$A:$A,0)),"Không tìm thấy"))</f>
        <v/>
      </c>
      <c r="E213">
        <f>IF(C213="","",IFERROR(INDEX('30_NGAN_HANG'!$Y:$Y,MATCH(C213,'30_NGAN_HANG'!$A:$A,0)),""))</f>
        <v/>
      </c>
    </row>
    <row r="214">
      <c r="D214">
        <f>IF(C214="","",IFERROR(INDEX('30_NGAN_HANG'!$D:$D,MATCH(C214,'30_NGAN_HANG'!$A:$A,0)),"Không tìm thấy"))</f>
        <v/>
      </c>
      <c r="E214">
        <f>IF(C214="","",IFERROR(INDEX('30_NGAN_HANG'!$Y:$Y,MATCH(C214,'30_NGAN_HANG'!$A:$A,0)),""))</f>
        <v/>
      </c>
    </row>
    <row r="215">
      <c r="D215">
        <f>IF(C215="","",IFERROR(INDEX('30_NGAN_HANG'!$D:$D,MATCH(C215,'30_NGAN_HANG'!$A:$A,0)),"Không tìm thấy"))</f>
        <v/>
      </c>
      <c r="E215">
        <f>IF(C215="","",IFERROR(INDEX('30_NGAN_HANG'!$Y:$Y,MATCH(C215,'30_NGAN_HANG'!$A:$A,0)),""))</f>
        <v/>
      </c>
    </row>
    <row r="216">
      <c r="D216">
        <f>IF(C216="","",IFERROR(INDEX('30_NGAN_HANG'!$D:$D,MATCH(C216,'30_NGAN_HANG'!$A:$A,0)),"Không tìm thấy"))</f>
        <v/>
      </c>
      <c r="E216">
        <f>IF(C216="","",IFERROR(INDEX('30_NGAN_HANG'!$Y:$Y,MATCH(C216,'30_NGAN_HANG'!$A:$A,0)),""))</f>
        <v/>
      </c>
    </row>
    <row r="217">
      <c r="D217">
        <f>IF(C217="","",IFERROR(INDEX('30_NGAN_HANG'!$D:$D,MATCH(C217,'30_NGAN_HANG'!$A:$A,0)),"Không tìm thấy"))</f>
        <v/>
      </c>
      <c r="E217">
        <f>IF(C217="","",IFERROR(INDEX('30_NGAN_HANG'!$Y:$Y,MATCH(C217,'30_NGAN_HANG'!$A:$A,0)),""))</f>
        <v/>
      </c>
    </row>
    <row r="218">
      <c r="D218">
        <f>IF(C218="","",IFERROR(INDEX('30_NGAN_HANG'!$D:$D,MATCH(C218,'30_NGAN_HANG'!$A:$A,0)),"Không tìm thấy"))</f>
        <v/>
      </c>
      <c r="E218">
        <f>IF(C218="","",IFERROR(INDEX('30_NGAN_HANG'!$Y:$Y,MATCH(C218,'30_NGAN_HANG'!$A:$A,0)),""))</f>
        <v/>
      </c>
    </row>
    <row r="219">
      <c r="D219">
        <f>IF(C219="","",IFERROR(INDEX('30_NGAN_HANG'!$D:$D,MATCH(C219,'30_NGAN_HANG'!$A:$A,0)),"Không tìm thấy"))</f>
        <v/>
      </c>
      <c r="E219">
        <f>IF(C219="","",IFERROR(INDEX('30_NGAN_HANG'!$Y:$Y,MATCH(C219,'30_NGAN_HANG'!$A:$A,0)),""))</f>
        <v/>
      </c>
    </row>
    <row r="220">
      <c r="D220">
        <f>IF(C220="","",IFERROR(INDEX('30_NGAN_HANG'!$D:$D,MATCH(C220,'30_NGAN_HANG'!$A:$A,0)),"Không tìm thấy"))</f>
        <v/>
      </c>
      <c r="E220">
        <f>IF(C220="","",IFERROR(INDEX('30_NGAN_HANG'!$Y:$Y,MATCH(C220,'30_NGAN_HANG'!$A:$A,0)),""))</f>
        <v/>
      </c>
    </row>
    <row r="221">
      <c r="D221">
        <f>IF(C221="","",IFERROR(INDEX('30_NGAN_HANG'!$D:$D,MATCH(C221,'30_NGAN_HANG'!$A:$A,0)),"Không tìm thấy"))</f>
        <v/>
      </c>
      <c r="E221">
        <f>IF(C221="","",IFERROR(INDEX('30_NGAN_HANG'!$Y:$Y,MATCH(C221,'30_NGAN_HANG'!$A:$A,0)),""))</f>
        <v/>
      </c>
    </row>
    <row r="222">
      <c r="D222">
        <f>IF(C222="","",IFERROR(INDEX('30_NGAN_HANG'!$D:$D,MATCH(C222,'30_NGAN_HANG'!$A:$A,0)),"Không tìm thấy"))</f>
        <v/>
      </c>
      <c r="E222">
        <f>IF(C222="","",IFERROR(INDEX('30_NGAN_HANG'!$Y:$Y,MATCH(C222,'30_NGAN_HANG'!$A:$A,0)),""))</f>
        <v/>
      </c>
    </row>
    <row r="223">
      <c r="D223">
        <f>IF(C223="","",IFERROR(INDEX('30_NGAN_HANG'!$D:$D,MATCH(C223,'30_NGAN_HANG'!$A:$A,0)),"Không tìm thấy"))</f>
        <v/>
      </c>
      <c r="E223">
        <f>IF(C223="","",IFERROR(INDEX('30_NGAN_HANG'!$Y:$Y,MATCH(C223,'30_NGAN_HANG'!$A:$A,0)),""))</f>
        <v/>
      </c>
    </row>
    <row r="224">
      <c r="D224">
        <f>IF(C224="","",IFERROR(INDEX('30_NGAN_HANG'!$D:$D,MATCH(C224,'30_NGAN_HANG'!$A:$A,0)),"Không tìm thấy"))</f>
        <v/>
      </c>
      <c r="E224">
        <f>IF(C224="","",IFERROR(INDEX('30_NGAN_HANG'!$Y:$Y,MATCH(C224,'30_NGAN_HANG'!$A:$A,0)),""))</f>
        <v/>
      </c>
    </row>
    <row r="225">
      <c r="D225">
        <f>IF(C225="","",IFERROR(INDEX('30_NGAN_HANG'!$D:$D,MATCH(C225,'30_NGAN_HANG'!$A:$A,0)),"Không tìm thấy"))</f>
        <v/>
      </c>
      <c r="E225">
        <f>IF(C225="","",IFERROR(INDEX('30_NGAN_HANG'!$Y:$Y,MATCH(C225,'30_NGAN_HANG'!$A:$A,0)),""))</f>
        <v/>
      </c>
    </row>
    <row r="226">
      <c r="D226">
        <f>IF(C226="","",IFERROR(INDEX('30_NGAN_HANG'!$D:$D,MATCH(C226,'30_NGAN_HANG'!$A:$A,0)),"Không tìm thấy"))</f>
        <v/>
      </c>
      <c r="E226">
        <f>IF(C226="","",IFERROR(INDEX('30_NGAN_HANG'!$Y:$Y,MATCH(C226,'30_NGAN_HANG'!$A:$A,0)),""))</f>
        <v/>
      </c>
    </row>
    <row r="227">
      <c r="D227">
        <f>IF(C227="","",IFERROR(INDEX('30_NGAN_HANG'!$D:$D,MATCH(C227,'30_NGAN_HANG'!$A:$A,0)),"Không tìm thấy"))</f>
        <v/>
      </c>
      <c r="E227">
        <f>IF(C227="","",IFERROR(INDEX('30_NGAN_HANG'!$Y:$Y,MATCH(C227,'30_NGAN_HANG'!$A:$A,0)),""))</f>
        <v/>
      </c>
    </row>
    <row r="228">
      <c r="D228">
        <f>IF(C228="","",IFERROR(INDEX('30_NGAN_HANG'!$D:$D,MATCH(C228,'30_NGAN_HANG'!$A:$A,0)),"Không tìm thấy"))</f>
        <v/>
      </c>
      <c r="E228">
        <f>IF(C228="","",IFERROR(INDEX('30_NGAN_HANG'!$Y:$Y,MATCH(C228,'30_NGAN_HANG'!$A:$A,0)),""))</f>
        <v/>
      </c>
    </row>
    <row r="229">
      <c r="D229">
        <f>IF(C229="","",IFERROR(INDEX('30_NGAN_HANG'!$D:$D,MATCH(C229,'30_NGAN_HANG'!$A:$A,0)),"Không tìm thấy"))</f>
        <v/>
      </c>
      <c r="E229">
        <f>IF(C229="","",IFERROR(INDEX('30_NGAN_HANG'!$Y:$Y,MATCH(C229,'30_NGAN_HANG'!$A:$A,0)),""))</f>
        <v/>
      </c>
    </row>
    <row r="230">
      <c r="D230">
        <f>IF(C230="","",IFERROR(INDEX('30_NGAN_HANG'!$D:$D,MATCH(C230,'30_NGAN_HANG'!$A:$A,0)),"Không tìm thấy"))</f>
        <v/>
      </c>
      <c r="E230">
        <f>IF(C230="","",IFERROR(INDEX('30_NGAN_HANG'!$Y:$Y,MATCH(C230,'30_NGAN_HANG'!$A:$A,0)),""))</f>
        <v/>
      </c>
    </row>
    <row r="231">
      <c r="D231">
        <f>IF(C231="","",IFERROR(INDEX('30_NGAN_HANG'!$D:$D,MATCH(C231,'30_NGAN_HANG'!$A:$A,0)),"Không tìm thấy"))</f>
        <v/>
      </c>
      <c r="E231">
        <f>IF(C231="","",IFERROR(INDEX('30_NGAN_HANG'!$Y:$Y,MATCH(C231,'30_NGAN_HANG'!$A:$A,0)),""))</f>
        <v/>
      </c>
    </row>
    <row r="232">
      <c r="D232">
        <f>IF(C232="","",IFERROR(INDEX('30_NGAN_HANG'!$D:$D,MATCH(C232,'30_NGAN_HANG'!$A:$A,0)),"Không tìm thấy"))</f>
        <v/>
      </c>
      <c r="E232">
        <f>IF(C232="","",IFERROR(INDEX('30_NGAN_HANG'!$Y:$Y,MATCH(C232,'30_NGAN_HANG'!$A:$A,0)),""))</f>
        <v/>
      </c>
    </row>
    <row r="233">
      <c r="D233">
        <f>IF(C233="","",IFERROR(INDEX('30_NGAN_HANG'!$D:$D,MATCH(C233,'30_NGAN_HANG'!$A:$A,0)),"Không tìm thấy"))</f>
        <v/>
      </c>
      <c r="E233">
        <f>IF(C233="","",IFERROR(INDEX('30_NGAN_HANG'!$Y:$Y,MATCH(C233,'30_NGAN_HANG'!$A:$A,0)),""))</f>
        <v/>
      </c>
    </row>
    <row r="234">
      <c r="D234">
        <f>IF(C234="","",IFERROR(INDEX('30_NGAN_HANG'!$D:$D,MATCH(C234,'30_NGAN_HANG'!$A:$A,0)),"Không tìm thấy"))</f>
        <v/>
      </c>
      <c r="E234">
        <f>IF(C234="","",IFERROR(INDEX('30_NGAN_HANG'!$Y:$Y,MATCH(C234,'30_NGAN_HANG'!$A:$A,0)),""))</f>
        <v/>
      </c>
    </row>
    <row r="235">
      <c r="D235">
        <f>IF(C235="","",IFERROR(INDEX('30_NGAN_HANG'!$D:$D,MATCH(C235,'30_NGAN_HANG'!$A:$A,0)),"Không tìm thấy"))</f>
        <v/>
      </c>
      <c r="E235">
        <f>IF(C235="","",IFERROR(INDEX('30_NGAN_HANG'!$Y:$Y,MATCH(C235,'30_NGAN_HANG'!$A:$A,0)),""))</f>
        <v/>
      </c>
    </row>
    <row r="236">
      <c r="D236">
        <f>IF(C236="","",IFERROR(INDEX('30_NGAN_HANG'!$D:$D,MATCH(C236,'30_NGAN_HANG'!$A:$A,0)),"Không tìm thấy"))</f>
        <v/>
      </c>
      <c r="E236">
        <f>IF(C236="","",IFERROR(INDEX('30_NGAN_HANG'!$Y:$Y,MATCH(C236,'30_NGAN_HANG'!$A:$A,0)),""))</f>
        <v/>
      </c>
    </row>
    <row r="237">
      <c r="D237">
        <f>IF(C237="","",IFERROR(INDEX('30_NGAN_HANG'!$D:$D,MATCH(C237,'30_NGAN_HANG'!$A:$A,0)),"Không tìm thấy"))</f>
        <v/>
      </c>
      <c r="E237">
        <f>IF(C237="","",IFERROR(INDEX('30_NGAN_HANG'!$Y:$Y,MATCH(C237,'30_NGAN_HANG'!$A:$A,0)),""))</f>
        <v/>
      </c>
    </row>
    <row r="238">
      <c r="D238">
        <f>IF(C238="","",IFERROR(INDEX('30_NGAN_HANG'!$D:$D,MATCH(C238,'30_NGAN_HANG'!$A:$A,0)),"Không tìm thấy"))</f>
        <v/>
      </c>
      <c r="E238">
        <f>IF(C238="","",IFERROR(INDEX('30_NGAN_HANG'!$Y:$Y,MATCH(C238,'30_NGAN_HANG'!$A:$A,0)),""))</f>
        <v/>
      </c>
    </row>
    <row r="239">
      <c r="D239">
        <f>IF(C239="","",IFERROR(INDEX('30_NGAN_HANG'!$D:$D,MATCH(C239,'30_NGAN_HANG'!$A:$A,0)),"Không tìm thấy"))</f>
        <v/>
      </c>
      <c r="E239">
        <f>IF(C239="","",IFERROR(INDEX('30_NGAN_HANG'!$Y:$Y,MATCH(C239,'30_NGAN_HANG'!$A:$A,0)),""))</f>
        <v/>
      </c>
    </row>
    <row r="240">
      <c r="D240">
        <f>IF(C240="","",IFERROR(INDEX('30_NGAN_HANG'!$D:$D,MATCH(C240,'30_NGAN_HANG'!$A:$A,0)),"Không tìm thấy"))</f>
        <v/>
      </c>
      <c r="E240">
        <f>IF(C240="","",IFERROR(INDEX('30_NGAN_HANG'!$Y:$Y,MATCH(C240,'30_NGAN_HANG'!$A:$A,0)),""))</f>
        <v/>
      </c>
    </row>
    <row r="241">
      <c r="D241">
        <f>IF(C241="","",IFERROR(INDEX('30_NGAN_HANG'!$D:$D,MATCH(C241,'30_NGAN_HANG'!$A:$A,0)),"Không tìm thấy"))</f>
        <v/>
      </c>
      <c r="E241">
        <f>IF(C241="","",IFERROR(INDEX('30_NGAN_HANG'!$Y:$Y,MATCH(C241,'30_NGAN_HANG'!$A:$A,0)),""))</f>
        <v/>
      </c>
    </row>
    <row r="242">
      <c r="D242">
        <f>IF(C242="","",IFERROR(INDEX('30_NGAN_HANG'!$D:$D,MATCH(C242,'30_NGAN_HANG'!$A:$A,0)),"Không tìm thấy"))</f>
        <v/>
      </c>
      <c r="E242">
        <f>IF(C242="","",IFERROR(INDEX('30_NGAN_HANG'!$Y:$Y,MATCH(C242,'30_NGAN_HANG'!$A:$A,0)),""))</f>
        <v/>
      </c>
    </row>
    <row r="243">
      <c r="D243">
        <f>IF(C243="","",IFERROR(INDEX('30_NGAN_HANG'!$D:$D,MATCH(C243,'30_NGAN_HANG'!$A:$A,0)),"Không tìm thấy"))</f>
        <v/>
      </c>
      <c r="E243">
        <f>IF(C243="","",IFERROR(INDEX('30_NGAN_HANG'!$Y:$Y,MATCH(C243,'30_NGAN_HANG'!$A:$A,0)),""))</f>
        <v/>
      </c>
    </row>
    <row r="244">
      <c r="D244">
        <f>IF(C244="","",IFERROR(INDEX('30_NGAN_HANG'!$D:$D,MATCH(C244,'30_NGAN_HANG'!$A:$A,0)),"Không tìm thấy"))</f>
        <v/>
      </c>
      <c r="E244">
        <f>IF(C244="","",IFERROR(INDEX('30_NGAN_HANG'!$Y:$Y,MATCH(C244,'30_NGAN_HANG'!$A:$A,0)),""))</f>
        <v/>
      </c>
    </row>
    <row r="245">
      <c r="D245">
        <f>IF(C245="","",IFERROR(INDEX('30_NGAN_HANG'!$D:$D,MATCH(C245,'30_NGAN_HANG'!$A:$A,0)),"Không tìm thấy"))</f>
        <v/>
      </c>
      <c r="E245">
        <f>IF(C245="","",IFERROR(INDEX('30_NGAN_HANG'!$Y:$Y,MATCH(C245,'30_NGAN_HANG'!$A:$A,0)),""))</f>
        <v/>
      </c>
    </row>
    <row r="246">
      <c r="D246">
        <f>IF(C246="","",IFERROR(INDEX('30_NGAN_HANG'!$D:$D,MATCH(C246,'30_NGAN_HANG'!$A:$A,0)),"Không tìm thấy"))</f>
        <v/>
      </c>
      <c r="E246">
        <f>IF(C246="","",IFERROR(INDEX('30_NGAN_HANG'!$Y:$Y,MATCH(C246,'30_NGAN_HANG'!$A:$A,0)),""))</f>
        <v/>
      </c>
    </row>
    <row r="247">
      <c r="D247">
        <f>IF(C247="","",IFERROR(INDEX('30_NGAN_HANG'!$D:$D,MATCH(C247,'30_NGAN_HANG'!$A:$A,0)),"Không tìm thấy"))</f>
        <v/>
      </c>
      <c r="E247">
        <f>IF(C247="","",IFERROR(INDEX('30_NGAN_HANG'!$Y:$Y,MATCH(C247,'30_NGAN_HANG'!$A:$A,0)),""))</f>
        <v/>
      </c>
    </row>
    <row r="248">
      <c r="D248">
        <f>IF(C248="","",IFERROR(INDEX('30_NGAN_HANG'!$D:$D,MATCH(C248,'30_NGAN_HANG'!$A:$A,0)),"Không tìm thấy"))</f>
        <v/>
      </c>
      <c r="E248">
        <f>IF(C248="","",IFERROR(INDEX('30_NGAN_HANG'!$Y:$Y,MATCH(C248,'30_NGAN_HANG'!$A:$A,0)),""))</f>
        <v/>
      </c>
    </row>
    <row r="249">
      <c r="D249">
        <f>IF(C249="","",IFERROR(INDEX('30_NGAN_HANG'!$D:$D,MATCH(C249,'30_NGAN_HANG'!$A:$A,0)),"Không tìm thấy"))</f>
        <v/>
      </c>
      <c r="E249">
        <f>IF(C249="","",IFERROR(INDEX('30_NGAN_HANG'!$Y:$Y,MATCH(C249,'30_NGAN_HANG'!$A:$A,0)),""))</f>
        <v/>
      </c>
    </row>
    <row r="250">
      <c r="D250">
        <f>IF(C250="","",IFERROR(INDEX('30_NGAN_HANG'!$D:$D,MATCH(C250,'30_NGAN_HANG'!$A:$A,0)),"Không tìm thấy"))</f>
        <v/>
      </c>
      <c r="E250">
        <f>IF(C250="","",IFERROR(INDEX('30_NGAN_HANG'!$Y:$Y,MATCH(C250,'30_NGAN_HANG'!$A:$A,0)),""))</f>
        <v/>
      </c>
    </row>
    <row r="251">
      <c r="D251">
        <f>IF(C251="","",IFERROR(INDEX('30_NGAN_HANG'!$D:$D,MATCH(C251,'30_NGAN_HANG'!$A:$A,0)),"Không tìm thấy"))</f>
        <v/>
      </c>
      <c r="E251">
        <f>IF(C251="","",IFERROR(INDEX('30_NGAN_HANG'!$Y:$Y,MATCH(C251,'30_NGAN_HANG'!$A:$A,0)),""))</f>
        <v/>
      </c>
    </row>
    <row r="252">
      <c r="D252">
        <f>IF(C252="","",IFERROR(INDEX('30_NGAN_HANG'!$D:$D,MATCH(C252,'30_NGAN_HANG'!$A:$A,0)),"Không tìm thấy"))</f>
        <v/>
      </c>
      <c r="E252">
        <f>IF(C252="","",IFERROR(INDEX('30_NGAN_HANG'!$Y:$Y,MATCH(C252,'30_NGAN_HANG'!$A:$A,0)),""))</f>
        <v/>
      </c>
    </row>
    <row r="253">
      <c r="D253">
        <f>IF(C253="","",IFERROR(INDEX('30_NGAN_HANG'!$D:$D,MATCH(C253,'30_NGAN_HANG'!$A:$A,0)),"Không tìm thấy"))</f>
        <v/>
      </c>
      <c r="E253">
        <f>IF(C253="","",IFERROR(INDEX('30_NGAN_HANG'!$Y:$Y,MATCH(C253,'30_NGAN_HANG'!$A:$A,0)),""))</f>
        <v/>
      </c>
    </row>
    <row r="254">
      <c r="D254">
        <f>IF(C254="","",IFERROR(INDEX('30_NGAN_HANG'!$D:$D,MATCH(C254,'30_NGAN_HANG'!$A:$A,0)),"Không tìm thấy"))</f>
        <v/>
      </c>
      <c r="E254">
        <f>IF(C254="","",IFERROR(INDEX('30_NGAN_HANG'!$Y:$Y,MATCH(C254,'30_NGAN_HANG'!$A:$A,0)),""))</f>
        <v/>
      </c>
    </row>
    <row r="255">
      <c r="D255">
        <f>IF(C255="","",IFERROR(INDEX('30_NGAN_HANG'!$D:$D,MATCH(C255,'30_NGAN_HANG'!$A:$A,0)),"Không tìm thấy"))</f>
        <v/>
      </c>
      <c r="E255">
        <f>IF(C255="","",IFERROR(INDEX('30_NGAN_HANG'!$Y:$Y,MATCH(C255,'30_NGAN_HANG'!$A:$A,0)),""))</f>
        <v/>
      </c>
    </row>
    <row r="256">
      <c r="D256">
        <f>IF(C256="","",IFERROR(INDEX('30_NGAN_HANG'!$D:$D,MATCH(C256,'30_NGAN_HANG'!$A:$A,0)),"Không tìm thấy"))</f>
        <v/>
      </c>
      <c r="E256">
        <f>IF(C256="","",IFERROR(INDEX('30_NGAN_HANG'!$Y:$Y,MATCH(C256,'30_NGAN_HANG'!$A:$A,0)),""))</f>
        <v/>
      </c>
    </row>
    <row r="257">
      <c r="D257">
        <f>IF(C257="","",IFERROR(INDEX('30_NGAN_HANG'!$D:$D,MATCH(C257,'30_NGAN_HANG'!$A:$A,0)),"Không tìm thấy"))</f>
        <v/>
      </c>
      <c r="E257">
        <f>IF(C257="","",IFERROR(INDEX('30_NGAN_HANG'!$Y:$Y,MATCH(C257,'30_NGAN_HANG'!$A:$A,0)),""))</f>
        <v/>
      </c>
    </row>
    <row r="258">
      <c r="D258">
        <f>IF(C258="","",IFERROR(INDEX('30_NGAN_HANG'!$D:$D,MATCH(C258,'30_NGAN_HANG'!$A:$A,0)),"Không tìm thấy"))</f>
        <v/>
      </c>
      <c r="E258">
        <f>IF(C258="","",IFERROR(INDEX('30_NGAN_HANG'!$Y:$Y,MATCH(C258,'30_NGAN_HANG'!$A:$A,0)),""))</f>
        <v/>
      </c>
    </row>
    <row r="259">
      <c r="D259">
        <f>IF(C259="","",IFERROR(INDEX('30_NGAN_HANG'!$D:$D,MATCH(C259,'30_NGAN_HANG'!$A:$A,0)),"Không tìm thấy"))</f>
        <v/>
      </c>
      <c r="E259">
        <f>IF(C259="","",IFERROR(INDEX('30_NGAN_HANG'!$Y:$Y,MATCH(C259,'30_NGAN_HANG'!$A:$A,0)),""))</f>
        <v/>
      </c>
    </row>
    <row r="260">
      <c r="D260">
        <f>IF(C260="","",IFERROR(INDEX('30_NGAN_HANG'!$D:$D,MATCH(C260,'30_NGAN_HANG'!$A:$A,0)),"Không tìm thấy"))</f>
        <v/>
      </c>
      <c r="E260">
        <f>IF(C260="","",IFERROR(INDEX('30_NGAN_HANG'!$Y:$Y,MATCH(C260,'30_NGAN_HANG'!$A:$A,0)),""))</f>
        <v/>
      </c>
    </row>
    <row r="261">
      <c r="D261">
        <f>IF(C261="","",IFERROR(INDEX('30_NGAN_HANG'!$D:$D,MATCH(C261,'30_NGAN_HANG'!$A:$A,0)),"Không tìm thấy"))</f>
        <v/>
      </c>
      <c r="E261">
        <f>IF(C261="","",IFERROR(INDEX('30_NGAN_HANG'!$Y:$Y,MATCH(C261,'30_NGAN_HANG'!$A:$A,0)),""))</f>
        <v/>
      </c>
    </row>
    <row r="262">
      <c r="D262">
        <f>IF(C262="","",IFERROR(INDEX('30_NGAN_HANG'!$D:$D,MATCH(C262,'30_NGAN_HANG'!$A:$A,0)),"Không tìm thấy"))</f>
        <v/>
      </c>
      <c r="E262">
        <f>IF(C262="","",IFERROR(INDEX('30_NGAN_HANG'!$Y:$Y,MATCH(C262,'30_NGAN_HANG'!$A:$A,0)),""))</f>
        <v/>
      </c>
    </row>
    <row r="263">
      <c r="D263">
        <f>IF(C263="","",IFERROR(INDEX('30_NGAN_HANG'!$D:$D,MATCH(C263,'30_NGAN_HANG'!$A:$A,0)),"Không tìm thấy"))</f>
        <v/>
      </c>
      <c r="E263">
        <f>IF(C263="","",IFERROR(INDEX('30_NGAN_HANG'!$Y:$Y,MATCH(C263,'30_NGAN_HANG'!$A:$A,0)),""))</f>
        <v/>
      </c>
    </row>
    <row r="264">
      <c r="D264">
        <f>IF(C264="","",IFERROR(INDEX('30_NGAN_HANG'!$D:$D,MATCH(C264,'30_NGAN_HANG'!$A:$A,0)),"Không tìm thấy"))</f>
        <v/>
      </c>
      <c r="E264">
        <f>IF(C264="","",IFERROR(INDEX('30_NGAN_HANG'!$Y:$Y,MATCH(C264,'30_NGAN_HANG'!$A:$A,0)),""))</f>
        <v/>
      </c>
    </row>
    <row r="265">
      <c r="D265">
        <f>IF(C265="","",IFERROR(INDEX('30_NGAN_HANG'!$D:$D,MATCH(C265,'30_NGAN_HANG'!$A:$A,0)),"Không tìm thấy"))</f>
        <v/>
      </c>
      <c r="E265">
        <f>IF(C265="","",IFERROR(INDEX('30_NGAN_HANG'!$Y:$Y,MATCH(C265,'30_NGAN_HANG'!$A:$A,0)),""))</f>
        <v/>
      </c>
    </row>
    <row r="266">
      <c r="D266">
        <f>IF(C266="","",IFERROR(INDEX('30_NGAN_HANG'!$D:$D,MATCH(C266,'30_NGAN_HANG'!$A:$A,0)),"Không tìm thấy"))</f>
        <v/>
      </c>
      <c r="E266">
        <f>IF(C266="","",IFERROR(INDEX('30_NGAN_HANG'!$Y:$Y,MATCH(C266,'30_NGAN_HANG'!$A:$A,0)),""))</f>
        <v/>
      </c>
    </row>
    <row r="267">
      <c r="D267">
        <f>IF(C267="","",IFERROR(INDEX('30_NGAN_HANG'!$D:$D,MATCH(C267,'30_NGAN_HANG'!$A:$A,0)),"Không tìm thấy"))</f>
        <v/>
      </c>
      <c r="E267">
        <f>IF(C267="","",IFERROR(INDEX('30_NGAN_HANG'!$Y:$Y,MATCH(C267,'30_NGAN_HANG'!$A:$A,0)),""))</f>
        <v/>
      </c>
    </row>
    <row r="268">
      <c r="D268">
        <f>IF(C268="","",IFERROR(INDEX('30_NGAN_HANG'!$D:$D,MATCH(C268,'30_NGAN_HANG'!$A:$A,0)),"Không tìm thấy"))</f>
        <v/>
      </c>
      <c r="E268">
        <f>IF(C268="","",IFERROR(INDEX('30_NGAN_HANG'!$Y:$Y,MATCH(C268,'30_NGAN_HANG'!$A:$A,0)),""))</f>
        <v/>
      </c>
    </row>
    <row r="269">
      <c r="D269">
        <f>IF(C269="","",IFERROR(INDEX('30_NGAN_HANG'!$D:$D,MATCH(C269,'30_NGAN_HANG'!$A:$A,0)),"Không tìm thấy"))</f>
        <v/>
      </c>
      <c r="E269">
        <f>IF(C269="","",IFERROR(INDEX('30_NGAN_HANG'!$Y:$Y,MATCH(C269,'30_NGAN_HANG'!$A:$A,0)),""))</f>
        <v/>
      </c>
    </row>
    <row r="270">
      <c r="D270">
        <f>IF(C270="","",IFERROR(INDEX('30_NGAN_HANG'!$D:$D,MATCH(C270,'30_NGAN_HANG'!$A:$A,0)),"Không tìm thấy"))</f>
        <v/>
      </c>
      <c r="E270">
        <f>IF(C270="","",IFERROR(INDEX('30_NGAN_HANG'!$Y:$Y,MATCH(C270,'30_NGAN_HANG'!$A:$A,0)),""))</f>
        <v/>
      </c>
    </row>
    <row r="271">
      <c r="D271">
        <f>IF(C271="","",IFERROR(INDEX('30_NGAN_HANG'!$D:$D,MATCH(C271,'30_NGAN_HANG'!$A:$A,0)),"Không tìm thấy"))</f>
        <v/>
      </c>
      <c r="E271">
        <f>IF(C271="","",IFERROR(INDEX('30_NGAN_HANG'!$Y:$Y,MATCH(C271,'30_NGAN_HANG'!$A:$A,0)),""))</f>
        <v/>
      </c>
    </row>
    <row r="272">
      <c r="D272">
        <f>IF(C272="","",IFERROR(INDEX('30_NGAN_HANG'!$D:$D,MATCH(C272,'30_NGAN_HANG'!$A:$A,0)),"Không tìm thấy"))</f>
        <v/>
      </c>
      <c r="E272">
        <f>IF(C272="","",IFERROR(INDEX('30_NGAN_HANG'!$Y:$Y,MATCH(C272,'30_NGAN_HANG'!$A:$A,0)),""))</f>
        <v/>
      </c>
    </row>
    <row r="273">
      <c r="D273">
        <f>IF(C273="","",IFERROR(INDEX('30_NGAN_HANG'!$D:$D,MATCH(C273,'30_NGAN_HANG'!$A:$A,0)),"Không tìm thấy"))</f>
        <v/>
      </c>
      <c r="E273">
        <f>IF(C273="","",IFERROR(INDEX('30_NGAN_HANG'!$Y:$Y,MATCH(C273,'30_NGAN_HANG'!$A:$A,0)),""))</f>
        <v/>
      </c>
    </row>
    <row r="274">
      <c r="D274">
        <f>IF(C274="","",IFERROR(INDEX('30_NGAN_HANG'!$D:$D,MATCH(C274,'30_NGAN_HANG'!$A:$A,0)),"Không tìm thấy"))</f>
        <v/>
      </c>
      <c r="E274">
        <f>IF(C274="","",IFERROR(INDEX('30_NGAN_HANG'!$Y:$Y,MATCH(C274,'30_NGAN_HANG'!$A:$A,0)),""))</f>
        <v/>
      </c>
    </row>
    <row r="275">
      <c r="D275">
        <f>IF(C275="","",IFERROR(INDEX('30_NGAN_HANG'!$D:$D,MATCH(C275,'30_NGAN_HANG'!$A:$A,0)),"Không tìm thấy"))</f>
        <v/>
      </c>
      <c r="E275">
        <f>IF(C275="","",IFERROR(INDEX('30_NGAN_HANG'!$Y:$Y,MATCH(C275,'30_NGAN_HANG'!$A:$A,0)),""))</f>
        <v/>
      </c>
    </row>
    <row r="276">
      <c r="D276">
        <f>IF(C276="","",IFERROR(INDEX('30_NGAN_HANG'!$D:$D,MATCH(C276,'30_NGAN_HANG'!$A:$A,0)),"Không tìm thấy"))</f>
        <v/>
      </c>
      <c r="E276">
        <f>IF(C276="","",IFERROR(INDEX('30_NGAN_HANG'!$Y:$Y,MATCH(C276,'30_NGAN_HANG'!$A:$A,0)),""))</f>
        <v/>
      </c>
    </row>
    <row r="277">
      <c r="D277">
        <f>IF(C277="","",IFERROR(INDEX('30_NGAN_HANG'!$D:$D,MATCH(C277,'30_NGAN_HANG'!$A:$A,0)),"Không tìm thấy"))</f>
        <v/>
      </c>
      <c r="E277">
        <f>IF(C277="","",IFERROR(INDEX('30_NGAN_HANG'!$Y:$Y,MATCH(C277,'30_NGAN_HANG'!$A:$A,0)),""))</f>
        <v/>
      </c>
    </row>
    <row r="278">
      <c r="D278">
        <f>IF(C278="","",IFERROR(INDEX('30_NGAN_HANG'!$D:$D,MATCH(C278,'30_NGAN_HANG'!$A:$A,0)),"Không tìm thấy"))</f>
        <v/>
      </c>
      <c r="E278">
        <f>IF(C278="","",IFERROR(INDEX('30_NGAN_HANG'!$Y:$Y,MATCH(C278,'30_NGAN_HANG'!$A:$A,0)),""))</f>
        <v/>
      </c>
    </row>
    <row r="279">
      <c r="D279">
        <f>IF(C279="","",IFERROR(INDEX('30_NGAN_HANG'!$D:$D,MATCH(C279,'30_NGAN_HANG'!$A:$A,0)),"Không tìm thấy"))</f>
        <v/>
      </c>
      <c r="E279">
        <f>IF(C279="","",IFERROR(INDEX('30_NGAN_HANG'!$Y:$Y,MATCH(C279,'30_NGAN_HANG'!$A:$A,0)),""))</f>
        <v/>
      </c>
    </row>
    <row r="280">
      <c r="D280">
        <f>IF(C280="","",IFERROR(INDEX('30_NGAN_HANG'!$D:$D,MATCH(C280,'30_NGAN_HANG'!$A:$A,0)),"Không tìm thấy"))</f>
        <v/>
      </c>
      <c r="E280">
        <f>IF(C280="","",IFERROR(INDEX('30_NGAN_HANG'!$Y:$Y,MATCH(C280,'30_NGAN_HANG'!$A:$A,0)),""))</f>
        <v/>
      </c>
    </row>
    <row r="281">
      <c r="D281">
        <f>IF(C281="","",IFERROR(INDEX('30_NGAN_HANG'!$D:$D,MATCH(C281,'30_NGAN_HANG'!$A:$A,0)),"Không tìm thấy"))</f>
        <v/>
      </c>
      <c r="E281">
        <f>IF(C281="","",IFERROR(INDEX('30_NGAN_HANG'!$Y:$Y,MATCH(C281,'30_NGAN_HANG'!$A:$A,0)),""))</f>
        <v/>
      </c>
    </row>
    <row r="282">
      <c r="D282">
        <f>IF(C282="","",IFERROR(INDEX('30_NGAN_HANG'!$D:$D,MATCH(C282,'30_NGAN_HANG'!$A:$A,0)),"Không tìm thấy"))</f>
        <v/>
      </c>
      <c r="E282">
        <f>IF(C282="","",IFERROR(INDEX('30_NGAN_HANG'!$Y:$Y,MATCH(C282,'30_NGAN_HANG'!$A:$A,0)),""))</f>
        <v/>
      </c>
    </row>
    <row r="283">
      <c r="D283">
        <f>IF(C283="","",IFERROR(INDEX('30_NGAN_HANG'!$D:$D,MATCH(C283,'30_NGAN_HANG'!$A:$A,0)),"Không tìm thấy"))</f>
        <v/>
      </c>
      <c r="E283">
        <f>IF(C283="","",IFERROR(INDEX('30_NGAN_HANG'!$Y:$Y,MATCH(C283,'30_NGAN_HANG'!$A:$A,0)),""))</f>
        <v/>
      </c>
    </row>
    <row r="284">
      <c r="D284">
        <f>IF(C284="","",IFERROR(INDEX('30_NGAN_HANG'!$D:$D,MATCH(C284,'30_NGAN_HANG'!$A:$A,0)),"Không tìm thấy"))</f>
        <v/>
      </c>
      <c r="E284">
        <f>IF(C284="","",IFERROR(INDEX('30_NGAN_HANG'!$Y:$Y,MATCH(C284,'30_NGAN_HANG'!$A:$A,0)),""))</f>
        <v/>
      </c>
    </row>
    <row r="285">
      <c r="D285">
        <f>IF(C285="","",IFERROR(INDEX('30_NGAN_HANG'!$D:$D,MATCH(C285,'30_NGAN_HANG'!$A:$A,0)),"Không tìm thấy"))</f>
        <v/>
      </c>
      <c r="E285">
        <f>IF(C285="","",IFERROR(INDEX('30_NGAN_HANG'!$Y:$Y,MATCH(C285,'30_NGAN_HANG'!$A:$A,0)),""))</f>
        <v/>
      </c>
    </row>
    <row r="286">
      <c r="D286">
        <f>IF(C286="","",IFERROR(INDEX('30_NGAN_HANG'!$D:$D,MATCH(C286,'30_NGAN_HANG'!$A:$A,0)),"Không tìm thấy"))</f>
        <v/>
      </c>
      <c r="E286">
        <f>IF(C286="","",IFERROR(INDEX('30_NGAN_HANG'!$Y:$Y,MATCH(C286,'30_NGAN_HANG'!$A:$A,0)),""))</f>
        <v/>
      </c>
    </row>
    <row r="287">
      <c r="D287">
        <f>IF(C287="","",IFERROR(INDEX('30_NGAN_HANG'!$D:$D,MATCH(C287,'30_NGAN_HANG'!$A:$A,0)),"Không tìm thấy"))</f>
        <v/>
      </c>
      <c r="E287">
        <f>IF(C287="","",IFERROR(INDEX('30_NGAN_HANG'!$Y:$Y,MATCH(C287,'30_NGAN_HANG'!$A:$A,0)),""))</f>
        <v/>
      </c>
    </row>
    <row r="288">
      <c r="D288">
        <f>IF(C288="","",IFERROR(INDEX('30_NGAN_HANG'!$D:$D,MATCH(C288,'30_NGAN_HANG'!$A:$A,0)),"Không tìm thấy"))</f>
        <v/>
      </c>
      <c r="E288">
        <f>IF(C288="","",IFERROR(INDEX('30_NGAN_HANG'!$Y:$Y,MATCH(C288,'30_NGAN_HANG'!$A:$A,0)),""))</f>
        <v/>
      </c>
    </row>
    <row r="289">
      <c r="D289">
        <f>IF(C289="","",IFERROR(INDEX('30_NGAN_HANG'!$D:$D,MATCH(C289,'30_NGAN_HANG'!$A:$A,0)),"Không tìm thấy"))</f>
        <v/>
      </c>
      <c r="E289">
        <f>IF(C289="","",IFERROR(INDEX('30_NGAN_HANG'!$Y:$Y,MATCH(C289,'30_NGAN_HANG'!$A:$A,0)),""))</f>
        <v/>
      </c>
    </row>
    <row r="290">
      <c r="D290">
        <f>IF(C290="","",IFERROR(INDEX('30_NGAN_HANG'!$D:$D,MATCH(C290,'30_NGAN_HANG'!$A:$A,0)),"Không tìm thấy"))</f>
        <v/>
      </c>
      <c r="E290">
        <f>IF(C290="","",IFERROR(INDEX('30_NGAN_HANG'!$Y:$Y,MATCH(C290,'30_NGAN_HANG'!$A:$A,0)),""))</f>
        <v/>
      </c>
    </row>
    <row r="291">
      <c r="D291">
        <f>IF(C291="","",IFERROR(INDEX('30_NGAN_HANG'!$D:$D,MATCH(C291,'30_NGAN_HANG'!$A:$A,0)),"Không tìm thấy"))</f>
        <v/>
      </c>
      <c r="E291">
        <f>IF(C291="","",IFERROR(INDEX('30_NGAN_HANG'!$Y:$Y,MATCH(C291,'30_NGAN_HANG'!$A:$A,0)),""))</f>
        <v/>
      </c>
    </row>
    <row r="292">
      <c r="D292">
        <f>IF(C292="","",IFERROR(INDEX('30_NGAN_HANG'!$D:$D,MATCH(C292,'30_NGAN_HANG'!$A:$A,0)),"Không tìm thấy"))</f>
        <v/>
      </c>
      <c r="E292">
        <f>IF(C292="","",IFERROR(INDEX('30_NGAN_HANG'!$Y:$Y,MATCH(C292,'30_NGAN_HANG'!$A:$A,0)),""))</f>
        <v/>
      </c>
    </row>
    <row r="293">
      <c r="D293">
        <f>IF(C293="","",IFERROR(INDEX('30_NGAN_HANG'!$D:$D,MATCH(C293,'30_NGAN_HANG'!$A:$A,0)),"Không tìm thấy"))</f>
        <v/>
      </c>
      <c r="E293">
        <f>IF(C293="","",IFERROR(INDEX('30_NGAN_HANG'!$Y:$Y,MATCH(C293,'30_NGAN_HANG'!$A:$A,0)),""))</f>
        <v/>
      </c>
    </row>
    <row r="294">
      <c r="D294">
        <f>IF(C294="","",IFERROR(INDEX('30_NGAN_HANG'!$D:$D,MATCH(C294,'30_NGAN_HANG'!$A:$A,0)),"Không tìm thấy"))</f>
        <v/>
      </c>
      <c r="E294">
        <f>IF(C294="","",IFERROR(INDEX('30_NGAN_HANG'!$Y:$Y,MATCH(C294,'30_NGAN_HANG'!$A:$A,0)),""))</f>
        <v/>
      </c>
    </row>
    <row r="295">
      <c r="D295">
        <f>IF(C295="","",IFERROR(INDEX('30_NGAN_HANG'!$D:$D,MATCH(C295,'30_NGAN_HANG'!$A:$A,0)),"Không tìm thấy"))</f>
        <v/>
      </c>
      <c r="E295">
        <f>IF(C295="","",IFERROR(INDEX('30_NGAN_HANG'!$Y:$Y,MATCH(C295,'30_NGAN_HANG'!$A:$A,0)),""))</f>
        <v/>
      </c>
    </row>
    <row r="296">
      <c r="D296">
        <f>IF(C296="","",IFERROR(INDEX('30_NGAN_HANG'!$D:$D,MATCH(C296,'30_NGAN_HANG'!$A:$A,0)),"Không tìm thấy"))</f>
        <v/>
      </c>
      <c r="E296">
        <f>IF(C296="","",IFERROR(INDEX('30_NGAN_HANG'!$Y:$Y,MATCH(C296,'30_NGAN_HANG'!$A:$A,0)),""))</f>
        <v/>
      </c>
    </row>
    <row r="297">
      <c r="D297">
        <f>IF(C297="","",IFERROR(INDEX('30_NGAN_HANG'!$D:$D,MATCH(C297,'30_NGAN_HANG'!$A:$A,0)),"Không tìm thấy"))</f>
        <v/>
      </c>
      <c r="E297">
        <f>IF(C297="","",IFERROR(INDEX('30_NGAN_HANG'!$Y:$Y,MATCH(C297,'30_NGAN_HANG'!$A:$A,0)),""))</f>
        <v/>
      </c>
    </row>
    <row r="298">
      <c r="D298">
        <f>IF(C298="","",IFERROR(INDEX('30_NGAN_HANG'!$D:$D,MATCH(C298,'30_NGAN_HANG'!$A:$A,0)),"Không tìm thấy"))</f>
        <v/>
      </c>
      <c r="E298">
        <f>IF(C298="","",IFERROR(INDEX('30_NGAN_HANG'!$Y:$Y,MATCH(C298,'30_NGAN_HANG'!$A:$A,0)),""))</f>
        <v/>
      </c>
    </row>
    <row r="299">
      <c r="D299">
        <f>IF(C299="","",IFERROR(INDEX('30_NGAN_HANG'!$D:$D,MATCH(C299,'30_NGAN_HANG'!$A:$A,0)),"Không tìm thấy"))</f>
        <v/>
      </c>
      <c r="E299">
        <f>IF(C299="","",IFERROR(INDEX('30_NGAN_HANG'!$Y:$Y,MATCH(C299,'30_NGAN_HANG'!$A:$A,0)),""))</f>
        <v/>
      </c>
    </row>
    <row r="300">
      <c r="D300">
        <f>IF(C300="","",IFERROR(INDEX('30_NGAN_HANG'!$D:$D,MATCH(C300,'30_NGAN_HANG'!$A:$A,0)),"Không tìm thấy"))</f>
        <v/>
      </c>
      <c r="E300">
        <f>IF(C300="","",IFERROR(INDEX('30_NGAN_HANG'!$Y:$Y,MATCH(C300,'30_NGAN_HANG'!$A:$A,0)),""))</f>
        <v/>
      </c>
    </row>
    <row r="301">
      <c r="D301">
        <f>IF(C301="","",IFERROR(INDEX('30_NGAN_HANG'!$D:$D,MATCH(C301,'30_NGAN_HANG'!$A:$A,0)),"Không tìm thấy"))</f>
        <v/>
      </c>
      <c r="E301">
        <f>IF(C301="","",IFERROR(INDEX('30_NGAN_HANG'!$Y:$Y,MATCH(C301,'30_NGAN_HANG'!$A:$A,0)),""))</f>
        <v/>
      </c>
    </row>
    <row r="302">
      <c r="D302">
        <f>IF(C302="","",IFERROR(INDEX('30_NGAN_HANG'!$D:$D,MATCH(C302,'30_NGAN_HANG'!$A:$A,0)),"Không tìm thấy"))</f>
        <v/>
      </c>
      <c r="E302">
        <f>IF(C302="","",IFERROR(INDEX('30_NGAN_HANG'!$Y:$Y,MATCH(C302,'30_NGAN_HANG'!$A:$A,0)),""))</f>
        <v/>
      </c>
    </row>
    <row r="303">
      <c r="D303">
        <f>IF(C303="","",IFERROR(INDEX('30_NGAN_HANG'!$D:$D,MATCH(C303,'30_NGAN_HANG'!$A:$A,0)),"Không tìm thấy"))</f>
        <v/>
      </c>
      <c r="E303">
        <f>IF(C303="","",IFERROR(INDEX('30_NGAN_HANG'!$Y:$Y,MATCH(C303,'30_NGAN_HANG'!$A:$A,0)),""))</f>
        <v/>
      </c>
    </row>
    <row r="304">
      <c r="D304">
        <f>IF(C304="","",IFERROR(INDEX('30_NGAN_HANG'!$D:$D,MATCH(C304,'30_NGAN_HANG'!$A:$A,0)),"Không tìm thấy"))</f>
        <v/>
      </c>
      <c r="E304">
        <f>IF(C304="","",IFERROR(INDEX('30_NGAN_HANG'!$Y:$Y,MATCH(C304,'30_NGAN_HANG'!$A:$A,0)),""))</f>
        <v/>
      </c>
    </row>
    <row r="305">
      <c r="D305">
        <f>IF(C305="","",IFERROR(INDEX('30_NGAN_HANG'!$D:$D,MATCH(C305,'30_NGAN_HANG'!$A:$A,0)),"Không tìm thấy"))</f>
        <v/>
      </c>
      <c r="E305">
        <f>IF(C305="","",IFERROR(INDEX('30_NGAN_HANG'!$Y:$Y,MATCH(C305,'30_NGAN_HANG'!$A:$A,0)),""))</f>
        <v/>
      </c>
    </row>
    <row r="306">
      <c r="D306">
        <f>IF(C306="","",IFERROR(INDEX('30_NGAN_HANG'!$D:$D,MATCH(C306,'30_NGAN_HANG'!$A:$A,0)),"Không tìm thấy"))</f>
        <v/>
      </c>
      <c r="E306">
        <f>IF(C306="","",IFERROR(INDEX('30_NGAN_HANG'!$Y:$Y,MATCH(C306,'30_NGAN_HANG'!$A:$A,0)),""))</f>
        <v/>
      </c>
    </row>
    <row r="307">
      <c r="D307">
        <f>IF(C307="","",IFERROR(INDEX('30_NGAN_HANG'!$D:$D,MATCH(C307,'30_NGAN_HANG'!$A:$A,0)),"Không tìm thấy"))</f>
        <v/>
      </c>
      <c r="E307">
        <f>IF(C307="","",IFERROR(INDEX('30_NGAN_HANG'!$Y:$Y,MATCH(C307,'30_NGAN_HANG'!$A:$A,0)),""))</f>
        <v/>
      </c>
    </row>
    <row r="308">
      <c r="D308">
        <f>IF(C308="","",IFERROR(INDEX('30_NGAN_HANG'!$D:$D,MATCH(C308,'30_NGAN_HANG'!$A:$A,0)),"Không tìm thấy"))</f>
        <v/>
      </c>
      <c r="E308">
        <f>IF(C308="","",IFERROR(INDEX('30_NGAN_HANG'!$Y:$Y,MATCH(C308,'30_NGAN_HANG'!$A:$A,0)),""))</f>
        <v/>
      </c>
    </row>
    <row r="309">
      <c r="D309">
        <f>IF(C309="","",IFERROR(INDEX('30_NGAN_HANG'!$D:$D,MATCH(C309,'30_NGAN_HANG'!$A:$A,0)),"Không tìm thấy"))</f>
        <v/>
      </c>
      <c r="E309">
        <f>IF(C309="","",IFERROR(INDEX('30_NGAN_HANG'!$Y:$Y,MATCH(C309,'30_NGAN_HANG'!$A:$A,0)),""))</f>
        <v/>
      </c>
    </row>
    <row r="310">
      <c r="D310">
        <f>IF(C310="","",IFERROR(INDEX('30_NGAN_HANG'!$D:$D,MATCH(C310,'30_NGAN_HANG'!$A:$A,0)),"Không tìm thấy"))</f>
        <v/>
      </c>
      <c r="E310">
        <f>IF(C310="","",IFERROR(INDEX('30_NGAN_HANG'!$Y:$Y,MATCH(C310,'30_NGAN_HANG'!$A:$A,0)),""))</f>
        <v/>
      </c>
    </row>
    <row r="311">
      <c r="D311">
        <f>IF(C311="","",IFERROR(INDEX('30_NGAN_HANG'!$D:$D,MATCH(C311,'30_NGAN_HANG'!$A:$A,0)),"Không tìm thấy"))</f>
        <v/>
      </c>
      <c r="E311">
        <f>IF(C311="","",IFERROR(INDEX('30_NGAN_HANG'!$Y:$Y,MATCH(C311,'30_NGAN_HANG'!$A:$A,0)),""))</f>
        <v/>
      </c>
    </row>
    <row r="312">
      <c r="D312">
        <f>IF(C312="","",IFERROR(INDEX('30_NGAN_HANG'!$D:$D,MATCH(C312,'30_NGAN_HANG'!$A:$A,0)),"Không tìm thấy"))</f>
        <v/>
      </c>
      <c r="E312">
        <f>IF(C312="","",IFERROR(INDEX('30_NGAN_HANG'!$Y:$Y,MATCH(C312,'30_NGAN_HANG'!$A:$A,0)),""))</f>
        <v/>
      </c>
    </row>
    <row r="313">
      <c r="D313">
        <f>IF(C313="","",IFERROR(INDEX('30_NGAN_HANG'!$D:$D,MATCH(C313,'30_NGAN_HANG'!$A:$A,0)),"Không tìm thấy"))</f>
        <v/>
      </c>
      <c r="E313">
        <f>IF(C313="","",IFERROR(INDEX('30_NGAN_HANG'!$Y:$Y,MATCH(C313,'30_NGAN_HANG'!$A:$A,0)),""))</f>
        <v/>
      </c>
    </row>
    <row r="314">
      <c r="D314">
        <f>IF(C314="","",IFERROR(INDEX('30_NGAN_HANG'!$D:$D,MATCH(C314,'30_NGAN_HANG'!$A:$A,0)),"Không tìm thấy"))</f>
        <v/>
      </c>
      <c r="E314">
        <f>IF(C314="","",IFERROR(INDEX('30_NGAN_HANG'!$Y:$Y,MATCH(C314,'30_NGAN_HANG'!$A:$A,0)),""))</f>
        <v/>
      </c>
    </row>
    <row r="315">
      <c r="D315">
        <f>IF(C315="","",IFERROR(INDEX('30_NGAN_HANG'!$D:$D,MATCH(C315,'30_NGAN_HANG'!$A:$A,0)),"Không tìm thấy"))</f>
        <v/>
      </c>
      <c r="E315">
        <f>IF(C315="","",IFERROR(INDEX('30_NGAN_HANG'!$Y:$Y,MATCH(C315,'30_NGAN_HANG'!$A:$A,0)),""))</f>
        <v/>
      </c>
    </row>
    <row r="316">
      <c r="D316">
        <f>IF(C316="","",IFERROR(INDEX('30_NGAN_HANG'!$D:$D,MATCH(C316,'30_NGAN_HANG'!$A:$A,0)),"Không tìm thấy"))</f>
        <v/>
      </c>
      <c r="E316">
        <f>IF(C316="","",IFERROR(INDEX('30_NGAN_HANG'!$Y:$Y,MATCH(C316,'30_NGAN_HANG'!$A:$A,0)),""))</f>
        <v/>
      </c>
    </row>
    <row r="317">
      <c r="D317">
        <f>IF(C317="","",IFERROR(INDEX('30_NGAN_HANG'!$D:$D,MATCH(C317,'30_NGAN_HANG'!$A:$A,0)),"Không tìm thấy"))</f>
        <v/>
      </c>
      <c r="E317">
        <f>IF(C317="","",IFERROR(INDEX('30_NGAN_HANG'!$Y:$Y,MATCH(C317,'30_NGAN_HANG'!$A:$A,0)),""))</f>
        <v/>
      </c>
    </row>
    <row r="318">
      <c r="D318">
        <f>IF(C318="","",IFERROR(INDEX('30_NGAN_HANG'!$D:$D,MATCH(C318,'30_NGAN_HANG'!$A:$A,0)),"Không tìm thấy"))</f>
        <v/>
      </c>
      <c r="E318">
        <f>IF(C318="","",IFERROR(INDEX('30_NGAN_HANG'!$Y:$Y,MATCH(C318,'30_NGAN_HANG'!$A:$A,0)),""))</f>
        <v/>
      </c>
    </row>
    <row r="319">
      <c r="D319">
        <f>IF(C319="","",IFERROR(INDEX('30_NGAN_HANG'!$D:$D,MATCH(C319,'30_NGAN_HANG'!$A:$A,0)),"Không tìm thấy"))</f>
        <v/>
      </c>
      <c r="E319">
        <f>IF(C319="","",IFERROR(INDEX('30_NGAN_HANG'!$Y:$Y,MATCH(C319,'30_NGAN_HANG'!$A:$A,0)),""))</f>
        <v/>
      </c>
    </row>
    <row r="320">
      <c r="D320">
        <f>IF(C320="","",IFERROR(INDEX('30_NGAN_HANG'!$D:$D,MATCH(C320,'30_NGAN_HANG'!$A:$A,0)),"Không tìm thấy"))</f>
        <v/>
      </c>
      <c r="E320">
        <f>IF(C320="","",IFERROR(INDEX('30_NGAN_HANG'!$Y:$Y,MATCH(C320,'30_NGAN_HANG'!$A:$A,0)),""))</f>
        <v/>
      </c>
    </row>
    <row r="321">
      <c r="D321">
        <f>IF(C321="","",IFERROR(INDEX('30_NGAN_HANG'!$D:$D,MATCH(C321,'30_NGAN_HANG'!$A:$A,0)),"Không tìm thấy"))</f>
        <v/>
      </c>
      <c r="E321">
        <f>IF(C321="","",IFERROR(INDEX('30_NGAN_HANG'!$Y:$Y,MATCH(C321,'30_NGAN_HANG'!$A:$A,0)),""))</f>
        <v/>
      </c>
    </row>
    <row r="322">
      <c r="D322">
        <f>IF(C322="","",IFERROR(INDEX('30_NGAN_HANG'!$D:$D,MATCH(C322,'30_NGAN_HANG'!$A:$A,0)),"Không tìm thấy"))</f>
        <v/>
      </c>
      <c r="E322">
        <f>IF(C322="","",IFERROR(INDEX('30_NGAN_HANG'!$Y:$Y,MATCH(C322,'30_NGAN_HANG'!$A:$A,0)),""))</f>
        <v/>
      </c>
    </row>
    <row r="323">
      <c r="D323">
        <f>IF(C323="","",IFERROR(INDEX('30_NGAN_HANG'!$D:$D,MATCH(C323,'30_NGAN_HANG'!$A:$A,0)),"Không tìm thấy"))</f>
        <v/>
      </c>
      <c r="E323">
        <f>IF(C323="","",IFERROR(INDEX('30_NGAN_HANG'!$Y:$Y,MATCH(C323,'30_NGAN_HANG'!$A:$A,0)),""))</f>
        <v/>
      </c>
    </row>
    <row r="324">
      <c r="D324">
        <f>IF(C324="","",IFERROR(INDEX('30_NGAN_HANG'!$D:$D,MATCH(C324,'30_NGAN_HANG'!$A:$A,0)),"Không tìm thấy"))</f>
        <v/>
      </c>
      <c r="E324">
        <f>IF(C324="","",IFERROR(INDEX('30_NGAN_HANG'!$Y:$Y,MATCH(C324,'30_NGAN_HANG'!$A:$A,0)),""))</f>
        <v/>
      </c>
    </row>
    <row r="325">
      <c r="D325">
        <f>IF(C325="","",IFERROR(INDEX('30_NGAN_HANG'!$D:$D,MATCH(C325,'30_NGAN_HANG'!$A:$A,0)),"Không tìm thấy"))</f>
        <v/>
      </c>
      <c r="E325">
        <f>IF(C325="","",IFERROR(INDEX('30_NGAN_HANG'!$Y:$Y,MATCH(C325,'30_NGAN_HANG'!$A:$A,0)),""))</f>
        <v/>
      </c>
    </row>
    <row r="326">
      <c r="D326">
        <f>IF(C326="","",IFERROR(INDEX('30_NGAN_HANG'!$D:$D,MATCH(C326,'30_NGAN_HANG'!$A:$A,0)),"Không tìm thấy"))</f>
        <v/>
      </c>
      <c r="E326">
        <f>IF(C326="","",IFERROR(INDEX('30_NGAN_HANG'!$Y:$Y,MATCH(C326,'30_NGAN_HANG'!$A:$A,0)),""))</f>
        <v/>
      </c>
    </row>
    <row r="327">
      <c r="D327">
        <f>IF(C327="","",IFERROR(INDEX('30_NGAN_HANG'!$D:$D,MATCH(C327,'30_NGAN_HANG'!$A:$A,0)),"Không tìm thấy"))</f>
        <v/>
      </c>
      <c r="E327">
        <f>IF(C327="","",IFERROR(INDEX('30_NGAN_HANG'!$Y:$Y,MATCH(C327,'30_NGAN_HANG'!$A:$A,0)),""))</f>
        <v/>
      </c>
    </row>
    <row r="328">
      <c r="D328">
        <f>IF(C328="","",IFERROR(INDEX('30_NGAN_HANG'!$D:$D,MATCH(C328,'30_NGAN_HANG'!$A:$A,0)),"Không tìm thấy"))</f>
        <v/>
      </c>
      <c r="E328">
        <f>IF(C328="","",IFERROR(INDEX('30_NGAN_HANG'!$Y:$Y,MATCH(C328,'30_NGAN_HANG'!$A:$A,0)),""))</f>
        <v/>
      </c>
    </row>
    <row r="329">
      <c r="D329">
        <f>IF(C329="","",IFERROR(INDEX('30_NGAN_HANG'!$D:$D,MATCH(C329,'30_NGAN_HANG'!$A:$A,0)),"Không tìm thấy"))</f>
        <v/>
      </c>
      <c r="E329">
        <f>IF(C329="","",IFERROR(INDEX('30_NGAN_HANG'!$Y:$Y,MATCH(C329,'30_NGAN_HANG'!$A:$A,0)),""))</f>
        <v/>
      </c>
    </row>
    <row r="330">
      <c r="D330">
        <f>IF(C330="","",IFERROR(INDEX('30_NGAN_HANG'!$D:$D,MATCH(C330,'30_NGAN_HANG'!$A:$A,0)),"Không tìm thấy"))</f>
        <v/>
      </c>
      <c r="E330">
        <f>IF(C330="","",IFERROR(INDEX('30_NGAN_HANG'!$Y:$Y,MATCH(C330,'30_NGAN_HANG'!$A:$A,0)),""))</f>
        <v/>
      </c>
    </row>
    <row r="331">
      <c r="D331">
        <f>IF(C331="","",IFERROR(INDEX('30_NGAN_HANG'!$D:$D,MATCH(C331,'30_NGAN_HANG'!$A:$A,0)),"Không tìm thấy"))</f>
        <v/>
      </c>
      <c r="E331">
        <f>IF(C331="","",IFERROR(INDEX('30_NGAN_HANG'!$Y:$Y,MATCH(C331,'30_NGAN_HANG'!$A:$A,0)),""))</f>
        <v/>
      </c>
    </row>
    <row r="332">
      <c r="D332">
        <f>IF(C332="","",IFERROR(INDEX('30_NGAN_HANG'!$D:$D,MATCH(C332,'30_NGAN_HANG'!$A:$A,0)),"Không tìm thấy"))</f>
        <v/>
      </c>
      <c r="E332">
        <f>IF(C332="","",IFERROR(INDEX('30_NGAN_HANG'!$Y:$Y,MATCH(C332,'30_NGAN_HANG'!$A:$A,0)),""))</f>
        <v/>
      </c>
    </row>
    <row r="333">
      <c r="D333">
        <f>IF(C333="","",IFERROR(INDEX('30_NGAN_HANG'!$D:$D,MATCH(C333,'30_NGAN_HANG'!$A:$A,0)),"Không tìm thấy"))</f>
        <v/>
      </c>
      <c r="E333">
        <f>IF(C333="","",IFERROR(INDEX('30_NGAN_HANG'!$Y:$Y,MATCH(C333,'30_NGAN_HANG'!$A:$A,0)),""))</f>
        <v/>
      </c>
    </row>
    <row r="334">
      <c r="D334">
        <f>IF(C334="","",IFERROR(INDEX('30_NGAN_HANG'!$D:$D,MATCH(C334,'30_NGAN_HANG'!$A:$A,0)),"Không tìm thấy"))</f>
        <v/>
      </c>
      <c r="E334">
        <f>IF(C334="","",IFERROR(INDEX('30_NGAN_HANG'!$Y:$Y,MATCH(C334,'30_NGAN_HANG'!$A:$A,0)),""))</f>
        <v/>
      </c>
    </row>
    <row r="335">
      <c r="D335">
        <f>IF(C335="","",IFERROR(INDEX('30_NGAN_HANG'!$D:$D,MATCH(C335,'30_NGAN_HANG'!$A:$A,0)),"Không tìm thấy"))</f>
        <v/>
      </c>
      <c r="E335">
        <f>IF(C335="","",IFERROR(INDEX('30_NGAN_HANG'!$Y:$Y,MATCH(C335,'30_NGAN_HANG'!$A:$A,0)),""))</f>
        <v/>
      </c>
    </row>
    <row r="336">
      <c r="D336">
        <f>IF(C336="","",IFERROR(INDEX('30_NGAN_HANG'!$D:$D,MATCH(C336,'30_NGAN_HANG'!$A:$A,0)),"Không tìm thấy"))</f>
        <v/>
      </c>
      <c r="E336">
        <f>IF(C336="","",IFERROR(INDEX('30_NGAN_HANG'!$Y:$Y,MATCH(C336,'30_NGAN_HANG'!$A:$A,0)),""))</f>
        <v/>
      </c>
    </row>
    <row r="337">
      <c r="D337">
        <f>IF(C337="","",IFERROR(INDEX('30_NGAN_HANG'!$D:$D,MATCH(C337,'30_NGAN_HANG'!$A:$A,0)),"Không tìm thấy"))</f>
        <v/>
      </c>
      <c r="E337">
        <f>IF(C337="","",IFERROR(INDEX('30_NGAN_HANG'!$Y:$Y,MATCH(C337,'30_NGAN_HANG'!$A:$A,0)),""))</f>
        <v/>
      </c>
    </row>
    <row r="338">
      <c r="D338">
        <f>IF(C338="","",IFERROR(INDEX('30_NGAN_HANG'!$D:$D,MATCH(C338,'30_NGAN_HANG'!$A:$A,0)),"Không tìm thấy"))</f>
        <v/>
      </c>
      <c r="E338">
        <f>IF(C338="","",IFERROR(INDEX('30_NGAN_HANG'!$Y:$Y,MATCH(C338,'30_NGAN_HANG'!$A:$A,0)),""))</f>
        <v/>
      </c>
    </row>
    <row r="339">
      <c r="D339">
        <f>IF(C339="","",IFERROR(INDEX('30_NGAN_HANG'!$D:$D,MATCH(C339,'30_NGAN_HANG'!$A:$A,0)),"Không tìm thấy"))</f>
        <v/>
      </c>
      <c r="E339">
        <f>IF(C339="","",IFERROR(INDEX('30_NGAN_HANG'!$Y:$Y,MATCH(C339,'30_NGAN_HANG'!$A:$A,0)),""))</f>
        <v/>
      </c>
    </row>
    <row r="340">
      <c r="D340">
        <f>IF(C340="","",IFERROR(INDEX('30_NGAN_HANG'!$D:$D,MATCH(C340,'30_NGAN_HANG'!$A:$A,0)),"Không tìm thấy"))</f>
        <v/>
      </c>
      <c r="E340">
        <f>IF(C340="","",IFERROR(INDEX('30_NGAN_HANG'!$Y:$Y,MATCH(C340,'30_NGAN_HANG'!$A:$A,0)),""))</f>
        <v/>
      </c>
    </row>
    <row r="341">
      <c r="D341">
        <f>IF(C341="","",IFERROR(INDEX('30_NGAN_HANG'!$D:$D,MATCH(C341,'30_NGAN_HANG'!$A:$A,0)),"Không tìm thấy"))</f>
        <v/>
      </c>
      <c r="E341">
        <f>IF(C341="","",IFERROR(INDEX('30_NGAN_HANG'!$Y:$Y,MATCH(C341,'30_NGAN_HANG'!$A:$A,0)),""))</f>
        <v/>
      </c>
    </row>
    <row r="342">
      <c r="D342">
        <f>IF(C342="","",IFERROR(INDEX('30_NGAN_HANG'!$D:$D,MATCH(C342,'30_NGAN_HANG'!$A:$A,0)),"Không tìm thấy"))</f>
        <v/>
      </c>
      <c r="E342">
        <f>IF(C342="","",IFERROR(INDEX('30_NGAN_HANG'!$Y:$Y,MATCH(C342,'30_NGAN_HANG'!$A:$A,0)),""))</f>
        <v/>
      </c>
    </row>
    <row r="343">
      <c r="D343">
        <f>IF(C343="","",IFERROR(INDEX('30_NGAN_HANG'!$D:$D,MATCH(C343,'30_NGAN_HANG'!$A:$A,0)),"Không tìm thấy"))</f>
        <v/>
      </c>
      <c r="E343">
        <f>IF(C343="","",IFERROR(INDEX('30_NGAN_HANG'!$Y:$Y,MATCH(C343,'30_NGAN_HANG'!$A:$A,0)),""))</f>
        <v/>
      </c>
    </row>
    <row r="344">
      <c r="D344">
        <f>IF(C344="","",IFERROR(INDEX('30_NGAN_HANG'!$D:$D,MATCH(C344,'30_NGAN_HANG'!$A:$A,0)),"Không tìm thấy"))</f>
        <v/>
      </c>
      <c r="E344">
        <f>IF(C344="","",IFERROR(INDEX('30_NGAN_HANG'!$Y:$Y,MATCH(C344,'30_NGAN_HANG'!$A:$A,0)),""))</f>
        <v/>
      </c>
    </row>
    <row r="345">
      <c r="D345">
        <f>IF(C345="","",IFERROR(INDEX('30_NGAN_HANG'!$D:$D,MATCH(C345,'30_NGAN_HANG'!$A:$A,0)),"Không tìm thấy"))</f>
        <v/>
      </c>
      <c r="E345">
        <f>IF(C345="","",IFERROR(INDEX('30_NGAN_HANG'!$Y:$Y,MATCH(C345,'30_NGAN_HANG'!$A:$A,0)),""))</f>
        <v/>
      </c>
    </row>
    <row r="346">
      <c r="D346">
        <f>IF(C346="","",IFERROR(INDEX('30_NGAN_HANG'!$D:$D,MATCH(C346,'30_NGAN_HANG'!$A:$A,0)),"Không tìm thấy"))</f>
        <v/>
      </c>
      <c r="E346">
        <f>IF(C346="","",IFERROR(INDEX('30_NGAN_HANG'!$Y:$Y,MATCH(C346,'30_NGAN_HANG'!$A:$A,0)),""))</f>
        <v/>
      </c>
    </row>
    <row r="347">
      <c r="D347">
        <f>IF(C347="","",IFERROR(INDEX('30_NGAN_HANG'!$D:$D,MATCH(C347,'30_NGAN_HANG'!$A:$A,0)),"Không tìm thấy"))</f>
        <v/>
      </c>
      <c r="E347">
        <f>IF(C347="","",IFERROR(INDEX('30_NGAN_HANG'!$Y:$Y,MATCH(C347,'30_NGAN_HANG'!$A:$A,0)),""))</f>
        <v/>
      </c>
    </row>
    <row r="348">
      <c r="D348">
        <f>IF(C348="","",IFERROR(INDEX('30_NGAN_HANG'!$D:$D,MATCH(C348,'30_NGAN_HANG'!$A:$A,0)),"Không tìm thấy"))</f>
        <v/>
      </c>
      <c r="E348">
        <f>IF(C348="","",IFERROR(INDEX('30_NGAN_HANG'!$Y:$Y,MATCH(C348,'30_NGAN_HANG'!$A:$A,0)),""))</f>
        <v/>
      </c>
    </row>
    <row r="349">
      <c r="D349">
        <f>IF(C349="","",IFERROR(INDEX('30_NGAN_HANG'!$D:$D,MATCH(C349,'30_NGAN_HANG'!$A:$A,0)),"Không tìm thấy"))</f>
        <v/>
      </c>
      <c r="E349">
        <f>IF(C349="","",IFERROR(INDEX('30_NGAN_HANG'!$Y:$Y,MATCH(C349,'30_NGAN_HANG'!$A:$A,0)),""))</f>
        <v/>
      </c>
    </row>
    <row r="350">
      <c r="D350">
        <f>IF(C350="","",IFERROR(INDEX('30_NGAN_HANG'!$D:$D,MATCH(C350,'30_NGAN_HANG'!$A:$A,0)),"Không tìm thấy"))</f>
        <v/>
      </c>
      <c r="E350">
        <f>IF(C350="","",IFERROR(INDEX('30_NGAN_HANG'!$Y:$Y,MATCH(C350,'30_NGAN_HANG'!$A:$A,0)),""))</f>
        <v/>
      </c>
    </row>
    <row r="351">
      <c r="D351">
        <f>IF(C351="","",IFERROR(INDEX('30_NGAN_HANG'!$D:$D,MATCH(C351,'30_NGAN_HANG'!$A:$A,0)),"Không tìm thấy"))</f>
        <v/>
      </c>
      <c r="E351">
        <f>IF(C351="","",IFERROR(INDEX('30_NGAN_HANG'!$Y:$Y,MATCH(C351,'30_NGAN_HANG'!$A:$A,0)),""))</f>
        <v/>
      </c>
    </row>
    <row r="352">
      <c r="D352">
        <f>IF(C352="","",IFERROR(INDEX('30_NGAN_HANG'!$D:$D,MATCH(C352,'30_NGAN_HANG'!$A:$A,0)),"Không tìm thấy"))</f>
        <v/>
      </c>
      <c r="E352">
        <f>IF(C352="","",IFERROR(INDEX('30_NGAN_HANG'!$Y:$Y,MATCH(C352,'30_NGAN_HANG'!$A:$A,0)),""))</f>
        <v/>
      </c>
    </row>
    <row r="353">
      <c r="D353">
        <f>IF(C353="","",IFERROR(INDEX('30_NGAN_HANG'!$D:$D,MATCH(C353,'30_NGAN_HANG'!$A:$A,0)),"Không tìm thấy"))</f>
        <v/>
      </c>
      <c r="E353">
        <f>IF(C353="","",IFERROR(INDEX('30_NGAN_HANG'!$Y:$Y,MATCH(C353,'30_NGAN_HANG'!$A:$A,0)),""))</f>
        <v/>
      </c>
    </row>
    <row r="354">
      <c r="D354">
        <f>IF(C354="","",IFERROR(INDEX('30_NGAN_HANG'!$D:$D,MATCH(C354,'30_NGAN_HANG'!$A:$A,0)),"Không tìm thấy"))</f>
        <v/>
      </c>
      <c r="E354">
        <f>IF(C354="","",IFERROR(INDEX('30_NGAN_HANG'!$Y:$Y,MATCH(C354,'30_NGAN_HANG'!$A:$A,0)),""))</f>
        <v/>
      </c>
    </row>
    <row r="355">
      <c r="D355">
        <f>IF(C355="","",IFERROR(INDEX('30_NGAN_HANG'!$D:$D,MATCH(C355,'30_NGAN_HANG'!$A:$A,0)),"Không tìm thấy"))</f>
        <v/>
      </c>
      <c r="E355">
        <f>IF(C355="","",IFERROR(INDEX('30_NGAN_HANG'!$Y:$Y,MATCH(C355,'30_NGAN_HANG'!$A:$A,0)),""))</f>
        <v/>
      </c>
    </row>
    <row r="356">
      <c r="D356">
        <f>IF(C356="","",IFERROR(INDEX('30_NGAN_HANG'!$D:$D,MATCH(C356,'30_NGAN_HANG'!$A:$A,0)),"Không tìm thấy"))</f>
        <v/>
      </c>
      <c r="E356">
        <f>IF(C356="","",IFERROR(INDEX('30_NGAN_HANG'!$Y:$Y,MATCH(C356,'30_NGAN_HANG'!$A:$A,0)),""))</f>
        <v/>
      </c>
    </row>
    <row r="357">
      <c r="D357">
        <f>IF(C357="","",IFERROR(INDEX('30_NGAN_HANG'!$D:$D,MATCH(C357,'30_NGAN_HANG'!$A:$A,0)),"Không tìm thấy"))</f>
        <v/>
      </c>
      <c r="E357">
        <f>IF(C357="","",IFERROR(INDEX('30_NGAN_HANG'!$Y:$Y,MATCH(C357,'30_NGAN_HANG'!$A:$A,0)),""))</f>
        <v/>
      </c>
    </row>
    <row r="358">
      <c r="D358">
        <f>IF(C358="","",IFERROR(INDEX('30_NGAN_HANG'!$D:$D,MATCH(C358,'30_NGAN_HANG'!$A:$A,0)),"Không tìm thấy"))</f>
        <v/>
      </c>
      <c r="E358">
        <f>IF(C358="","",IFERROR(INDEX('30_NGAN_HANG'!$Y:$Y,MATCH(C358,'30_NGAN_HANG'!$A:$A,0)),""))</f>
        <v/>
      </c>
    </row>
    <row r="359">
      <c r="D359">
        <f>IF(C359="","",IFERROR(INDEX('30_NGAN_HANG'!$D:$D,MATCH(C359,'30_NGAN_HANG'!$A:$A,0)),"Không tìm thấy"))</f>
        <v/>
      </c>
      <c r="E359">
        <f>IF(C359="","",IFERROR(INDEX('30_NGAN_HANG'!$Y:$Y,MATCH(C359,'30_NGAN_HANG'!$A:$A,0)),""))</f>
        <v/>
      </c>
    </row>
    <row r="360">
      <c r="D360">
        <f>IF(C360="","",IFERROR(INDEX('30_NGAN_HANG'!$D:$D,MATCH(C360,'30_NGAN_HANG'!$A:$A,0)),"Không tìm thấy"))</f>
        <v/>
      </c>
      <c r="E360">
        <f>IF(C360="","",IFERROR(INDEX('30_NGAN_HANG'!$Y:$Y,MATCH(C360,'30_NGAN_HANG'!$A:$A,0)),""))</f>
        <v/>
      </c>
    </row>
    <row r="361">
      <c r="D361">
        <f>IF(C361="","",IFERROR(INDEX('30_NGAN_HANG'!$D:$D,MATCH(C361,'30_NGAN_HANG'!$A:$A,0)),"Không tìm thấy"))</f>
        <v/>
      </c>
      <c r="E361">
        <f>IF(C361="","",IFERROR(INDEX('30_NGAN_HANG'!$Y:$Y,MATCH(C361,'30_NGAN_HANG'!$A:$A,0)),""))</f>
        <v/>
      </c>
    </row>
    <row r="362">
      <c r="D362">
        <f>IF(C362="","",IFERROR(INDEX('30_NGAN_HANG'!$D:$D,MATCH(C362,'30_NGAN_HANG'!$A:$A,0)),"Không tìm thấy"))</f>
        <v/>
      </c>
      <c r="E362">
        <f>IF(C362="","",IFERROR(INDEX('30_NGAN_HANG'!$Y:$Y,MATCH(C362,'30_NGAN_HANG'!$A:$A,0)),""))</f>
        <v/>
      </c>
    </row>
    <row r="363">
      <c r="D363">
        <f>IF(C363="","",IFERROR(INDEX('30_NGAN_HANG'!$D:$D,MATCH(C363,'30_NGAN_HANG'!$A:$A,0)),"Không tìm thấy"))</f>
        <v/>
      </c>
      <c r="E363">
        <f>IF(C363="","",IFERROR(INDEX('30_NGAN_HANG'!$Y:$Y,MATCH(C363,'30_NGAN_HANG'!$A:$A,0)),""))</f>
        <v/>
      </c>
    </row>
    <row r="364">
      <c r="D364">
        <f>IF(C364="","",IFERROR(INDEX('30_NGAN_HANG'!$D:$D,MATCH(C364,'30_NGAN_HANG'!$A:$A,0)),"Không tìm thấy"))</f>
        <v/>
      </c>
      <c r="E364">
        <f>IF(C364="","",IFERROR(INDEX('30_NGAN_HANG'!$Y:$Y,MATCH(C364,'30_NGAN_HANG'!$A:$A,0)),""))</f>
        <v/>
      </c>
    </row>
    <row r="365">
      <c r="D365">
        <f>IF(C365="","",IFERROR(INDEX('30_NGAN_HANG'!$D:$D,MATCH(C365,'30_NGAN_HANG'!$A:$A,0)),"Không tìm thấy"))</f>
        <v/>
      </c>
      <c r="E365">
        <f>IF(C365="","",IFERROR(INDEX('30_NGAN_HANG'!$Y:$Y,MATCH(C365,'30_NGAN_HANG'!$A:$A,0)),""))</f>
        <v/>
      </c>
    </row>
    <row r="366">
      <c r="D366">
        <f>IF(C366="","",IFERROR(INDEX('30_NGAN_HANG'!$D:$D,MATCH(C366,'30_NGAN_HANG'!$A:$A,0)),"Không tìm thấy"))</f>
        <v/>
      </c>
      <c r="E366">
        <f>IF(C366="","",IFERROR(INDEX('30_NGAN_HANG'!$Y:$Y,MATCH(C366,'30_NGAN_HANG'!$A:$A,0)),""))</f>
        <v/>
      </c>
    </row>
    <row r="367">
      <c r="D367">
        <f>IF(C367="","",IFERROR(INDEX('30_NGAN_HANG'!$D:$D,MATCH(C367,'30_NGAN_HANG'!$A:$A,0)),"Không tìm thấy"))</f>
        <v/>
      </c>
      <c r="E367">
        <f>IF(C367="","",IFERROR(INDEX('30_NGAN_HANG'!$Y:$Y,MATCH(C367,'30_NGAN_HANG'!$A:$A,0)),""))</f>
        <v/>
      </c>
    </row>
    <row r="368">
      <c r="D368">
        <f>IF(C368="","",IFERROR(INDEX('30_NGAN_HANG'!$D:$D,MATCH(C368,'30_NGAN_HANG'!$A:$A,0)),"Không tìm thấy"))</f>
        <v/>
      </c>
      <c r="E368">
        <f>IF(C368="","",IFERROR(INDEX('30_NGAN_HANG'!$Y:$Y,MATCH(C368,'30_NGAN_HANG'!$A:$A,0)),""))</f>
        <v/>
      </c>
    </row>
    <row r="369">
      <c r="D369">
        <f>IF(C369="","",IFERROR(INDEX('30_NGAN_HANG'!$D:$D,MATCH(C369,'30_NGAN_HANG'!$A:$A,0)),"Không tìm thấy"))</f>
        <v/>
      </c>
      <c r="E369">
        <f>IF(C369="","",IFERROR(INDEX('30_NGAN_HANG'!$Y:$Y,MATCH(C369,'30_NGAN_HANG'!$A:$A,0)),""))</f>
        <v/>
      </c>
    </row>
    <row r="370">
      <c r="D370">
        <f>IF(C370="","",IFERROR(INDEX('30_NGAN_HANG'!$D:$D,MATCH(C370,'30_NGAN_HANG'!$A:$A,0)),"Không tìm thấy"))</f>
        <v/>
      </c>
      <c r="E370">
        <f>IF(C370="","",IFERROR(INDEX('30_NGAN_HANG'!$Y:$Y,MATCH(C370,'30_NGAN_HANG'!$A:$A,0)),""))</f>
        <v/>
      </c>
    </row>
    <row r="371">
      <c r="D371">
        <f>IF(C371="","",IFERROR(INDEX('30_NGAN_HANG'!$D:$D,MATCH(C371,'30_NGAN_HANG'!$A:$A,0)),"Không tìm thấy"))</f>
        <v/>
      </c>
      <c r="E371">
        <f>IF(C371="","",IFERROR(INDEX('30_NGAN_HANG'!$Y:$Y,MATCH(C371,'30_NGAN_HANG'!$A:$A,0)),""))</f>
        <v/>
      </c>
    </row>
    <row r="372">
      <c r="D372">
        <f>IF(C372="","",IFERROR(INDEX('30_NGAN_HANG'!$D:$D,MATCH(C372,'30_NGAN_HANG'!$A:$A,0)),"Không tìm thấy"))</f>
        <v/>
      </c>
      <c r="E372">
        <f>IF(C372="","",IFERROR(INDEX('30_NGAN_HANG'!$Y:$Y,MATCH(C372,'30_NGAN_HANG'!$A:$A,0)),""))</f>
        <v/>
      </c>
    </row>
    <row r="373">
      <c r="D373">
        <f>IF(C373="","",IFERROR(INDEX('30_NGAN_HANG'!$D:$D,MATCH(C373,'30_NGAN_HANG'!$A:$A,0)),"Không tìm thấy"))</f>
        <v/>
      </c>
      <c r="E373">
        <f>IF(C373="","",IFERROR(INDEX('30_NGAN_HANG'!$Y:$Y,MATCH(C373,'30_NGAN_HANG'!$A:$A,0)),""))</f>
        <v/>
      </c>
    </row>
    <row r="374">
      <c r="D374">
        <f>IF(C374="","",IFERROR(INDEX('30_NGAN_HANG'!$D:$D,MATCH(C374,'30_NGAN_HANG'!$A:$A,0)),"Không tìm thấy"))</f>
        <v/>
      </c>
      <c r="E374">
        <f>IF(C374="","",IFERROR(INDEX('30_NGAN_HANG'!$Y:$Y,MATCH(C374,'30_NGAN_HANG'!$A:$A,0)),""))</f>
        <v/>
      </c>
    </row>
    <row r="375">
      <c r="D375">
        <f>IF(C375="","",IFERROR(INDEX('30_NGAN_HANG'!$D:$D,MATCH(C375,'30_NGAN_HANG'!$A:$A,0)),"Không tìm thấy"))</f>
        <v/>
      </c>
      <c r="E375">
        <f>IF(C375="","",IFERROR(INDEX('30_NGAN_HANG'!$Y:$Y,MATCH(C375,'30_NGAN_HANG'!$A:$A,0)),""))</f>
        <v/>
      </c>
    </row>
    <row r="376">
      <c r="D376">
        <f>IF(C376="","",IFERROR(INDEX('30_NGAN_HANG'!$D:$D,MATCH(C376,'30_NGAN_HANG'!$A:$A,0)),"Không tìm thấy"))</f>
        <v/>
      </c>
      <c r="E376">
        <f>IF(C376="","",IFERROR(INDEX('30_NGAN_HANG'!$Y:$Y,MATCH(C376,'30_NGAN_HANG'!$A:$A,0)),""))</f>
        <v/>
      </c>
    </row>
    <row r="377">
      <c r="D377">
        <f>IF(C377="","",IFERROR(INDEX('30_NGAN_HANG'!$D:$D,MATCH(C377,'30_NGAN_HANG'!$A:$A,0)),"Không tìm thấy"))</f>
        <v/>
      </c>
      <c r="E377">
        <f>IF(C377="","",IFERROR(INDEX('30_NGAN_HANG'!$Y:$Y,MATCH(C377,'30_NGAN_HANG'!$A:$A,0)),""))</f>
        <v/>
      </c>
    </row>
    <row r="378">
      <c r="D378">
        <f>IF(C378="","",IFERROR(INDEX('30_NGAN_HANG'!$D:$D,MATCH(C378,'30_NGAN_HANG'!$A:$A,0)),"Không tìm thấy"))</f>
        <v/>
      </c>
      <c r="E378">
        <f>IF(C378="","",IFERROR(INDEX('30_NGAN_HANG'!$Y:$Y,MATCH(C378,'30_NGAN_HANG'!$A:$A,0)),""))</f>
        <v/>
      </c>
    </row>
    <row r="379">
      <c r="D379">
        <f>IF(C379="","",IFERROR(INDEX('30_NGAN_HANG'!$D:$D,MATCH(C379,'30_NGAN_HANG'!$A:$A,0)),"Không tìm thấy"))</f>
        <v/>
      </c>
      <c r="E379">
        <f>IF(C379="","",IFERROR(INDEX('30_NGAN_HANG'!$Y:$Y,MATCH(C379,'30_NGAN_HANG'!$A:$A,0)),""))</f>
        <v/>
      </c>
    </row>
    <row r="380">
      <c r="D380">
        <f>IF(C380="","",IFERROR(INDEX('30_NGAN_HANG'!$D:$D,MATCH(C380,'30_NGAN_HANG'!$A:$A,0)),"Không tìm thấy"))</f>
        <v/>
      </c>
      <c r="E380">
        <f>IF(C380="","",IFERROR(INDEX('30_NGAN_HANG'!$Y:$Y,MATCH(C380,'30_NGAN_HANG'!$A:$A,0)),""))</f>
        <v/>
      </c>
    </row>
    <row r="381">
      <c r="D381">
        <f>IF(C381="","",IFERROR(INDEX('30_NGAN_HANG'!$D:$D,MATCH(C381,'30_NGAN_HANG'!$A:$A,0)),"Không tìm thấy"))</f>
        <v/>
      </c>
      <c r="E381">
        <f>IF(C381="","",IFERROR(INDEX('30_NGAN_HANG'!$Y:$Y,MATCH(C381,'30_NGAN_HANG'!$A:$A,0)),""))</f>
        <v/>
      </c>
    </row>
    <row r="382">
      <c r="D382">
        <f>IF(C382="","",IFERROR(INDEX('30_NGAN_HANG'!$D:$D,MATCH(C382,'30_NGAN_HANG'!$A:$A,0)),"Không tìm thấy"))</f>
        <v/>
      </c>
      <c r="E382">
        <f>IF(C382="","",IFERROR(INDEX('30_NGAN_HANG'!$Y:$Y,MATCH(C382,'30_NGAN_HANG'!$A:$A,0)),""))</f>
        <v/>
      </c>
    </row>
    <row r="383">
      <c r="D383">
        <f>IF(C383="","",IFERROR(INDEX('30_NGAN_HANG'!$D:$D,MATCH(C383,'30_NGAN_HANG'!$A:$A,0)),"Không tìm thấy"))</f>
        <v/>
      </c>
      <c r="E383">
        <f>IF(C383="","",IFERROR(INDEX('30_NGAN_HANG'!$Y:$Y,MATCH(C383,'30_NGAN_HANG'!$A:$A,0)),""))</f>
        <v/>
      </c>
    </row>
    <row r="384">
      <c r="D384">
        <f>IF(C384="","",IFERROR(INDEX('30_NGAN_HANG'!$D:$D,MATCH(C384,'30_NGAN_HANG'!$A:$A,0)),"Không tìm thấy"))</f>
        <v/>
      </c>
      <c r="E384">
        <f>IF(C384="","",IFERROR(INDEX('30_NGAN_HANG'!$Y:$Y,MATCH(C384,'30_NGAN_HANG'!$A:$A,0)),""))</f>
        <v/>
      </c>
    </row>
    <row r="385">
      <c r="D385">
        <f>IF(C385="","",IFERROR(INDEX('30_NGAN_HANG'!$D:$D,MATCH(C385,'30_NGAN_HANG'!$A:$A,0)),"Không tìm thấy"))</f>
        <v/>
      </c>
      <c r="E385">
        <f>IF(C385="","",IFERROR(INDEX('30_NGAN_HANG'!$Y:$Y,MATCH(C385,'30_NGAN_HANG'!$A:$A,0)),""))</f>
        <v/>
      </c>
    </row>
    <row r="386">
      <c r="D386">
        <f>IF(C386="","",IFERROR(INDEX('30_NGAN_HANG'!$D:$D,MATCH(C386,'30_NGAN_HANG'!$A:$A,0)),"Không tìm thấy"))</f>
        <v/>
      </c>
      <c r="E386">
        <f>IF(C386="","",IFERROR(INDEX('30_NGAN_HANG'!$Y:$Y,MATCH(C386,'30_NGAN_HANG'!$A:$A,0)),""))</f>
        <v/>
      </c>
    </row>
    <row r="387">
      <c r="D387">
        <f>IF(C387="","",IFERROR(INDEX('30_NGAN_HANG'!$D:$D,MATCH(C387,'30_NGAN_HANG'!$A:$A,0)),"Không tìm thấy"))</f>
        <v/>
      </c>
      <c r="E387">
        <f>IF(C387="","",IFERROR(INDEX('30_NGAN_HANG'!$Y:$Y,MATCH(C387,'30_NGAN_HANG'!$A:$A,0)),""))</f>
        <v/>
      </c>
    </row>
    <row r="388">
      <c r="D388">
        <f>IF(C388="","",IFERROR(INDEX('30_NGAN_HANG'!$D:$D,MATCH(C388,'30_NGAN_HANG'!$A:$A,0)),"Không tìm thấy"))</f>
        <v/>
      </c>
      <c r="E388">
        <f>IF(C388="","",IFERROR(INDEX('30_NGAN_HANG'!$Y:$Y,MATCH(C388,'30_NGAN_HANG'!$A:$A,0)),""))</f>
        <v/>
      </c>
    </row>
    <row r="389">
      <c r="D389">
        <f>IF(C389="","",IFERROR(INDEX('30_NGAN_HANG'!$D:$D,MATCH(C389,'30_NGAN_HANG'!$A:$A,0)),"Không tìm thấy"))</f>
        <v/>
      </c>
      <c r="E389">
        <f>IF(C389="","",IFERROR(INDEX('30_NGAN_HANG'!$Y:$Y,MATCH(C389,'30_NGAN_HANG'!$A:$A,0)),""))</f>
        <v/>
      </c>
    </row>
    <row r="390">
      <c r="D390">
        <f>IF(C390="","",IFERROR(INDEX('30_NGAN_HANG'!$D:$D,MATCH(C390,'30_NGAN_HANG'!$A:$A,0)),"Không tìm thấy"))</f>
        <v/>
      </c>
      <c r="E390">
        <f>IF(C390="","",IFERROR(INDEX('30_NGAN_HANG'!$Y:$Y,MATCH(C390,'30_NGAN_HANG'!$A:$A,0)),""))</f>
        <v/>
      </c>
    </row>
    <row r="391">
      <c r="D391">
        <f>IF(C391="","",IFERROR(INDEX('30_NGAN_HANG'!$D:$D,MATCH(C391,'30_NGAN_HANG'!$A:$A,0)),"Không tìm thấy"))</f>
        <v/>
      </c>
      <c r="E391">
        <f>IF(C391="","",IFERROR(INDEX('30_NGAN_HANG'!$Y:$Y,MATCH(C391,'30_NGAN_HANG'!$A:$A,0)),""))</f>
        <v/>
      </c>
    </row>
    <row r="392">
      <c r="D392">
        <f>IF(C392="","",IFERROR(INDEX('30_NGAN_HANG'!$D:$D,MATCH(C392,'30_NGAN_HANG'!$A:$A,0)),"Không tìm thấy"))</f>
        <v/>
      </c>
      <c r="E392">
        <f>IF(C392="","",IFERROR(INDEX('30_NGAN_HANG'!$Y:$Y,MATCH(C392,'30_NGAN_HANG'!$A:$A,0)),""))</f>
        <v/>
      </c>
    </row>
    <row r="393">
      <c r="D393">
        <f>IF(C393="","",IFERROR(INDEX('30_NGAN_HANG'!$D:$D,MATCH(C393,'30_NGAN_HANG'!$A:$A,0)),"Không tìm thấy"))</f>
        <v/>
      </c>
      <c r="E393">
        <f>IF(C393="","",IFERROR(INDEX('30_NGAN_HANG'!$Y:$Y,MATCH(C393,'30_NGAN_HANG'!$A:$A,0)),""))</f>
        <v/>
      </c>
    </row>
    <row r="394">
      <c r="D394">
        <f>IF(C394="","",IFERROR(INDEX('30_NGAN_HANG'!$D:$D,MATCH(C394,'30_NGAN_HANG'!$A:$A,0)),"Không tìm thấy"))</f>
        <v/>
      </c>
      <c r="E394">
        <f>IF(C394="","",IFERROR(INDEX('30_NGAN_HANG'!$Y:$Y,MATCH(C394,'30_NGAN_HANG'!$A:$A,0)),""))</f>
        <v/>
      </c>
    </row>
    <row r="395">
      <c r="D395">
        <f>IF(C395="","",IFERROR(INDEX('30_NGAN_HANG'!$D:$D,MATCH(C395,'30_NGAN_HANG'!$A:$A,0)),"Không tìm thấy"))</f>
        <v/>
      </c>
      <c r="E395">
        <f>IF(C395="","",IFERROR(INDEX('30_NGAN_HANG'!$Y:$Y,MATCH(C395,'30_NGAN_HANG'!$A:$A,0)),""))</f>
        <v/>
      </c>
    </row>
    <row r="396">
      <c r="D396">
        <f>IF(C396="","",IFERROR(INDEX('30_NGAN_HANG'!$D:$D,MATCH(C396,'30_NGAN_HANG'!$A:$A,0)),"Không tìm thấy"))</f>
        <v/>
      </c>
      <c r="E396">
        <f>IF(C396="","",IFERROR(INDEX('30_NGAN_HANG'!$Y:$Y,MATCH(C396,'30_NGAN_HANG'!$A:$A,0)),""))</f>
        <v/>
      </c>
    </row>
    <row r="397">
      <c r="D397">
        <f>IF(C397="","",IFERROR(INDEX('30_NGAN_HANG'!$D:$D,MATCH(C397,'30_NGAN_HANG'!$A:$A,0)),"Không tìm thấy"))</f>
        <v/>
      </c>
      <c r="E397">
        <f>IF(C397="","",IFERROR(INDEX('30_NGAN_HANG'!$Y:$Y,MATCH(C397,'30_NGAN_HANG'!$A:$A,0)),""))</f>
        <v/>
      </c>
    </row>
    <row r="398">
      <c r="D398">
        <f>IF(C398="","",IFERROR(INDEX('30_NGAN_HANG'!$D:$D,MATCH(C398,'30_NGAN_HANG'!$A:$A,0)),"Không tìm thấy"))</f>
        <v/>
      </c>
      <c r="E398">
        <f>IF(C398="","",IFERROR(INDEX('30_NGAN_HANG'!$Y:$Y,MATCH(C398,'30_NGAN_HANG'!$A:$A,0)),""))</f>
        <v/>
      </c>
    </row>
    <row r="399">
      <c r="D399">
        <f>IF(C399="","",IFERROR(INDEX('30_NGAN_HANG'!$D:$D,MATCH(C399,'30_NGAN_HANG'!$A:$A,0)),"Không tìm thấy"))</f>
        <v/>
      </c>
      <c r="E399">
        <f>IF(C399="","",IFERROR(INDEX('30_NGAN_HANG'!$Y:$Y,MATCH(C399,'30_NGAN_HANG'!$A:$A,0)),""))</f>
        <v/>
      </c>
    </row>
    <row r="400">
      <c r="D400">
        <f>IF(C400="","",IFERROR(INDEX('30_NGAN_HANG'!$D:$D,MATCH(C400,'30_NGAN_HANG'!$A:$A,0)),"Không tìm thấy"))</f>
        <v/>
      </c>
      <c r="E400">
        <f>IF(C400="","",IFERROR(INDEX('30_NGAN_HANG'!$Y:$Y,MATCH(C400,'30_NGAN_HANG'!$A:$A,0)),""))</f>
        <v/>
      </c>
    </row>
    <row r="401">
      <c r="D401">
        <f>IF(C401="","",IFERROR(INDEX('30_NGAN_HANG'!$D:$D,MATCH(C401,'30_NGAN_HANG'!$A:$A,0)),"Không tìm thấy"))</f>
        <v/>
      </c>
      <c r="E401">
        <f>IF(C401="","",IFERROR(INDEX('30_NGAN_HANG'!$Y:$Y,MATCH(C401,'30_NGAN_HANG'!$A:$A,0)),""))</f>
        <v/>
      </c>
    </row>
    <row r="402">
      <c r="D402">
        <f>IF(C402="","",IFERROR(INDEX('30_NGAN_HANG'!$D:$D,MATCH(C402,'30_NGAN_HANG'!$A:$A,0)),"Không tìm thấy"))</f>
        <v/>
      </c>
      <c r="E402">
        <f>IF(C402="","",IFERROR(INDEX('30_NGAN_HANG'!$Y:$Y,MATCH(C402,'30_NGAN_HANG'!$A:$A,0)),""))</f>
        <v/>
      </c>
    </row>
    <row r="403">
      <c r="D403">
        <f>IF(C403="","",IFERROR(INDEX('30_NGAN_HANG'!$D:$D,MATCH(C403,'30_NGAN_HANG'!$A:$A,0)),"Không tìm thấy"))</f>
        <v/>
      </c>
      <c r="E403">
        <f>IF(C403="","",IFERROR(INDEX('30_NGAN_HANG'!$Y:$Y,MATCH(C403,'30_NGAN_HANG'!$A:$A,0)),""))</f>
        <v/>
      </c>
    </row>
    <row r="404">
      <c r="D404">
        <f>IF(C404="","",IFERROR(INDEX('30_NGAN_HANG'!$D:$D,MATCH(C404,'30_NGAN_HANG'!$A:$A,0)),"Không tìm thấy"))</f>
        <v/>
      </c>
      <c r="E404">
        <f>IF(C404="","",IFERROR(INDEX('30_NGAN_HANG'!$Y:$Y,MATCH(C404,'30_NGAN_HANG'!$A:$A,0)),""))</f>
        <v/>
      </c>
    </row>
    <row r="405">
      <c r="D405">
        <f>IF(C405="","",IFERROR(INDEX('30_NGAN_HANG'!$D:$D,MATCH(C405,'30_NGAN_HANG'!$A:$A,0)),"Không tìm thấy"))</f>
        <v/>
      </c>
      <c r="E405">
        <f>IF(C405="","",IFERROR(INDEX('30_NGAN_HANG'!$Y:$Y,MATCH(C405,'30_NGAN_HANG'!$A:$A,0)),""))</f>
        <v/>
      </c>
    </row>
    <row r="406">
      <c r="D406">
        <f>IF(C406="","",IFERROR(INDEX('30_NGAN_HANG'!$D:$D,MATCH(C406,'30_NGAN_HANG'!$A:$A,0)),"Không tìm thấy"))</f>
        <v/>
      </c>
      <c r="E406">
        <f>IF(C406="","",IFERROR(INDEX('30_NGAN_HANG'!$Y:$Y,MATCH(C406,'30_NGAN_HANG'!$A:$A,0)),""))</f>
        <v/>
      </c>
    </row>
    <row r="407">
      <c r="D407">
        <f>IF(C407="","",IFERROR(INDEX('30_NGAN_HANG'!$D:$D,MATCH(C407,'30_NGAN_HANG'!$A:$A,0)),"Không tìm thấy"))</f>
        <v/>
      </c>
      <c r="E407">
        <f>IF(C407="","",IFERROR(INDEX('30_NGAN_HANG'!$Y:$Y,MATCH(C407,'30_NGAN_HANG'!$A:$A,0)),""))</f>
        <v/>
      </c>
    </row>
    <row r="408">
      <c r="D408">
        <f>IF(C408="","",IFERROR(INDEX('30_NGAN_HANG'!$D:$D,MATCH(C408,'30_NGAN_HANG'!$A:$A,0)),"Không tìm thấy"))</f>
        <v/>
      </c>
      <c r="E408">
        <f>IF(C408="","",IFERROR(INDEX('30_NGAN_HANG'!$Y:$Y,MATCH(C408,'30_NGAN_HANG'!$A:$A,0)),""))</f>
        <v/>
      </c>
    </row>
    <row r="409">
      <c r="D409">
        <f>IF(C409="","",IFERROR(INDEX('30_NGAN_HANG'!$D:$D,MATCH(C409,'30_NGAN_HANG'!$A:$A,0)),"Không tìm thấy"))</f>
        <v/>
      </c>
      <c r="E409">
        <f>IF(C409="","",IFERROR(INDEX('30_NGAN_HANG'!$Y:$Y,MATCH(C409,'30_NGAN_HANG'!$A:$A,0)),""))</f>
        <v/>
      </c>
    </row>
    <row r="410">
      <c r="D410">
        <f>IF(C410="","",IFERROR(INDEX('30_NGAN_HANG'!$D:$D,MATCH(C410,'30_NGAN_HANG'!$A:$A,0)),"Không tìm thấy"))</f>
        <v/>
      </c>
      <c r="E410">
        <f>IF(C410="","",IFERROR(INDEX('30_NGAN_HANG'!$Y:$Y,MATCH(C410,'30_NGAN_HANG'!$A:$A,0)),""))</f>
        <v/>
      </c>
    </row>
    <row r="411">
      <c r="D411">
        <f>IF(C411="","",IFERROR(INDEX('30_NGAN_HANG'!$D:$D,MATCH(C411,'30_NGAN_HANG'!$A:$A,0)),"Không tìm thấy"))</f>
        <v/>
      </c>
      <c r="E411">
        <f>IF(C411="","",IFERROR(INDEX('30_NGAN_HANG'!$Y:$Y,MATCH(C411,'30_NGAN_HANG'!$A:$A,0)),""))</f>
        <v/>
      </c>
    </row>
    <row r="412">
      <c r="D412">
        <f>IF(C412="","",IFERROR(INDEX('30_NGAN_HANG'!$D:$D,MATCH(C412,'30_NGAN_HANG'!$A:$A,0)),"Không tìm thấy"))</f>
        <v/>
      </c>
      <c r="E412">
        <f>IF(C412="","",IFERROR(INDEX('30_NGAN_HANG'!$Y:$Y,MATCH(C412,'30_NGAN_HANG'!$A:$A,0)),""))</f>
        <v/>
      </c>
    </row>
    <row r="413">
      <c r="D413">
        <f>IF(C413="","",IFERROR(INDEX('30_NGAN_HANG'!$D:$D,MATCH(C413,'30_NGAN_HANG'!$A:$A,0)),"Không tìm thấy"))</f>
        <v/>
      </c>
      <c r="E413">
        <f>IF(C413="","",IFERROR(INDEX('30_NGAN_HANG'!$Y:$Y,MATCH(C413,'30_NGAN_HANG'!$A:$A,0)),""))</f>
        <v/>
      </c>
    </row>
    <row r="414">
      <c r="D414">
        <f>IF(C414="","",IFERROR(INDEX('30_NGAN_HANG'!$D:$D,MATCH(C414,'30_NGAN_HANG'!$A:$A,0)),"Không tìm thấy"))</f>
        <v/>
      </c>
      <c r="E414">
        <f>IF(C414="","",IFERROR(INDEX('30_NGAN_HANG'!$Y:$Y,MATCH(C414,'30_NGAN_HANG'!$A:$A,0)),""))</f>
        <v/>
      </c>
    </row>
    <row r="415">
      <c r="D415">
        <f>IF(C415="","",IFERROR(INDEX('30_NGAN_HANG'!$D:$D,MATCH(C415,'30_NGAN_HANG'!$A:$A,0)),"Không tìm thấy"))</f>
        <v/>
      </c>
      <c r="E415">
        <f>IF(C415="","",IFERROR(INDEX('30_NGAN_HANG'!$Y:$Y,MATCH(C415,'30_NGAN_HANG'!$A:$A,0)),""))</f>
        <v/>
      </c>
    </row>
    <row r="416">
      <c r="D416">
        <f>IF(C416="","",IFERROR(INDEX('30_NGAN_HANG'!$D:$D,MATCH(C416,'30_NGAN_HANG'!$A:$A,0)),"Không tìm thấy"))</f>
        <v/>
      </c>
      <c r="E416">
        <f>IF(C416="","",IFERROR(INDEX('30_NGAN_HANG'!$Y:$Y,MATCH(C416,'30_NGAN_HANG'!$A:$A,0)),""))</f>
        <v/>
      </c>
    </row>
    <row r="417">
      <c r="D417">
        <f>IF(C417="","",IFERROR(INDEX('30_NGAN_HANG'!$D:$D,MATCH(C417,'30_NGAN_HANG'!$A:$A,0)),"Không tìm thấy"))</f>
        <v/>
      </c>
      <c r="E417">
        <f>IF(C417="","",IFERROR(INDEX('30_NGAN_HANG'!$Y:$Y,MATCH(C417,'30_NGAN_HANG'!$A:$A,0)),""))</f>
        <v/>
      </c>
    </row>
    <row r="418">
      <c r="D418">
        <f>IF(C418="","",IFERROR(INDEX('30_NGAN_HANG'!$D:$D,MATCH(C418,'30_NGAN_HANG'!$A:$A,0)),"Không tìm thấy"))</f>
        <v/>
      </c>
      <c r="E418">
        <f>IF(C418="","",IFERROR(INDEX('30_NGAN_HANG'!$Y:$Y,MATCH(C418,'30_NGAN_HANG'!$A:$A,0)),""))</f>
        <v/>
      </c>
    </row>
    <row r="419">
      <c r="D419">
        <f>IF(C419="","",IFERROR(INDEX('30_NGAN_HANG'!$D:$D,MATCH(C419,'30_NGAN_HANG'!$A:$A,0)),"Không tìm thấy"))</f>
        <v/>
      </c>
      <c r="E419">
        <f>IF(C419="","",IFERROR(INDEX('30_NGAN_HANG'!$Y:$Y,MATCH(C419,'30_NGAN_HANG'!$A:$A,0)),""))</f>
        <v/>
      </c>
    </row>
    <row r="420">
      <c r="D420">
        <f>IF(C420="","",IFERROR(INDEX('30_NGAN_HANG'!$D:$D,MATCH(C420,'30_NGAN_HANG'!$A:$A,0)),"Không tìm thấy"))</f>
        <v/>
      </c>
      <c r="E420">
        <f>IF(C420="","",IFERROR(INDEX('30_NGAN_HANG'!$Y:$Y,MATCH(C420,'30_NGAN_HANG'!$A:$A,0)),""))</f>
        <v/>
      </c>
    </row>
    <row r="421">
      <c r="D421">
        <f>IF(C421="","",IFERROR(INDEX('30_NGAN_HANG'!$D:$D,MATCH(C421,'30_NGAN_HANG'!$A:$A,0)),"Không tìm thấy"))</f>
        <v/>
      </c>
      <c r="E421">
        <f>IF(C421="","",IFERROR(INDEX('30_NGAN_HANG'!$Y:$Y,MATCH(C421,'30_NGAN_HANG'!$A:$A,0)),""))</f>
        <v/>
      </c>
    </row>
    <row r="422">
      <c r="D422">
        <f>IF(C422="","",IFERROR(INDEX('30_NGAN_HANG'!$D:$D,MATCH(C422,'30_NGAN_HANG'!$A:$A,0)),"Không tìm thấy"))</f>
        <v/>
      </c>
      <c r="E422">
        <f>IF(C422="","",IFERROR(INDEX('30_NGAN_HANG'!$Y:$Y,MATCH(C422,'30_NGAN_HANG'!$A:$A,0)),""))</f>
        <v/>
      </c>
    </row>
    <row r="423">
      <c r="D423">
        <f>IF(C423="","",IFERROR(INDEX('30_NGAN_HANG'!$D:$D,MATCH(C423,'30_NGAN_HANG'!$A:$A,0)),"Không tìm thấy"))</f>
        <v/>
      </c>
      <c r="E423">
        <f>IF(C423="","",IFERROR(INDEX('30_NGAN_HANG'!$Y:$Y,MATCH(C423,'30_NGAN_HANG'!$A:$A,0)),""))</f>
        <v/>
      </c>
    </row>
    <row r="424">
      <c r="D424">
        <f>IF(C424="","",IFERROR(INDEX('30_NGAN_HANG'!$D:$D,MATCH(C424,'30_NGAN_HANG'!$A:$A,0)),"Không tìm thấy"))</f>
        <v/>
      </c>
      <c r="E424">
        <f>IF(C424="","",IFERROR(INDEX('30_NGAN_HANG'!$Y:$Y,MATCH(C424,'30_NGAN_HANG'!$A:$A,0)),""))</f>
        <v/>
      </c>
    </row>
    <row r="425">
      <c r="D425">
        <f>IF(C425="","",IFERROR(INDEX('30_NGAN_HANG'!$D:$D,MATCH(C425,'30_NGAN_HANG'!$A:$A,0)),"Không tìm thấy"))</f>
        <v/>
      </c>
      <c r="E425">
        <f>IF(C425="","",IFERROR(INDEX('30_NGAN_HANG'!$Y:$Y,MATCH(C425,'30_NGAN_HANG'!$A:$A,0)),""))</f>
        <v/>
      </c>
    </row>
    <row r="426">
      <c r="D426">
        <f>IF(C426="","",IFERROR(INDEX('30_NGAN_HANG'!$D:$D,MATCH(C426,'30_NGAN_HANG'!$A:$A,0)),"Không tìm thấy"))</f>
        <v/>
      </c>
      <c r="E426">
        <f>IF(C426="","",IFERROR(INDEX('30_NGAN_HANG'!$Y:$Y,MATCH(C426,'30_NGAN_HANG'!$A:$A,0)),""))</f>
        <v/>
      </c>
    </row>
    <row r="427">
      <c r="D427">
        <f>IF(C427="","",IFERROR(INDEX('30_NGAN_HANG'!$D:$D,MATCH(C427,'30_NGAN_HANG'!$A:$A,0)),"Không tìm thấy"))</f>
        <v/>
      </c>
      <c r="E427">
        <f>IF(C427="","",IFERROR(INDEX('30_NGAN_HANG'!$Y:$Y,MATCH(C427,'30_NGAN_HANG'!$A:$A,0)),""))</f>
        <v/>
      </c>
    </row>
    <row r="428">
      <c r="D428">
        <f>IF(C428="","",IFERROR(INDEX('30_NGAN_HANG'!$D:$D,MATCH(C428,'30_NGAN_HANG'!$A:$A,0)),"Không tìm thấy"))</f>
        <v/>
      </c>
      <c r="E428">
        <f>IF(C428="","",IFERROR(INDEX('30_NGAN_HANG'!$Y:$Y,MATCH(C428,'30_NGAN_HANG'!$A:$A,0)),""))</f>
        <v/>
      </c>
    </row>
    <row r="429">
      <c r="D429">
        <f>IF(C429="","",IFERROR(INDEX('30_NGAN_HANG'!$D:$D,MATCH(C429,'30_NGAN_HANG'!$A:$A,0)),"Không tìm thấy"))</f>
        <v/>
      </c>
      <c r="E429">
        <f>IF(C429="","",IFERROR(INDEX('30_NGAN_HANG'!$Y:$Y,MATCH(C429,'30_NGAN_HANG'!$A:$A,0)),""))</f>
        <v/>
      </c>
    </row>
    <row r="430">
      <c r="D430">
        <f>IF(C430="","",IFERROR(INDEX('30_NGAN_HANG'!$D:$D,MATCH(C430,'30_NGAN_HANG'!$A:$A,0)),"Không tìm thấy"))</f>
        <v/>
      </c>
      <c r="E430">
        <f>IF(C430="","",IFERROR(INDEX('30_NGAN_HANG'!$Y:$Y,MATCH(C430,'30_NGAN_HANG'!$A:$A,0)),""))</f>
        <v/>
      </c>
    </row>
    <row r="431">
      <c r="D431">
        <f>IF(C431="","",IFERROR(INDEX('30_NGAN_HANG'!$D:$D,MATCH(C431,'30_NGAN_HANG'!$A:$A,0)),"Không tìm thấy"))</f>
        <v/>
      </c>
      <c r="E431">
        <f>IF(C431="","",IFERROR(INDEX('30_NGAN_HANG'!$Y:$Y,MATCH(C431,'30_NGAN_HANG'!$A:$A,0)),""))</f>
        <v/>
      </c>
    </row>
    <row r="432">
      <c r="D432">
        <f>IF(C432="","",IFERROR(INDEX('30_NGAN_HANG'!$D:$D,MATCH(C432,'30_NGAN_HANG'!$A:$A,0)),"Không tìm thấy"))</f>
        <v/>
      </c>
      <c r="E432">
        <f>IF(C432="","",IFERROR(INDEX('30_NGAN_HANG'!$Y:$Y,MATCH(C432,'30_NGAN_HANG'!$A:$A,0)),""))</f>
        <v/>
      </c>
    </row>
    <row r="433">
      <c r="D433">
        <f>IF(C433="","",IFERROR(INDEX('30_NGAN_HANG'!$D:$D,MATCH(C433,'30_NGAN_HANG'!$A:$A,0)),"Không tìm thấy"))</f>
        <v/>
      </c>
      <c r="E433">
        <f>IF(C433="","",IFERROR(INDEX('30_NGAN_HANG'!$Y:$Y,MATCH(C433,'30_NGAN_HANG'!$A:$A,0)),""))</f>
        <v/>
      </c>
    </row>
    <row r="434">
      <c r="D434">
        <f>IF(C434="","",IFERROR(INDEX('30_NGAN_HANG'!$D:$D,MATCH(C434,'30_NGAN_HANG'!$A:$A,0)),"Không tìm thấy"))</f>
        <v/>
      </c>
      <c r="E434">
        <f>IF(C434="","",IFERROR(INDEX('30_NGAN_HANG'!$Y:$Y,MATCH(C434,'30_NGAN_HANG'!$A:$A,0)),""))</f>
        <v/>
      </c>
    </row>
    <row r="435">
      <c r="D435">
        <f>IF(C435="","",IFERROR(INDEX('30_NGAN_HANG'!$D:$D,MATCH(C435,'30_NGAN_HANG'!$A:$A,0)),"Không tìm thấy"))</f>
        <v/>
      </c>
      <c r="E435">
        <f>IF(C435="","",IFERROR(INDEX('30_NGAN_HANG'!$Y:$Y,MATCH(C435,'30_NGAN_HANG'!$A:$A,0)),""))</f>
        <v/>
      </c>
    </row>
    <row r="436">
      <c r="D436">
        <f>IF(C436="","",IFERROR(INDEX('30_NGAN_HANG'!$D:$D,MATCH(C436,'30_NGAN_HANG'!$A:$A,0)),"Không tìm thấy"))</f>
        <v/>
      </c>
      <c r="E436">
        <f>IF(C436="","",IFERROR(INDEX('30_NGAN_HANG'!$Y:$Y,MATCH(C436,'30_NGAN_HANG'!$A:$A,0)),""))</f>
        <v/>
      </c>
    </row>
    <row r="437">
      <c r="D437">
        <f>IF(C437="","",IFERROR(INDEX('30_NGAN_HANG'!$D:$D,MATCH(C437,'30_NGAN_HANG'!$A:$A,0)),"Không tìm thấy"))</f>
        <v/>
      </c>
      <c r="E437">
        <f>IF(C437="","",IFERROR(INDEX('30_NGAN_HANG'!$Y:$Y,MATCH(C437,'30_NGAN_HANG'!$A:$A,0)),""))</f>
        <v/>
      </c>
    </row>
    <row r="438">
      <c r="D438">
        <f>IF(C438="","",IFERROR(INDEX('30_NGAN_HANG'!$D:$D,MATCH(C438,'30_NGAN_HANG'!$A:$A,0)),"Không tìm thấy"))</f>
        <v/>
      </c>
      <c r="E438">
        <f>IF(C438="","",IFERROR(INDEX('30_NGAN_HANG'!$Y:$Y,MATCH(C438,'30_NGAN_HANG'!$A:$A,0)),""))</f>
        <v/>
      </c>
    </row>
    <row r="439">
      <c r="D439">
        <f>IF(C439="","",IFERROR(INDEX('30_NGAN_HANG'!$D:$D,MATCH(C439,'30_NGAN_HANG'!$A:$A,0)),"Không tìm thấy"))</f>
        <v/>
      </c>
      <c r="E439">
        <f>IF(C439="","",IFERROR(INDEX('30_NGAN_HANG'!$Y:$Y,MATCH(C439,'30_NGAN_HANG'!$A:$A,0)),""))</f>
        <v/>
      </c>
    </row>
    <row r="440">
      <c r="D440">
        <f>IF(C440="","",IFERROR(INDEX('30_NGAN_HANG'!$D:$D,MATCH(C440,'30_NGAN_HANG'!$A:$A,0)),"Không tìm thấy"))</f>
        <v/>
      </c>
      <c r="E440">
        <f>IF(C440="","",IFERROR(INDEX('30_NGAN_HANG'!$Y:$Y,MATCH(C440,'30_NGAN_HANG'!$A:$A,0)),""))</f>
        <v/>
      </c>
    </row>
    <row r="441">
      <c r="D441">
        <f>IF(C441="","",IFERROR(INDEX('30_NGAN_HANG'!$D:$D,MATCH(C441,'30_NGAN_HANG'!$A:$A,0)),"Không tìm thấy"))</f>
        <v/>
      </c>
      <c r="E441">
        <f>IF(C441="","",IFERROR(INDEX('30_NGAN_HANG'!$Y:$Y,MATCH(C441,'30_NGAN_HANG'!$A:$A,0)),""))</f>
        <v/>
      </c>
    </row>
    <row r="442">
      <c r="D442">
        <f>IF(C442="","",IFERROR(INDEX('30_NGAN_HANG'!$D:$D,MATCH(C442,'30_NGAN_HANG'!$A:$A,0)),"Không tìm thấy"))</f>
        <v/>
      </c>
      <c r="E442">
        <f>IF(C442="","",IFERROR(INDEX('30_NGAN_HANG'!$Y:$Y,MATCH(C442,'30_NGAN_HANG'!$A:$A,0)),""))</f>
        <v/>
      </c>
    </row>
    <row r="443">
      <c r="D443">
        <f>IF(C443="","",IFERROR(INDEX('30_NGAN_HANG'!$D:$D,MATCH(C443,'30_NGAN_HANG'!$A:$A,0)),"Không tìm thấy"))</f>
        <v/>
      </c>
      <c r="E443">
        <f>IF(C443="","",IFERROR(INDEX('30_NGAN_HANG'!$Y:$Y,MATCH(C443,'30_NGAN_HANG'!$A:$A,0)),""))</f>
        <v/>
      </c>
    </row>
    <row r="444">
      <c r="D444">
        <f>IF(C444="","",IFERROR(INDEX('30_NGAN_HANG'!$D:$D,MATCH(C444,'30_NGAN_HANG'!$A:$A,0)),"Không tìm thấy"))</f>
        <v/>
      </c>
      <c r="E444">
        <f>IF(C444="","",IFERROR(INDEX('30_NGAN_HANG'!$Y:$Y,MATCH(C444,'30_NGAN_HANG'!$A:$A,0)),""))</f>
        <v/>
      </c>
    </row>
    <row r="445">
      <c r="D445">
        <f>IF(C445="","",IFERROR(INDEX('30_NGAN_HANG'!$D:$D,MATCH(C445,'30_NGAN_HANG'!$A:$A,0)),"Không tìm thấy"))</f>
        <v/>
      </c>
      <c r="E445">
        <f>IF(C445="","",IFERROR(INDEX('30_NGAN_HANG'!$Y:$Y,MATCH(C445,'30_NGAN_HANG'!$A:$A,0)),""))</f>
        <v/>
      </c>
    </row>
    <row r="446">
      <c r="D446">
        <f>IF(C446="","",IFERROR(INDEX('30_NGAN_HANG'!$D:$D,MATCH(C446,'30_NGAN_HANG'!$A:$A,0)),"Không tìm thấy"))</f>
        <v/>
      </c>
      <c r="E446">
        <f>IF(C446="","",IFERROR(INDEX('30_NGAN_HANG'!$Y:$Y,MATCH(C446,'30_NGAN_HANG'!$A:$A,0)),""))</f>
        <v/>
      </c>
    </row>
    <row r="447">
      <c r="D447">
        <f>IF(C447="","",IFERROR(INDEX('30_NGAN_HANG'!$D:$D,MATCH(C447,'30_NGAN_HANG'!$A:$A,0)),"Không tìm thấy"))</f>
        <v/>
      </c>
      <c r="E447">
        <f>IF(C447="","",IFERROR(INDEX('30_NGAN_HANG'!$Y:$Y,MATCH(C447,'30_NGAN_HANG'!$A:$A,0)),""))</f>
        <v/>
      </c>
    </row>
    <row r="448">
      <c r="D448">
        <f>IF(C448="","",IFERROR(INDEX('30_NGAN_HANG'!$D:$D,MATCH(C448,'30_NGAN_HANG'!$A:$A,0)),"Không tìm thấy"))</f>
        <v/>
      </c>
      <c r="E448">
        <f>IF(C448="","",IFERROR(INDEX('30_NGAN_HANG'!$Y:$Y,MATCH(C448,'30_NGAN_HANG'!$A:$A,0)),""))</f>
        <v/>
      </c>
    </row>
    <row r="449">
      <c r="D449">
        <f>IF(C449="","",IFERROR(INDEX('30_NGAN_HANG'!$D:$D,MATCH(C449,'30_NGAN_HANG'!$A:$A,0)),"Không tìm thấy"))</f>
        <v/>
      </c>
      <c r="E449">
        <f>IF(C449="","",IFERROR(INDEX('30_NGAN_HANG'!$Y:$Y,MATCH(C449,'30_NGAN_HANG'!$A:$A,0)),""))</f>
        <v/>
      </c>
    </row>
    <row r="450">
      <c r="D450">
        <f>IF(C450="","",IFERROR(INDEX('30_NGAN_HANG'!$D:$D,MATCH(C450,'30_NGAN_HANG'!$A:$A,0)),"Không tìm thấy"))</f>
        <v/>
      </c>
      <c r="E450">
        <f>IF(C450="","",IFERROR(INDEX('30_NGAN_HANG'!$Y:$Y,MATCH(C450,'30_NGAN_HANG'!$A:$A,0)),""))</f>
        <v/>
      </c>
    </row>
    <row r="451">
      <c r="D451">
        <f>IF(C451="","",IFERROR(INDEX('30_NGAN_HANG'!$D:$D,MATCH(C451,'30_NGAN_HANG'!$A:$A,0)),"Không tìm thấy"))</f>
        <v/>
      </c>
      <c r="E451">
        <f>IF(C451="","",IFERROR(INDEX('30_NGAN_HANG'!$Y:$Y,MATCH(C451,'30_NGAN_HANG'!$A:$A,0)),""))</f>
        <v/>
      </c>
    </row>
    <row r="452">
      <c r="D452">
        <f>IF(C452="","",IFERROR(INDEX('30_NGAN_HANG'!$D:$D,MATCH(C452,'30_NGAN_HANG'!$A:$A,0)),"Không tìm thấy"))</f>
        <v/>
      </c>
      <c r="E452">
        <f>IF(C452="","",IFERROR(INDEX('30_NGAN_HANG'!$Y:$Y,MATCH(C452,'30_NGAN_HANG'!$A:$A,0)),""))</f>
        <v/>
      </c>
    </row>
    <row r="453">
      <c r="D453">
        <f>IF(C453="","",IFERROR(INDEX('30_NGAN_HANG'!$D:$D,MATCH(C453,'30_NGAN_HANG'!$A:$A,0)),"Không tìm thấy"))</f>
        <v/>
      </c>
      <c r="E453">
        <f>IF(C453="","",IFERROR(INDEX('30_NGAN_HANG'!$Y:$Y,MATCH(C453,'30_NGAN_HANG'!$A:$A,0)),""))</f>
        <v/>
      </c>
    </row>
    <row r="454">
      <c r="D454">
        <f>IF(C454="","",IFERROR(INDEX('30_NGAN_HANG'!$D:$D,MATCH(C454,'30_NGAN_HANG'!$A:$A,0)),"Không tìm thấy"))</f>
        <v/>
      </c>
      <c r="E454">
        <f>IF(C454="","",IFERROR(INDEX('30_NGAN_HANG'!$Y:$Y,MATCH(C454,'30_NGAN_HANG'!$A:$A,0)),""))</f>
        <v/>
      </c>
    </row>
    <row r="455">
      <c r="D455">
        <f>IF(C455="","",IFERROR(INDEX('30_NGAN_HANG'!$D:$D,MATCH(C455,'30_NGAN_HANG'!$A:$A,0)),"Không tìm thấy"))</f>
        <v/>
      </c>
      <c r="E455">
        <f>IF(C455="","",IFERROR(INDEX('30_NGAN_HANG'!$Y:$Y,MATCH(C455,'30_NGAN_HANG'!$A:$A,0)),""))</f>
        <v/>
      </c>
    </row>
    <row r="456">
      <c r="D456">
        <f>IF(C456="","",IFERROR(INDEX('30_NGAN_HANG'!$D:$D,MATCH(C456,'30_NGAN_HANG'!$A:$A,0)),"Không tìm thấy"))</f>
        <v/>
      </c>
      <c r="E456">
        <f>IF(C456="","",IFERROR(INDEX('30_NGAN_HANG'!$Y:$Y,MATCH(C456,'30_NGAN_HANG'!$A:$A,0)),""))</f>
        <v/>
      </c>
    </row>
    <row r="457">
      <c r="D457">
        <f>IF(C457="","",IFERROR(INDEX('30_NGAN_HANG'!$D:$D,MATCH(C457,'30_NGAN_HANG'!$A:$A,0)),"Không tìm thấy"))</f>
        <v/>
      </c>
      <c r="E457">
        <f>IF(C457="","",IFERROR(INDEX('30_NGAN_HANG'!$Y:$Y,MATCH(C457,'30_NGAN_HANG'!$A:$A,0)),""))</f>
        <v/>
      </c>
    </row>
    <row r="458">
      <c r="D458">
        <f>IF(C458="","",IFERROR(INDEX('30_NGAN_HANG'!$D:$D,MATCH(C458,'30_NGAN_HANG'!$A:$A,0)),"Không tìm thấy"))</f>
        <v/>
      </c>
      <c r="E458">
        <f>IF(C458="","",IFERROR(INDEX('30_NGAN_HANG'!$Y:$Y,MATCH(C458,'30_NGAN_HANG'!$A:$A,0)),""))</f>
        <v/>
      </c>
    </row>
    <row r="459">
      <c r="D459">
        <f>IF(C459="","",IFERROR(INDEX('30_NGAN_HANG'!$D:$D,MATCH(C459,'30_NGAN_HANG'!$A:$A,0)),"Không tìm thấy"))</f>
        <v/>
      </c>
      <c r="E459">
        <f>IF(C459="","",IFERROR(INDEX('30_NGAN_HANG'!$Y:$Y,MATCH(C459,'30_NGAN_HANG'!$A:$A,0)),""))</f>
        <v/>
      </c>
    </row>
    <row r="460">
      <c r="D460">
        <f>IF(C460="","",IFERROR(INDEX('30_NGAN_HANG'!$D:$D,MATCH(C460,'30_NGAN_HANG'!$A:$A,0)),"Không tìm thấy"))</f>
        <v/>
      </c>
      <c r="E460">
        <f>IF(C460="","",IFERROR(INDEX('30_NGAN_HANG'!$Y:$Y,MATCH(C460,'30_NGAN_HANG'!$A:$A,0)),""))</f>
        <v/>
      </c>
    </row>
    <row r="461">
      <c r="D461">
        <f>IF(C461="","",IFERROR(INDEX('30_NGAN_HANG'!$D:$D,MATCH(C461,'30_NGAN_HANG'!$A:$A,0)),"Không tìm thấy"))</f>
        <v/>
      </c>
      <c r="E461">
        <f>IF(C461="","",IFERROR(INDEX('30_NGAN_HANG'!$Y:$Y,MATCH(C461,'30_NGAN_HANG'!$A:$A,0)),""))</f>
        <v/>
      </c>
    </row>
    <row r="462">
      <c r="D462">
        <f>IF(C462="","",IFERROR(INDEX('30_NGAN_HANG'!$D:$D,MATCH(C462,'30_NGAN_HANG'!$A:$A,0)),"Không tìm thấy"))</f>
        <v/>
      </c>
      <c r="E462">
        <f>IF(C462="","",IFERROR(INDEX('30_NGAN_HANG'!$Y:$Y,MATCH(C462,'30_NGAN_HANG'!$A:$A,0)),""))</f>
        <v/>
      </c>
    </row>
    <row r="463">
      <c r="D463">
        <f>IF(C463="","",IFERROR(INDEX('30_NGAN_HANG'!$D:$D,MATCH(C463,'30_NGAN_HANG'!$A:$A,0)),"Không tìm thấy"))</f>
        <v/>
      </c>
      <c r="E463">
        <f>IF(C463="","",IFERROR(INDEX('30_NGAN_HANG'!$Y:$Y,MATCH(C463,'30_NGAN_HANG'!$A:$A,0)),""))</f>
        <v/>
      </c>
    </row>
    <row r="464">
      <c r="D464">
        <f>IF(C464="","",IFERROR(INDEX('30_NGAN_HANG'!$D:$D,MATCH(C464,'30_NGAN_HANG'!$A:$A,0)),"Không tìm thấy"))</f>
        <v/>
      </c>
      <c r="E464">
        <f>IF(C464="","",IFERROR(INDEX('30_NGAN_HANG'!$Y:$Y,MATCH(C464,'30_NGAN_HANG'!$A:$A,0)),""))</f>
        <v/>
      </c>
    </row>
    <row r="465">
      <c r="D465">
        <f>IF(C465="","",IFERROR(INDEX('30_NGAN_HANG'!$D:$D,MATCH(C465,'30_NGAN_HANG'!$A:$A,0)),"Không tìm thấy"))</f>
        <v/>
      </c>
      <c r="E465">
        <f>IF(C465="","",IFERROR(INDEX('30_NGAN_HANG'!$Y:$Y,MATCH(C465,'30_NGAN_HANG'!$A:$A,0)),""))</f>
        <v/>
      </c>
    </row>
    <row r="466">
      <c r="D466">
        <f>IF(C466="","",IFERROR(INDEX('30_NGAN_HANG'!$D:$D,MATCH(C466,'30_NGAN_HANG'!$A:$A,0)),"Không tìm thấy"))</f>
        <v/>
      </c>
      <c r="E466">
        <f>IF(C466="","",IFERROR(INDEX('30_NGAN_HANG'!$Y:$Y,MATCH(C466,'30_NGAN_HANG'!$A:$A,0)),""))</f>
        <v/>
      </c>
    </row>
    <row r="467">
      <c r="D467">
        <f>IF(C467="","",IFERROR(INDEX('30_NGAN_HANG'!$D:$D,MATCH(C467,'30_NGAN_HANG'!$A:$A,0)),"Không tìm thấy"))</f>
        <v/>
      </c>
      <c r="E467">
        <f>IF(C467="","",IFERROR(INDEX('30_NGAN_HANG'!$Y:$Y,MATCH(C467,'30_NGAN_HANG'!$A:$A,0)),""))</f>
        <v/>
      </c>
    </row>
    <row r="468">
      <c r="D468">
        <f>IF(C468="","",IFERROR(INDEX('30_NGAN_HANG'!$D:$D,MATCH(C468,'30_NGAN_HANG'!$A:$A,0)),"Không tìm thấy"))</f>
        <v/>
      </c>
      <c r="E468">
        <f>IF(C468="","",IFERROR(INDEX('30_NGAN_HANG'!$Y:$Y,MATCH(C468,'30_NGAN_HANG'!$A:$A,0)),""))</f>
        <v/>
      </c>
    </row>
    <row r="469">
      <c r="D469">
        <f>IF(C469="","",IFERROR(INDEX('30_NGAN_HANG'!$D:$D,MATCH(C469,'30_NGAN_HANG'!$A:$A,0)),"Không tìm thấy"))</f>
        <v/>
      </c>
      <c r="E469">
        <f>IF(C469="","",IFERROR(INDEX('30_NGAN_HANG'!$Y:$Y,MATCH(C469,'30_NGAN_HANG'!$A:$A,0)),""))</f>
        <v/>
      </c>
    </row>
    <row r="470">
      <c r="D470">
        <f>IF(C470="","",IFERROR(INDEX('30_NGAN_HANG'!$D:$D,MATCH(C470,'30_NGAN_HANG'!$A:$A,0)),"Không tìm thấy"))</f>
        <v/>
      </c>
      <c r="E470">
        <f>IF(C470="","",IFERROR(INDEX('30_NGAN_HANG'!$Y:$Y,MATCH(C470,'30_NGAN_HANG'!$A:$A,0)),""))</f>
        <v/>
      </c>
    </row>
    <row r="471">
      <c r="D471">
        <f>IF(C471="","",IFERROR(INDEX('30_NGAN_HANG'!$D:$D,MATCH(C471,'30_NGAN_HANG'!$A:$A,0)),"Không tìm thấy"))</f>
        <v/>
      </c>
      <c r="E471">
        <f>IF(C471="","",IFERROR(INDEX('30_NGAN_HANG'!$Y:$Y,MATCH(C471,'30_NGAN_HANG'!$A:$A,0)),""))</f>
        <v/>
      </c>
    </row>
    <row r="472">
      <c r="D472">
        <f>IF(C472="","",IFERROR(INDEX('30_NGAN_HANG'!$D:$D,MATCH(C472,'30_NGAN_HANG'!$A:$A,0)),"Không tìm thấy"))</f>
        <v/>
      </c>
      <c r="E472">
        <f>IF(C472="","",IFERROR(INDEX('30_NGAN_HANG'!$Y:$Y,MATCH(C472,'30_NGAN_HANG'!$A:$A,0)),""))</f>
        <v/>
      </c>
    </row>
    <row r="473">
      <c r="D473">
        <f>IF(C473="","",IFERROR(INDEX('30_NGAN_HANG'!$D:$D,MATCH(C473,'30_NGAN_HANG'!$A:$A,0)),"Không tìm thấy"))</f>
        <v/>
      </c>
      <c r="E473">
        <f>IF(C473="","",IFERROR(INDEX('30_NGAN_HANG'!$Y:$Y,MATCH(C473,'30_NGAN_HANG'!$A:$A,0)),""))</f>
        <v/>
      </c>
    </row>
    <row r="474">
      <c r="D474">
        <f>IF(C474="","",IFERROR(INDEX('30_NGAN_HANG'!$D:$D,MATCH(C474,'30_NGAN_HANG'!$A:$A,0)),"Không tìm thấy"))</f>
        <v/>
      </c>
      <c r="E474">
        <f>IF(C474="","",IFERROR(INDEX('30_NGAN_HANG'!$Y:$Y,MATCH(C474,'30_NGAN_HANG'!$A:$A,0)),""))</f>
        <v/>
      </c>
    </row>
    <row r="475">
      <c r="D475">
        <f>IF(C475="","",IFERROR(INDEX('30_NGAN_HANG'!$D:$D,MATCH(C475,'30_NGAN_HANG'!$A:$A,0)),"Không tìm thấy"))</f>
        <v/>
      </c>
      <c r="E475">
        <f>IF(C475="","",IFERROR(INDEX('30_NGAN_HANG'!$Y:$Y,MATCH(C475,'30_NGAN_HANG'!$A:$A,0)),""))</f>
        <v/>
      </c>
    </row>
    <row r="476">
      <c r="D476">
        <f>IF(C476="","",IFERROR(INDEX('30_NGAN_HANG'!$D:$D,MATCH(C476,'30_NGAN_HANG'!$A:$A,0)),"Không tìm thấy"))</f>
        <v/>
      </c>
      <c r="E476">
        <f>IF(C476="","",IFERROR(INDEX('30_NGAN_HANG'!$Y:$Y,MATCH(C476,'30_NGAN_HANG'!$A:$A,0)),""))</f>
        <v/>
      </c>
    </row>
    <row r="477">
      <c r="D477">
        <f>IF(C477="","",IFERROR(INDEX('30_NGAN_HANG'!$D:$D,MATCH(C477,'30_NGAN_HANG'!$A:$A,0)),"Không tìm thấy"))</f>
        <v/>
      </c>
      <c r="E477">
        <f>IF(C477="","",IFERROR(INDEX('30_NGAN_HANG'!$Y:$Y,MATCH(C477,'30_NGAN_HANG'!$A:$A,0)),""))</f>
        <v/>
      </c>
    </row>
    <row r="478">
      <c r="D478">
        <f>IF(C478="","",IFERROR(INDEX('30_NGAN_HANG'!$D:$D,MATCH(C478,'30_NGAN_HANG'!$A:$A,0)),"Không tìm thấy"))</f>
        <v/>
      </c>
      <c r="E478">
        <f>IF(C478="","",IFERROR(INDEX('30_NGAN_HANG'!$Y:$Y,MATCH(C478,'30_NGAN_HANG'!$A:$A,0)),""))</f>
        <v/>
      </c>
    </row>
    <row r="479">
      <c r="D479">
        <f>IF(C479="","",IFERROR(INDEX('30_NGAN_HANG'!$D:$D,MATCH(C479,'30_NGAN_HANG'!$A:$A,0)),"Không tìm thấy"))</f>
        <v/>
      </c>
      <c r="E479">
        <f>IF(C479="","",IFERROR(INDEX('30_NGAN_HANG'!$Y:$Y,MATCH(C479,'30_NGAN_HANG'!$A:$A,0)),""))</f>
        <v/>
      </c>
    </row>
    <row r="480">
      <c r="D480">
        <f>IF(C480="","",IFERROR(INDEX('30_NGAN_HANG'!$D:$D,MATCH(C480,'30_NGAN_HANG'!$A:$A,0)),"Không tìm thấy"))</f>
        <v/>
      </c>
      <c r="E480">
        <f>IF(C480="","",IFERROR(INDEX('30_NGAN_HANG'!$Y:$Y,MATCH(C480,'30_NGAN_HANG'!$A:$A,0)),""))</f>
        <v/>
      </c>
    </row>
    <row r="481">
      <c r="D481">
        <f>IF(C481="","",IFERROR(INDEX('30_NGAN_HANG'!$D:$D,MATCH(C481,'30_NGAN_HANG'!$A:$A,0)),"Không tìm thấy"))</f>
        <v/>
      </c>
      <c r="E481">
        <f>IF(C481="","",IFERROR(INDEX('30_NGAN_HANG'!$Y:$Y,MATCH(C481,'30_NGAN_HANG'!$A:$A,0)),""))</f>
        <v/>
      </c>
    </row>
    <row r="482">
      <c r="D482">
        <f>IF(C482="","",IFERROR(INDEX('30_NGAN_HANG'!$D:$D,MATCH(C482,'30_NGAN_HANG'!$A:$A,0)),"Không tìm thấy"))</f>
        <v/>
      </c>
      <c r="E482">
        <f>IF(C482="","",IFERROR(INDEX('30_NGAN_HANG'!$Y:$Y,MATCH(C482,'30_NGAN_HANG'!$A:$A,0)),""))</f>
        <v/>
      </c>
    </row>
    <row r="483">
      <c r="D483">
        <f>IF(C483="","",IFERROR(INDEX('30_NGAN_HANG'!$D:$D,MATCH(C483,'30_NGAN_HANG'!$A:$A,0)),"Không tìm thấy"))</f>
        <v/>
      </c>
      <c r="E483">
        <f>IF(C483="","",IFERROR(INDEX('30_NGAN_HANG'!$Y:$Y,MATCH(C483,'30_NGAN_HANG'!$A:$A,0)),""))</f>
        <v/>
      </c>
    </row>
    <row r="484">
      <c r="D484">
        <f>IF(C484="","",IFERROR(INDEX('30_NGAN_HANG'!$D:$D,MATCH(C484,'30_NGAN_HANG'!$A:$A,0)),"Không tìm thấy"))</f>
        <v/>
      </c>
      <c r="E484">
        <f>IF(C484="","",IFERROR(INDEX('30_NGAN_HANG'!$Y:$Y,MATCH(C484,'30_NGAN_HANG'!$A:$A,0)),""))</f>
        <v/>
      </c>
    </row>
    <row r="485">
      <c r="D485">
        <f>IF(C485="","",IFERROR(INDEX('30_NGAN_HANG'!$D:$D,MATCH(C485,'30_NGAN_HANG'!$A:$A,0)),"Không tìm thấy"))</f>
        <v/>
      </c>
      <c r="E485">
        <f>IF(C485="","",IFERROR(INDEX('30_NGAN_HANG'!$Y:$Y,MATCH(C485,'30_NGAN_HANG'!$A:$A,0)),""))</f>
        <v/>
      </c>
    </row>
    <row r="486">
      <c r="D486">
        <f>IF(C486="","",IFERROR(INDEX('30_NGAN_HANG'!$D:$D,MATCH(C486,'30_NGAN_HANG'!$A:$A,0)),"Không tìm thấy"))</f>
        <v/>
      </c>
      <c r="E486">
        <f>IF(C486="","",IFERROR(INDEX('30_NGAN_HANG'!$Y:$Y,MATCH(C486,'30_NGAN_HANG'!$A:$A,0)),""))</f>
        <v/>
      </c>
    </row>
    <row r="487">
      <c r="D487">
        <f>IF(C487="","",IFERROR(INDEX('30_NGAN_HANG'!$D:$D,MATCH(C487,'30_NGAN_HANG'!$A:$A,0)),"Không tìm thấy"))</f>
        <v/>
      </c>
      <c r="E487">
        <f>IF(C487="","",IFERROR(INDEX('30_NGAN_HANG'!$Y:$Y,MATCH(C487,'30_NGAN_HANG'!$A:$A,0)),""))</f>
        <v/>
      </c>
    </row>
    <row r="488">
      <c r="D488">
        <f>IF(C488="","",IFERROR(INDEX('30_NGAN_HANG'!$D:$D,MATCH(C488,'30_NGAN_HANG'!$A:$A,0)),"Không tìm thấy"))</f>
        <v/>
      </c>
      <c r="E488">
        <f>IF(C488="","",IFERROR(INDEX('30_NGAN_HANG'!$Y:$Y,MATCH(C488,'30_NGAN_HANG'!$A:$A,0)),""))</f>
        <v/>
      </c>
    </row>
    <row r="489">
      <c r="D489">
        <f>IF(C489="","",IFERROR(INDEX('30_NGAN_HANG'!$D:$D,MATCH(C489,'30_NGAN_HANG'!$A:$A,0)),"Không tìm thấy"))</f>
        <v/>
      </c>
      <c r="E489">
        <f>IF(C489="","",IFERROR(INDEX('30_NGAN_HANG'!$Y:$Y,MATCH(C489,'30_NGAN_HANG'!$A:$A,0)),""))</f>
        <v/>
      </c>
    </row>
    <row r="490">
      <c r="D490">
        <f>IF(C490="","",IFERROR(INDEX('30_NGAN_HANG'!$D:$D,MATCH(C490,'30_NGAN_HANG'!$A:$A,0)),"Không tìm thấy"))</f>
        <v/>
      </c>
      <c r="E490">
        <f>IF(C490="","",IFERROR(INDEX('30_NGAN_HANG'!$Y:$Y,MATCH(C490,'30_NGAN_HANG'!$A:$A,0)),""))</f>
        <v/>
      </c>
    </row>
    <row r="491">
      <c r="D491">
        <f>IF(C491="","",IFERROR(INDEX('30_NGAN_HANG'!$D:$D,MATCH(C491,'30_NGAN_HANG'!$A:$A,0)),"Không tìm thấy"))</f>
        <v/>
      </c>
      <c r="E491">
        <f>IF(C491="","",IFERROR(INDEX('30_NGAN_HANG'!$Y:$Y,MATCH(C491,'30_NGAN_HANG'!$A:$A,0)),""))</f>
        <v/>
      </c>
    </row>
    <row r="492">
      <c r="D492">
        <f>IF(C492="","",IFERROR(INDEX('30_NGAN_HANG'!$D:$D,MATCH(C492,'30_NGAN_HANG'!$A:$A,0)),"Không tìm thấy"))</f>
        <v/>
      </c>
      <c r="E492">
        <f>IF(C492="","",IFERROR(INDEX('30_NGAN_HANG'!$Y:$Y,MATCH(C492,'30_NGAN_HANG'!$A:$A,0)),""))</f>
        <v/>
      </c>
    </row>
    <row r="493">
      <c r="D493">
        <f>IF(C493="","",IFERROR(INDEX('30_NGAN_HANG'!$D:$D,MATCH(C493,'30_NGAN_HANG'!$A:$A,0)),"Không tìm thấy"))</f>
        <v/>
      </c>
      <c r="E493">
        <f>IF(C493="","",IFERROR(INDEX('30_NGAN_HANG'!$Y:$Y,MATCH(C493,'30_NGAN_HANG'!$A:$A,0)),""))</f>
        <v/>
      </c>
    </row>
    <row r="494">
      <c r="D494">
        <f>IF(C494="","",IFERROR(INDEX('30_NGAN_HANG'!$D:$D,MATCH(C494,'30_NGAN_HANG'!$A:$A,0)),"Không tìm thấy"))</f>
        <v/>
      </c>
      <c r="E494">
        <f>IF(C494="","",IFERROR(INDEX('30_NGAN_HANG'!$Y:$Y,MATCH(C494,'30_NGAN_HANG'!$A:$A,0)),""))</f>
        <v/>
      </c>
    </row>
    <row r="495">
      <c r="D495">
        <f>IF(C495="","",IFERROR(INDEX('30_NGAN_HANG'!$D:$D,MATCH(C495,'30_NGAN_HANG'!$A:$A,0)),"Không tìm thấy"))</f>
        <v/>
      </c>
      <c r="E495">
        <f>IF(C495="","",IFERROR(INDEX('30_NGAN_HANG'!$Y:$Y,MATCH(C495,'30_NGAN_HANG'!$A:$A,0)),""))</f>
        <v/>
      </c>
    </row>
    <row r="496">
      <c r="D496">
        <f>IF(C496="","",IFERROR(INDEX('30_NGAN_HANG'!$D:$D,MATCH(C496,'30_NGAN_HANG'!$A:$A,0)),"Không tìm thấy"))</f>
        <v/>
      </c>
      <c r="E496">
        <f>IF(C496="","",IFERROR(INDEX('30_NGAN_HANG'!$Y:$Y,MATCH(C496,'30_NGAN_HANG'!$A:$A,0)),""))</f>
        <v/>
      </c>
    </row>
    <row r="497">
      <c r="D497">
        <f>IF(C497="","",IFERROR(INDEX('30_NGAN_HANG'!$D:$D,MATCH(C497,'30_NGAN_HANG'!$A:$A,0)),"Không tìm thấy"))</f>
        <v/>
      </c>
      <c r="E497">
        <f>IF(C497="","",IFERROR(INDEX('30_NGAN_HANG'!$Y:$Y,MATCH(C497,'30_NGAN_HANG'!$A:$A,0)),""))</f>
        <v/>
      </c>
    </row>
    <row r="498">
      <c r="D498">
        <f>IF(C498="","",IFERROR(INDEX('30_NGAN_HANG'!$D:$D,MATCH(C498,'30_NGAN_HANG'!$A:$A,0)),"Không tìm thấy"))</f>
        <v/>
      </c>
      <c r="E498">
        <f>IF(C498="","",IFERROR(INDEX('30_NGAN_HANG'!$Y:$Y,MATCH(C498,'30_NGAN_HANG'!$A:$A,0)),""))</f>
        <v/>
      </c>
    </row>
    <row r="499">
      <c r="D499">
        <f>IF(C499="","",IFERROR(INDEX('30_NGAN_HANG'!$D:$D,MATCH(C499,'30_NGAN_HANG'!$A:$A,0)),"Không tìm thấy"))</f>
        <v/>
      </c>
      <c r="E499">
        <f>IF(C499="","",IFERROR(INDEX('30_NGAN_HANG'!$Y:$Y,MATCH(C499,'30_NGAN_HANG'!$A:$A,0)),""))</f>
        <v/>
      </c>
    </row>
    <row r="500">
      <c r="D500">
        <f>IF(C500="","",IFERROR(INDEX('30_NGAN_HANG'!$D:$D,MATCH(C500,'30_NGAN_HANG'!$A:$A,0)),"Không tìm thấy"))</f>
        <v/>
      </c>
      <c r="E500">
        <f>IF(C500="","",IFERROR(INDEX('30_NGAN_HANG'!$Y:$Y,MATCH(C500,'30_NGAN_HANG'!$A:$A,0)),""))</f>
        <v/>
      </c>
    </row>
    <row r="501">
      <c r="D501">
        <f>IF(C501="","",IFERROR(INDEX('30_NGAN_HANG'!$D:$D,MATCH(C501,'30_NGAN_HANG'!$A:$A,0)),"Không tìm thấy"))</f>
        <v/>
      </c>
      <c r="E501">
        <f>IF(C501="","",IFERROR(INDEX('30_NGAN_HANG'!$Y:$Y,MATCH(C501,'30_NGAN_HANG'!$A:$A,0)),""))</f>
        <v/>
      </c>
    </row>
    <row r="502">
      <c r="D502">
        <f>IF(C502="","",IFERROR(INDEX('30_NGAN_HANG'!$D:$D,MATCH(C502,'30_NGAN_HANG'!$A:$A,0)),"Không tìm thấy"))</f>
        <v/>
      </c>
      <c r="E502">
        <f>IF(C502="","",IFERROR(INDEX('30_NGAN_HANG'!$Y:$Y,MATCH(C502,'30_NGAN_HANG'!$A:$A,0)),""))</f>
        <v/>
      </c>
    </row>
    <row r="503">
      <c r="D503">
        <f>IF(C503="","",IFERROR(INDEX('30_NGAN_HANG'!$D:$D,MATCH(C503,'30_NGAN_HANG'!$A:$A,0)),"Không tìm thấy"))</f>
        <v/>
      </c>
      <c r="E503">
        <f>IF(C503="","",IFERROR(INDEX('30_NGAN_HANG'!$Y:$Y,MATCH(C503,'30_NGAN_HANG'!$A:$A,0)),""))</f>
        <v/>
      </c>
    </row>
    <row r="504">
      <c r="D504">
        <f>IF(C504="","",IFERROR(INDEX('30_NGAN_HANG'!$D:$D,MATCH(C504,'30_NGAN_HANG'!$A:$A,0)),"Không tìm thấy"))</f>
        <v/>
      </c>
      <c r="E504">
        <f>IF(C504="","",IFERROR(INDEX('30_NGAN_HANG'!$Y:$Y,MATCH(C504,'30_NGAN_HANG'!$A:$A,0)),""))</f>
        <v/>
      </c>
    </row>
    <row r="505">
      <c r="D505">
        <f>IF(C505="","",IFERROR(INDEX('30_NGAN_HANG'!$D:$D,MATCH(C505,'30_NGAN_HANG'!$A:$A,0)),"Không tìm thấy"))</f>
        <v/>
      </c>
      <c r="E505">
        <f>IF(C505="","",IFERROR(INDEX('30_NGAN_HANG'!$Y:$Y,MATCH(C505,'30_NGAN_HANG'!$A:$A,0)),""))</f>
        <v/>
      </c>
    </row>
    <row r="506">
      <c r="D506">
        <f>IF(C506="","",IFERROR(INDEX('30_NGAN_HANG'!$D:$D,MATCH(C506,'30_NGAN_HANG'!$A:$A,0)),"Không tìm thấy"))</f>
        <v/>
      </c>
      <c r="E506">
        <f>IF(C506="","",IFERROR(INDEX('30_NGAN_HANG'!$Y:$Y,MATCH(C506,'30_NGAN_HANG'!$A:$A,0)),""))</f>
        <v/>
      </c>
    </row>
    <row r="507">
      <c r="D507">
        <f>IF(C507="","",IFERROR(INDEX('30_NGAN_HANG'!$D:$D,MATCH(C507,'30_NGAN_HANG'!$A:$A,0)),"Không tìm thấy"))</f>
        <v/>
      </c>
      <c r="E507">
        <f>IF(C507="","",IFERROR(INDEX('30_NGAN_HANG'!$Y:$Y,MATCH(C507,'30_NGAN_HANG'!$A:$A,0)),""))</f>
        <v/>
      </c>
    </row>
    <row r="508">
      <c r="D508">
        <f>IF(C508="","",IFERROR(INDEX('30_NGAN_HANG'!$D:$D,MATCH(C508,'30_NGAN_HANG'!$A:$A,0)),"Không tìm thấy"))</f>
        <v/>
      </c>
      <c r="E508">
        <f>IF(C508="","",IFERROR(INDEX('30_NGAN_HANG'!$Y:$Y,MATCH(C508,'30_NGAN_HANG'!$A:$A,0)),""))</f>
        <v/>
      </c>
    </row>
    <row r="509">
      <c r="D509">
        <f>IF(C509="","",IFERROR(INDEX('30_NGAN_HANG'!$D:$D,MATCH(C509,'30_NGAN_HANG'!$A:$A,0)),"Không tìm thấy"))</f>
        <v/>
      </c>
      <c r="E509">
        <f>IF(C509="","",IFERROR(INDEX('30_NGAN_HANG'!$Y:$Y,MATCH(C509,'30_NGAN_HANG'!$A:$A,0)),""))</f>
        <v/>
      </c>
    </row>
    <row r="510">
      <c r="D510">
        <f>IF(C510="","",IFERROR(INDEX('30_NGAN_HANG'!$D:$D,MATCH(C510,'30_NGAN_HANG'!$A:$A,0)),"Không tìm thấy"))</f>
        <v/>
      </c>
      <c r="E510">
        <f>IF(C510="","",IFERROR(INDEX('30_NGAN_HANG'!$Y:$Y,MATCH(C510,'30_NGAN_HANG'!$A:$A,0)),""))</f>
        <v/>
      </c>
    </row>
    <row r="511">
      <c r="D511">
        <f>IF(C511="","",IFERROR(INDEX('30_NGAN_HANG'!$D:$D,MATCH(C511,'30_NGAN_HANG'!$A:$A,0)),"Không tìm thấy"))</f>
        <v/>
      </c>
      <c r="E511">
        <f>IF(C511="","",IFERROR(INDEX('30_NGAN_HANG'!$Y:$Y,MATCH(C511,'30_NGAN_HANG'!$A:$A,0)),""))</f>
        <v/>
      </c>
    </row>
    <row r="512">
      <c r="D512">
        <f>IF(C512="","",IFERROR(INDEX('30_NGAN_HANG'!$D:$D,MATCH(C512,'30_NGAN_HANG'!$A:$A,0)),"Không tìm thấy"))</f>
        <v/>
      </c>
      <c r="E512">
        <f>IF(C512="","",IFERROR(INDEX('30_NGAN_HANG'!$Y:$Y,MATCH(C512,'30_NGAN_HANG'!$A:$A,0)),""))</f>
        <v/>
      </c>
    </row>
    <row r="513">
      <c r="D513">
        <f>IF(C513="","",IFERROR(INDEX('30_NGAN_HANG'!$D:$D,MATCH(C513,'30_NGAN_HANG'!$A:$A,0)),"Không tìm thấy"))</f>
        <v/>
      </c>
      <c r="E513">
        <f>IF(C513="","",IFERROR(INDEX('30_NGAN_HANG'!$Y:$Y,MATCH(C513,'30_NGAN_HANG'!$A:$A,0)),""))</f>
        <v/>
      </c>
    </row>
    <row r="514">
      <c r="D514">
        <f>IF(C514="","",IFERROR(INDEX('30_NGAN_HANG'!$D:$D,MATCH(C514,'30_NGAN_HANG'!$A:$A,0)),"Không tìm thấy"))</f>
        <v/>
      </c>
      <c r="E514">
        <f>IF(C514="","",IFERROR(INDEX('30_NGAN_HANG'!$Y:$Y,MATCH(C514,'30_NGAN_HANG'!$A:$A,0)),""))</f>
        <v/>
      </c>
    </row>
    <row r="515">
      <c r="D515">
        <f>IF(C515="","",IFERROR(INDEX('30_NGAN_HANG'!$D:$D,MATCH(C515,'30_NGAN_HANG'!$A:$A,0)),"Không tìm thấy"))</f>
        <v/>
      </c>
      <c r="E515">
        <f>IF(C515="","",IFERROR(INDEX('30_NGAN_HANG'!$Y:$Y,MATCH(C515,'30_NGAN_HANG'!$A:$A,0)),""))</f>
        <v/>
      </c>
    </row>
    <row r="516">
      <c r="D516">
        <f>IF(C516="","",IFERROR(INDEX('30_NGAN_HANG'!$D:$D,MATCH(C516,'30_NGAN_HANG'!$A:$A,0)),"Không tìm thấy"))</f>
        <v/>
      </c>
      <c r="E516">
        <f>IF(C516="","",IFERROR(INDEX('30_NGAN_HANG'!$Y:$Y,MATCH(C516,'30_NGAN_HANG'!$A:$A,0)),""))</f>
        <v/>
      </c>
    </row>
    <row r="517">
      <c r="D517">
        <f>IF(C517="","",IFERROR(INDEX('30_NGAN_HANG'!$D:$D,MATCH(C517,'30_NGAN_HANG'!$A:$A,0)),"Không tìm thấy"))</f>
        <v/>
      </c>
      <c r="E517">
        <f>IF(C517="","",IFERROR(INDEX('30_NGAN_HANG'!$Y:$Y,MATCH(C517,'30_NGAN_HANG'!$A:$A,0)),""))</f>
        <v/>
      </c>
    </row>
    <row r="518">
      <c r="D518">
        <f>IF(C518="","",IFERROR(INDEX('30_NGAN_HANG'!$D:$D,MATCH(C518,'30_NGAN_HANG'!$A:$A,0)),"Không tìm thấy"))</f>
        <v/>
      </c>
      <c r="E518">
        <f>IF(C518="","",IFERROR(INDEX('30_NGAN_HANG'!$Y:$Y,MATCH(C518,'30_NGAN_HANG'!$A:$A,0)),""))</f>
        <v/>
      </c>
    </row>
    <row r="519">
      <c r="D519">
        <f>IF(C519="","",IFERROR(INDEX('30_NGAN_HANG'!$D:$D,MATCH(C519,'30_NGAN_HANG'!$A:$A,0)),"Không tìm thấy"))</f>
        <v/>
      </c>
      <c r="E519">
        <f>IF(C519="","",IFERROR(INDEX('30_NGAN_HANG'!$Y:$Y,MATCH(C519,'30_NGAN_HANG'!$A:$A,0)),""))</f>
        <v/>
      </c>
    </row>
    <row r="520">
      <c r="D520">
        <f>IF(C520="","",IFERROR(INDEX('30_NGAN_HANG'!$D:$D,MATCH(C520,'30_NGAN_HANG'!$A:$A,0)),"Không tìm thấy"))</f>
        <v/>
      </c>
      <c r="E520">
        <f>IF(C520="","",IFERROR(INDEX('30_NGAN_HANG'!$Y:$Y,MATCH(C520,'30_NGAN_HANG'!$A:$A,0)),""))</f>
        <v/>
      </c>
    </row>
    <row r="521">
      <c r="D521">
        <f>IF(C521="","",IFERROR(INDEX('30_NGAN_HANG'!$D:$D,MATCH(C521,'30_NGAN_HANG'!$A:$A,0)),"Không tìm thấy"))</f>
        <v/>
      </c>
      <c r="E521">
        <f>IF(C521="","",IFERROR(INDEX('30_NGAN_HANG'!$Y:$Y,MATCH(C521,'30_NGAN_HANG'!$A:$A,0)),""))</f>
        <v/>
      </c>
    </row>
    <row r="522">
      <c r="D522">
        <f>IF(C522="","",IFERROR(INDEX('30_NGAN_HANG'!$D:$D,MATCH(C522,'30_NGAN_HANG'!$A:$A,0)),"Không tìm thấy"))</f>
        <v/>
      </c>
      <c r="E522">
        <f>IF(C522="","",IFERROR(INDEX('30_NGAN_HANG'!$Y:$Y,MATCH(C522,'30_NGAN_HANG'!$A:$A,0)),""))</f>
        <v/>
      </c>
    </row>
    <row r="523">
      <c r="D523">
        <f>IF(C523="","",IFERROR(INDEX('30_NGAN_HANG'!$D:$D,MATCH(C523,'30_NGAN_HANG'!$A:$A,0)),"Không tìm thấy"))</f>
        <v/>
      </c>
      <c r="E523">
        <f>IF(C523="","",IFERROR(INDEX('30_NGAN_HANG'!$Y:$Y,MATCH(C523,'30_NGAN_HANG'!$A:$A,0)),""))</f>
        <v/>
      </c>
    </row>
    <row r="524">
      <c r="D524">
        <f>IF(C524="","",IFERROR(INDEX('30_NGAN_HANG'!$D:$D,MATCH(C524,'30_NGAN_HANG'!$A:$A,0)),"Không tìm thấy"))</f>
        <v/>
      </c>
      <c r="E524">
        <f>IF(C524="","",IFERROR(INDEX('30_NGAN_HANG'!$Y:$Y,MATCH(C524,'30_NGAN_HANG'!$A:$A,0)),""))</f>
        <v/>
      </c>
    </row>
    <row r="525">
      <c r="D525">
        <f>IF(C525="","",IFERROR(INDEX('30_NGAN_HANG'!$D:$D,MATCH(C525,'30_NGAN_HANG'!$A:$A,0)),"Không tìm thấy"))</f>
        <v/>
      </c>
      <c r="E525">
        <f>IF(C525="","",IFERROR(INDEX('30_NGAN_HANG'!$Y:$Y,MATCH(C525,'30_NGAN_HANG'!$A:$A,0)),""))</f>
        <v/>
      </c>
    </row>
    <row r="526">
      <c r="D526">
        <f>IF(C526="","",IFERROR(INDEX('30_NGAN_HANG'!$D:$D,MATCH(C526,'30_NGAN_HANG'!$A:$A,0)),"Không tìm thấy"))</f>
        <v/>
      </c>
      <c r="E526">
        <f>IF(C526="","",IFERROR(INDEX('30_NGAN_HANG'!$Y:$Y,MATCH(C526,'30_NGAN_HANG'!$A:$A,0)),""))</f>
        <v/>
      </c>
    </row>
    <row r="527">
      <c r="D527">
        <f>IF(C527="","",IFERROR(INDEX('30_NGAN_HANG'!$D:$D,MATCH(C527,'30_NGAN_HANG'!$A:$A,0)),"Không tìm thấy"))</f>
        <v/>
      </c>
      <c r="E527">
        <f>IF(C527="","",IFERROR(INDEX('30_NGAN_HANG'!$Y:$Y,MATCH(C527,'30_NGAN_HANG'!$A:$A,0)),""))</f>
        <v/>
      </c>
    </row>
    <row r="528">
      <c r="D528">
        <f>IF(C528="","",IFERROR(INDEX('30_NGAN_HANG'!$D:$D,MATCH(C528,'30_NGAN_HANG'!$A:$A,0)),"Không tìm thấy"))</f>
        <v/>
      </c>
      <c r="E528">
        <f>IF(C528="","",IFERROR(INDEX('30_NGAN_HANG'!$Y:$Y,MATCH(C528,'30_NGAN_HANG'!$A:$A,0)),""))</f>
        <v/>
      </c>
    </row>
    <row r="529">
      <c r="D529">
        <f>IF(C529="","",IFERROR(INDEX('30_NGAN_HANG'!$D:$D,MATCH(C529,'30_NGAN_HANG'!$A:$A,0)),"Không tìm thấy"))</f>
        <v/>
      </c>
      <c r="E529">
        <f>IF(C529="","",IFERROR(INDEX('30_NGAN_HANG'!$Y:$Y,MATCH(C529,'30_NGAN_HANG'!$A:$A,0)),""))</f>
        <v/>
      </c>
    </row>
    <row r="530">
      <c r="D530">
        <f>IF(C530="","",IFERROR(INDEX('30_NGAN_HANG'!$D:$D,MATCH(C530,'30_NGAN_HANG'!$A:$A,0)),"Không tìm thấy"))</f>
        <v/>
      </c>
      <c r="E530">
        <f>IF(C530="","",IFERROR(INDEX('30_NGAN_HANG'!$Y:$Y,MATCH(C530,'30_NGAN_HANG'!$A:$A,0)),""))</f>
        <v/>
      </c>
    </row>
    <row r="531">
      <c r="D531">
        <f>IF(C531="","",IFERROR(INDEX('30_NGAN_HANG'!$D:$D,MATCH(C531,'30_NGAN_HANG'!$A:$A,0)),"Không tìm thấy"))</f>
        <v/>
      </c>
      <c r="E531">
        <f>IF(C531="","",IFERROR(INDEX('30_NGAN_HANG'!$Y:$Y,MATCH(C531,'30_NGAN_HANG'!$A:$A,0)),""))</f>
        <v/>
      </c>
    </row>
    <row r="532">
      <c r="D532">
        <f>IF(C532="","",IFERROR(INDEX('30_NGAN_HANG'!$D:$D,MATCH(C532,'30_NGAN_HANG'!$A:$A,0)),"Không tìm thấy"))</f>
        <v/>
      </c>
      <c r="E532">
        <f>IF(C532="","",IFERROR(INDEX('30_NGAN_HANG'!$Y:$Y,MATCH(C532,'30_NGAN_HANG'!$A:$A,0)),""))</f>
        <v/>
      </c>
    </row>
    <row r="533">
      <c r="D533">
        <f>IF(C533="","",IFERROR(INDEX('30_NGAN_HANG'!$D:$D,MATCH(C533,'30_NGAN_HANG'!$A:$A,0)),"Không tìm thấy"))</f>
        <v/>
      </c>
      <c r="E533">
        <f>IF(C533="","",IFERROR(INDEX('30_NGAN_HANG'!$Y:$Y,MATCH(C533,'30_NGAN_HANG'!$A:$A,0)),""))</f>
        <v/>
      </c>
    </row>
    <row r="534">
      <c r="D534">
        <f>IF(C534="","",IFERROR(INDEX('30_NGAN_HANG'!$D:$D,MATCH(C534,'30_NGAN_HANG'!$A:$A,0)),"Không tìm thấy"))</f>
        <v/>
      </c>
      <c r="E534">
        <f>IF(C534="","",IFERROR(INDEX('30_NGAN_HANG'!$Y:$Y,MATCH(C534,'30_NGAN_HANG'!$A:$A,0)),""))</f>
        <v/>
      </c>
    </row>
    <row r="535">
      <c r="D535">
        <f>IF(C535="","",IFERROR(INDEX('30_NGAN_HANG'!$D:$D,MATCH(C535,'30_NGAN_HANG'!$A:$A,0)),"Không tìm thấy"))</f>
        <v/>
      </c>
      <c r="E535">
        <f>IF(C535="","",IFERROR(INDEX('30_NGAN_HANG'!$Y:$Y,MATCH(C535,'30_NGAN_HANG'!$A:$A,0)),""))</f>
        <v/>
      </c>
    </row>
    <row r="536">
      <c r="D536">
        <f>IF(C536="","",IFERROR(INDEX('30_NGAN_HANG'!$D:$D,MATCH(C536,'30_NGAN_HANG'!$A:$A,0)),"Không tìm thấy"))</f>
        <v/>
      </c>
      <c r="E536">
        <f>IF(C536="","",IFERROR(INDEX('30_NGAN_HANG'!$Y:$Y,MATCH(C536,'30_NGAN_HANG'!$A:$A,0)),""))</f>
        <v/>
      </c>
    </row>
    <row r="537">
      <c r="D537">
        <f>IF(C537="","",IFERROR(INDEX('30_NGAN_HANG'!$D:$D,MATCH(C537,'30_NGAN_HANG'!$A:$A,0)),"Không tìm thấy"))</f>
        <v/>
      </c>
      <c r="E537">
        <f>IF(C537="","",IFERROR(INDEX('30_NGAN_HANG'!$Y:$Y,MATCH(C537,'30_NGAN_HANG'!$A:$A,0)),""))</f>
        <v/>
      </c>
    </row>
    <row r="538">
      <c r="D538">
        <f>IF(C538="","",IFERROR(INDEX('30_NGAN_HANG'!$D:$D,MATCH(C538,'30_NGAN_HANG'!$A:$A,0)),"Không tìm thấy"))</f>
        <v/>
      </c>
      <c r="E538">
        <f>IF(C538="","",IFERROR(INDEX('30_NGAN_HANG'!$Y:$Y,MATCH(C538,'30_NGAN_HANG'!$A:$A,0)),""))</f>
        <v/>
      </c>
    </row>
    <row r="539">
      <c r="D539">
        <f>IF(C539="","",IFERROR(INDEX('30_NGAN_HANG'!$D:$D,MATCH(C539,'30_NGAN_HANG'!$A:$A,0)),"Không tìm thấy"))</f>
        <v/>
      </c>
      <c r="E539">
        <f>IF(C539="","",IFERROR(INDEX('30_NGAN_HANG'!$Y:$Y,MATCH(C539,'30_NGAN_HANG'!$A:$A,0)),""))</f>
        <v/>
      </c>
    </row>
    <row r="540">
      <c r="D540">
        <f>IF(C540="","",IFERROR(INDEX('30_NGAN_HANG'!$D:$D,MATCH(C540,'30_NGAN_HANG'!$A:$A,0)),"Không tìm thấy"))</f>
        <v/>
      </c>
      <c r="E540">
        <f>IF(C540="","",IFERROR(INDEX('30_NGAN_HANG'!$Y:$Y,MATCH(C540,'30_NGAN_HANG'!$A:$A,0)),""))</f>
        <v/>
      </c>
    </row>
    <row r="541">
      <c r="D541">
        <f>IF(C541="","",IFERROR(INDEX('30_NGAN_HANG'!$D:$D,MATCH(C541,'30_NGAN_HANG'!$A:$A,0)),"Không tìm thấy"))</f>
        <v/>
      </c>
      <c r="E541">
        <f>IF(C541="","",IFERROR(INDEX('30_NGAN_HANG'!$Y:$Y,MATCH(C541,'30_NGAN_HANG'!$A:$A,0)),""))</f>
        <v/>
      </c>
    </row>
    <row r="542">
      <c r="D542">
        <f>IF(C542="","",IFERROR(INDEX('30_NGAN_HANG'!$D:$D,MATCH(C542,'30_NGAN_HANG'!$A:$A,0)),"Không tìm thấy"))</f>
        <v/>
      </c>
      <c r="E542">
        <f>IF(C542="","",IFERROR(INDEX('30_NGAN_HANG'!$Y:$Y,MATCH(C542,'30_NGAN_HANG'!$A:$A,0)),""))</f>
        <v/>
      </c>
    </row>
    <row r="543">
      <c r="D543">
        <f>IF(C543="","",IFERROR(INDEX('30_NGAN_HANG'!$D:$D,MATCH(C543,'30_NGAN_HANG'!$A:$A,0)),"Không tìm thấy"))</f>
        <v/>
      </c>
      <c r="E543">
        <f>IF(C543="","",IFERROR(INDEX('30_NGAN_HANG'!$Y:$Y,MATCH(C543,'30_NGAN_HANG'!$A:$A,0)),""))</f>
        <v/>
      </c>
    </row>
    <row r="544">
      <c r="D544">
        <f>IF(C544="","",IFERROR(INDEX('30_NGAN_HANG'!$D:$D,MATCH(C544,'30_NGAN_HANG'!$A:$A,0)),"Không tìm thấy"))</f>
        <v/>
      </c>
      <c r="E544">
        <f>IF(C544="","",IFERROR(INDEX('30_NGAN_HANG'!$Y:$Y,MATCH(C544,'30_NGAN_HANG'!$A:$A,0)),""))</f>
        <v/>
      </c>
    </row>
    <row r="545">
      <c r="D545">
        <f>IF(C545="","",IFERROR(INDEX('30_NGAN_HANG'!$D:$D,MATCH(C545,'30_NGAN_HANG'!$A:$A,0)),"Không tìm thấy"))</f>
        <v/>
      </c>
      <c r="E545">
        <f>IF(C545="","",IFERROR(INDEX('30_NGAN_HANG'!$Y:$Y,MATCH(C545,'30_NGAN_HANG'!$A:$A,0)),""))</f>
        <v/>
      </c>
    </row>
    <row r="546">
      <c r="D546">
        <f>IF(C546="","",IFERROR(INDEX('30_NGAN_HANG'!$D:$D,MATCH(C546,'30_NGAN_HANG'!$A:$A,0)),"Không tìm thấy"))</f>
        <v/>
      </c>
      <c r="E546">
        <f>IF(C546="","",IFERROR(INDEX('30_NGAN_HANG'!$Y:$Y,MATCH(C546,'30_NGAN_HANG'!$A:$A,0)),""))</f>
        <v/>
      </c>
    </row>
    <row r="547">
      <c r="D547">
        <f>IF(C547="","",IFERROR(INDEX('30_NGAN_HANG'!$D:$D,MATCH(C547,'30_NGAN_HANG'!$A:$A,0)),"Không tìm thấy"))</f>
        <v/>
      </c>
      <c r="E547">
        <f>IF(C547="","",IFERROR(INDEX('30_NGAN_HANG'!$Y:$Y,MATCH(C547,'30_NGAN_HANG'!$A:$A,0)),""))</f>
        <v/>
      </c>
    </row>
    <row r="548">
      <c r="D548">
        <f>IF(C548="","",IFERROR(INDEX('30_NGAN_HANG'!$D:$D,MATCH(C548,'30_NGAN_HANG'!$A:$A,0)),"Không tìm thấy"))</f>
        <v/>
      </c>
      <c r="E548">
        <f>IF(C548="","",IFERROR(INDEX('30_NGAN_HANG'!$Y:$Y,MATCH(C548,'30_NGAN_HANG'!$A:$A,0)),""))</f>
        <v/>
      </c>
    </row>
    <row r="549">
      <c r="D549">
        <f>IF(C549="","",IFERROR(INDEX('30_NGAN_HANG'!$D:$D,MATCH(C549,'30_NGAN_HANG'!$A:$A,0)),"Không tìm thấy"))</f>
        <v/>
      </c>
      <c r="E549">
        <f>IF(C549="","",IFERROR(INDEX('30_NGAN_HANG'!$Y:$Y,MATCH(C549,'30_NGAN_HANG'!$A:$A,0)),""))</f>
        <v/>
      </c>
    </row>
    <row r="550">
      <c r="D550">
        <f>IF(C550="","",IFERROR(INDEX('30_NGAN_HANG'!$D:$D,MATCH(C550,'30_NGAN_HANG'!$A:$A,0)),"Không tìm thấy"))</f>
        <v/>
      </c>
      <c r="E550">
        <f>IF(C550="","",IFERROR(INDEX('30_NGAN_HANG'!$Y:$Y,MATCH(C550,'30_NGAN_HANG'!$A:$A,0)),""))</f>
        <v/>
      </c>
    </row>
    <row r="551">
      <c r="D551">
        <f>IF(C551="","",IFERROR(INDEX('30_NGAN_HANG'!$D:$D,MATCH(C551,'30_NGAN_HANG'!$A:$A,0)),"Không tìm thấy"))</f>
        <v/>
      </c>
      <c r="E551">
        <f>IF(C551="","",IFERROR(INDEX('30_NGAN_HANG'!$Y:$Y,MATCH(C551,'30_NGAN_HANG'!$A:$A,0)),""))</f>
        <v/>
      </c>
    </row>
    <row r="552">
      <c r="D552">
        <f>IF(C552="","",IFERROR(INDEX('30_NGAN_HANG'!$D:$D,MATCH(C552,'30_NGAN_HANG'!$A:$A,0)),"Không tìm thấy"))</f>
        <v/>
      </c>
      <c r="E552">
        <f>IF(C552="","",IFERROR(INDEX('30_NGAN_HANG'!$Y:$Y,MATCH(C552,'30_NGAN_HANG'!$A:$A,0)),""))</f>
        <v/>
      </c>
    </row>
    <row r="553">
      <c r="D553">
        <f>IF(C553="","",IFERROR(INDEX('30_NGAN_HANG'!$D:$D,MATCH(C553,'30_NGAN_HANG'!$A:$A,0)),"Không tìm thấy"))</f>
        <v/>
      </c>
      <c r="E553">
        <f>IF(C553="","",IFERROR(INDEX('30_NGAN_HANG'!$Y:$Y,MATCH(C553,'30_NGAN_HANG'!$A:$A,0)),""))</f>
        <v/>
      </c>
    </row>
    <row r="554">
      <c r="D554">
        <f>IF(C554="","",IFERROR(INDEX('30_NGAN_HANG'!$D:$D,MATCH(C554,'30_NGAN_HANG'!$A:$A,0)),"Không tìm thấy"))</f>
        <v/>
      </c>
      <c r="E554">
        <f>IF(C554="","",IFERROR(INDEX('30_NGAN_HANG'!$Y:$Y,MATCH(C554,'30_NGAN_HANG'!$A:$A,0)),""))</f>
        <v/>
      </c>
    </row>
    <row r="555">
      <c r="D555">
        <f>IF(C555="","",IFERROR(INDEX('30_NGAN_HANG'!$D:$D,MATCH(C555,'30_NGAN_HANG'!$A:$A,0)),"Không tìm thấy"))</f>
        <v/>
      </c>
      <c r="E555">
        <f>IF(C555="","",IFERROR(INDEX('30_NGAN_HANG'!$Y:$Y,MATCH(C555,'30_NGAN_HANG'!$A:$A,0)),""))</f>
        <v/>
      </c>
    </row>
    <row r="556">
      <c r="D556">
        <f>IF(C556="","",IFERROR(INDEX('30_NGAN_HANG'!$D:$D,MATCH(C556,'30_NGAN_HANG'!$A:$A,0)),"Không tìm thấy"))</f>
        <v/>
      </c>
      <c r="E556">
        <f>IF(C556="","",IFERROR(INDEX('30_NGAN_HANG'!$Y:$Y,MATCH(C556,'30_NGAN_HANG'!$A:$A,0)),""))</f>
        <v/>
      </c>
    </row>
    <row r="557">
      <c r="D557">
        <f>IF(C557="","",IFERROR(INDEX('30_NGAN_HANG'!$D:$D,MATCH(C557,'30_NGAN_HANG'!$A:$A,0)),"Không tìm thấy"))</f>
        <v/>
      </c>
      <c r="E557">
        <f>IF(C557="","",IFERROR(INDEX('30_NGAN_HANG'!$Y:$Y,MATCH(C557,'30_NGAN_HANG'!$A:$A,0)),""))</f>
        <v/>
      </c>
    </row>
    <row r="558">
      <c r="D558">
        <f>IF(C558="","",IFERROR(INDEX('30_NGAN_HANG'!$D:$D,MATCH(C558,'30_NGAN_HANG'!$A:$A,0)),"Không tìm thấy"))</f>
        <v/>
      </c>
      <c r="E558">
        <f>IF(C558="","",IFERROR(INDEX('30_NGAN_HANG'!$Y:$Y,MATCH(C558,'30_NGAN_HANG'!$A:$A,0)),""))</f>
        <v/>
      </c>
    </row>
    <row r="559">
      <c r="D559">
        <f>IF(C559="","",IFERROR(INDEX('30_NGAN_HANG'!$D:$D,MATCH(C559,'30_NGAN_HANG'!$A:$A,0)),"Không tìm thấy"))</f>
        <v/>
      </c>
      <c r="E559">
        <f>IF(C559="","",IFERROR(INDEX('30_NGAN_HANG'!$Y:$Y,MATCH(C559,'30_NGAN_HANG'!$A:$A,0)),""))</f>
        <v/>
      </c>
    </row>
    <row r="560">
      <c r="D560">
        <f>IF(C560="","",IFERROR(INDEX('30_NGAN_HANG'!$D:$D,MATCH(C560,'30_NGAN_HANG'!$A:$A,0)),"Không tìm thấy"))</f>
        <v/>
      </c>
      <c r="E560">
        <f>IF(C560="","",IFERROR(INDEX('30_NGAN_HANG'!$Y:$Y,MATCH(C560,'30_NGAN_HANG'!$A:$A,0)),""))</f>
        <v/>
      </c>
    </row>
    <row r="561">
      <c r="D561">
        <f>IF(C561="","",IFERROR(INDEX('30_NGAN_HANG'!$D:$D,MATCH(C561,'30_NGAN_HANG'!$A:$A,0)),"Không tìm thấy"))</f>
        <v/>
      </c>
      <c r="E561">
        <f>IF(C561="","",IFERROR(INDEX('30_NGAN_HANG'!$Y:$Y,MATCH(C561,'30_NGAN_HANG'!$A:$A,0)),""))</f>
        <v/>
      </c>
    </row>
    <row r="562">
      <c r="D562">
        <f>IF(C562="","",IFERROR(INDEX('30_NGAN_HANG'!$D:$D,MATCH(C562,'30_NGAN_HANG'!$A:$A,0)),"Không tìm thấy"))</f>
        <v/>
      </c>
      <c r="E562">
        <f>IF(C562="","",IFERROR(INDEX('30_NGAN_HANG'!$Y:$Y,MATCH(C562,'30_NGAN_HANG'!$A:$A,0)),""))</f>
        <v/>
      </c>
    </row>
    <row r="563">
      <c r="D563">
        <f>IF(C563="","",IFERROR(INDEX('30_NGAN_HANG'!$D:$D,MATCH(C563,'30_NGAN_HANG'!$A:$A,0)),"Không tìm thấy"))</f>
        <v/>
      </c>
      <c r="E563">
        <f>IF(C563="","",IFERROR(INDEX('30_NGAN_HANG'!$Y:$Y,MATCH(C563,'30_NGAN_HANG'!$A:$A,0)),""))</f>
        <v/>
      </c>
    </row>
    <row r="564">
      <c r="D564">
        <f>IF(C564="","",IFERROR(INDEX('30_NGAN_HANG'!$D:$D,MATCH(C564,'30_NGAN_HANG'!$A:$A,0)),"Không tìm thấy"))</f>
        <v/>
      </c>
      <c r="E564">
        <f>IF(C564="","",IFERROR(INDEX('30_NGAN_HANG'!$Y:$Y,MATCH(C564,'30_NGAN_HANG'!$A:$A,0)),""))</f>
        <v/>
      </c>
    </row>
    <row r="565">
      <c r="D565">
        <f>IF(C565="","",IFERROR(INDEX('30_NGAN_HANG'!$D:$D,MATCH(C565,'30_NGAN_HANG'!$A:$A,0)),"Không tìm thấy"))</f>
        <v/>
      </c>
      <c r="E565">
        <f>IF(C565="","",IFERROR(INDEX('30_NGAN_HANG'!$Y:$Y,MATCH(C565,'30_NGAN_HANG'!$A:$A,0)),""))</f>
        <v/>
      </c>
    </row>
    <row r="566">
      <c r="D566">
        <f>IF(C566="","",IFERROR(INDEX('30_NGAN_HANG'!$D:$D,MATCH(C566,'30_NGAN_HANG'!$A:$A,0)),"Không tìm thấy"))</f>
        <v/>
      </c>
      <c r="E566">
        <f>IF(C566="","",IFERROR(INDEX('30_NGAN_HANG'!$Y:$Y,MATCH(C566,'30_NGAN_HANG'!$A:$A,0)),""))</f>
        <v/>
      </c>
    </row>
    <row r="567">
      <c r="D567">
        <f>IF(C567="","",IFERROR(INDEX('30_NGAN_HANG'!$D:$D,MATCH(C567,'30_NGAN_HANG'!$A:$A,0)),"Không tìm thấy"))</f>
        <v/>
      </c>
      <c r="E567">
        <f>IF(C567="","",IFERROR(INDEX('30_NGAN_HANG'!$Y:$Y,MATCH(C567,'30_NGAN_HANG'!$A:$A,0)),""))</f>
        <v/>
      </c>
    </row>
    <row r="568">
      <c r="D568">
        <f>IF(C568="","",IFERROR(INDEX('30_NGAN_HANG'!$D:$D,MATCH(C568,'30_NGAN_HANG'!$A:$A,0)),"Không tìm thấy"))</f>
        <v/>
      </c>
      <c r="E568">
        <f>IF(C568="","",IFERROR(INDEX('30_NGAN_HANG'!$Y:$Y,MATCH(C568,'30_NGAN_HANG'!$A:$A,0)),""))</f>
        <v/>
      </c>
    </row>
    <row r="569">
      <c r="D569">
        <f>IF(C569="","",IFERROR(INDEX('30_NGAN_HANG'!$D:$D,MATCH(C569,'30_NGAN_HANG'!$A:$A,0)),"Không tìm thấy"))</f>
        <v/>
      </c>
      <c r="E569">
        <f>IF(C569="","",IFERROR(INDEX('30_NGAN_HANG'!$Y:$Y,MATCH(C569,'30_NGAN_HANG'!$A:$A,0)),""))</f>
        <v/>
      </c>
    </row>
    <row r="570">
      <c r="D570">
        <f>IF(C570="","",IFERROR(INDEX('30_NGAN_HANG'!$D:$D,MATCH(C570,'30_NGAN_HANG'!$A:$A,0)),"Không tìm thấy"))</f>
        <v/>
      </c>
      <c r="E570">
        <f>IF(C570="","",IFERROR(INDEX('30_NGAN_HANG'!$Y:$Y,MATCH(C570,'30_NGAN_HANG'!$A:$A,0)),""))</f>
        <v/>
      </c>
    </row>
    <row r="571">
      <c r="D571">
        <f>IF(C571="","",IFERROR(INDEX('30_NGAN_HANG'!$D:$D,MATCH(C571,'30_NGAN_HANG'!$A:$A,0)),"Không tìm thấy"))</f>
        <v/>
      </c>
      <c r="E571">
        <f>IF(C571="","",IFERROR(INDEX('30_NGAN_HANG'!$Y:$Y,MATCH(C571,'30_NGAN_HANG'!$A:$A,0)),""))</f>
        <v/>
      </c>
    </row>
    <row r="572">
      <c r="D572">
        <f>IF(C572="","",IFERROR(INDEX('30_NGAN_HANG'!$D:$D,MATCH(C572,'30_NGAN_HANG'!$A:$A,0)),"Không tìm thấy"))</f>
        <v/>
      </c>
      <c r="E572">
        <f>IF(C572="","",IFERROR(INDEX('30_NGAN_HANG'!$Y:$Y,MATCH(C572,'30_NGAN_HANG'!$A:$A,0)),""))</f>
        <v/>
      </c>
    </row>
    <row r="573">
      <c r="D573">
        <f>IF(C573="","",IFERROR(INDEX('30_NGAN_HANG'!$D:$D,MATCH(C573,'30_NGAN_HANG'!$A:$A,0)),"Không tìm thấy"))</f>
        <v/>
      </c>
      <c r="E573">
        <f>IF(C573="","",IFERROR(INDEX('30_NGAN_HANG'!$Y:$Y,MATCH(C573,'30_NGAN_HANG'!$A:$A,0)),""))</f>
        <v/>
      </c>
    </row>
    <row r="574">
      <c r="D574">
        <f>IF(C574="","",IFERROR(INDEX('30_NGAN_HANG'!$D:$D,MATCH(C574,'30_NGAN_HANG'!$A:$A,0)),"Không tìm thấy"))</f>
        <v/>
      </c>
      <c r="E574">
        <f>IF(C574="","",IFERROR(INDEX('30_NGAN_HANG'!$Y:$Y,MATCH(C574,'30_NGAN_HANG'!$A:$A,0)),""))</f>
        <v/>
      </c>
    </row>
    <row r="575">
      <c r="D575">
        <f>IF(C575="","",IFERROR(INDEX('30_NGAN_HANG'!$D:$D,MATCH(C575,'30_NGAN_HANG'!$A:$A,0)),"Không tìm thấy"))</f>
        <v/>
      </c>
      <c r="E575">
        <f>IF(C575="","",IFERROR(INDEX('30_NGAN_HANG'!$Y:$Y,MATCH(C575,'30_NGAN_HANG'!$A:$A,0)),""))</f>
        <v/>
      </c>
    </row>
    <row r="576">
      <c r="D576">
        <f>IF(C576="","",IFERROR(INDEX('30_NGAN_HANG'!$D:$D,MATCH(C576,'30_NGAN_HANG'!$A:$A,0)),"Không tìm thấy"))</f>
        <v/>
      </c>
      <c r="E576">
        <f>IF(C576="","",IFERROR(INDEX('30_NGAN_HANG'!$Y:$Y,MATCH(C576,'30_NGAN_HANG'!$A:$A,0)),""))</f>
        <v/>
      </c>
    </row>
    <row r="577">
      <c r="D577">
        <f>IF(C577="","",IFERROR(INDEX('30_NGAN_HANG'!$D:$D,MATCH(C577,'30_NGAN_HANG'!$A:$A,0)),"Không tìm thấy"))</f>
        <v/>
      </c>
      <c r="E577">
        <f>IF(C577="","",IFERROR(INDEX('30_NGAN_HANG'!$Y:$Y,MATCH(C577,'30_NGAN_HANG'!$A:$A,0)),""))</f>
        <v/>
      </c>
    </row>
    <row r="578">
      <c r="D578">
        <f>IF(C578="","",IFERROR(INDEX('30_NGAN_HANG'!$D:$D,MATCH(C578,'30_NGAN_HANG'!$A:$A,0)),"Không tìm thấy"))</f>
        <v/>
      </c>
      <c r="E578">
        <f>IF(C578="","",IFERROR(INDEX('30_NGAN_HANG'!$Y:$Y,MATCH(C578,'30_NGAN_HANG'!$A:$A,0)),""))</f>
        <v/>
      </c>
    </row>
    <row r="579">
      <c r="D579">
        <f>IF(C579="","",IFERROR(INDEX('30_NGAN_HANG'!$D:$D,MATCH(C579,'30_NGAN_HANG'!$A:$A,0)),"Không tìm thấy"))</f>
        <v/>
      </c>
      <c r="E579">
        <f>IF(C579="","",IFERROR(INDEX('30_NGAN_HANG'!$Y:$Y,MATCH(C579,'30_NGAN_HANG'!$A:$A,0)),""))</f>
        <v/>
      </c>
    </row>
    <row r="580">
      <c r="D580">
        <f>IF(C580="","",IFERROR(INDEX('30_NGAN_HANG'!$D:$D,MATCH(C580,'30_NGAN_HANG'!$A:$A,0)),"Không tìm thấy"))</f>
        <v/>
      </c>
      <c r="E580">
        <f>IF(C580="","",IFERROR(INDEX('30_NGAN_HANG'!$Y:$Y,MATCH(C580,'30_NGAN_HANG'!$A:$A,0)),""))</f>
        <v/>
      </c>
    </row>
    <row r="581">
      <c r="D581">
        <f>IF(C581="","",IFERROR(INDEX('30_NGAN_HANG'!$D:$D,MATCH(C581,'30_NGAN_HANG'!$A:$A,0)),"Không tìm thấy"))</f>
        <v/>
      </c>
      <c r="E581">
        <f>IF(C581="","",IFERROR(INDEX('30_NGAN_HANG'!$Y:$Y,MATCH(C581,'30_NGAN_HANG'!$A:$A,0)),""))</f>
        <v/>
      </c>
    </row>
    <row r="582">
      <c r="D582">
        <f>IF(C582="","",IFERROR(INDEX('30_NGAN_HANG'!$D:$D,MATCH(C582,'30_NGAN_HANG'!$A:$A,0)),"Không tìm thấy"))</f>
        <v/>
      </c>
      <c r="E582">
        <f>IF(C582="","",IFERROR(INDEX('30_NGAN_HANG'!$Y:$Y,MATCH(C582,'30_NGAN_HANG'!$A:$A,0)),""))</f>
        <v/>
      </c>
    </row>
    <row r="583">
      <c r="D583">
        <f>IF(C583="","",IFERROR(INDEX('30_NGAN_HANG'!$D:$D,MATCH(C583,'30_NGAN_HANG'!$A:$A,0)),"Không tìm thấy"))</f>
        <v/>
      </c>
      <c r="E583">
        <f>IF(C583="","",IFERROR(INDEX('30_NGAN_HANG'!$Y:$Y,MATCH(C583,'30_NGAN_HANG'!$A:$A,0)),""))</f>
        <v/>
      </c>
    </row>
    <row r="584">
      <c r="D584">
        <f>IF(C584="","",IFERROR(INDEX('30_NGAN_HANG'!$D:$D,MATCH(C584,'30_NGAN_HANG'!$A:$A,0)),"Không tìm thấy"))</f>
        <v/>
      </c>
      <c r="E584">
        <f>IF(C584="","",IFERROR(INDEX('30_NGAN_HANG'!$Y:$Y,MATCH(C584,'30_NGAN_HANG'!$A:$A,0)),""))</f>
        <v/>
      </c>
    </row>
    <row r="585">
      <c r="D585">
        <f>IF(C585="","",IFERROR(INDEX('30_NGAN_HANG'!$D:$D,MATCH(C585,'30_NGAN_HANG'!$A:$A,0)),"Không tìm thấy"))</f>
        <v/>
      </c>
      <c r="E585">
        <f>IF(C585="","",IFERROR(INDEX('30_NGAN_HANG'!$Y:$Y,MATCH(C585,'30_NGAN_HANG'!$A:$A,0)),""))</f>
        <v/>
      </c>
    </row>
    <row r="586">
      <c r="D586">
        <f>IF(C586="","",IFERROR(INDEX('30_NGAN_HANG'!$D:$D,MATCH(C586,'30_NGAN_HANG'!$A:$A,0)),"Không tìm thấy"))</f>
        <v/>
      </c>
      <c r="E586">
        <f>IF(C586="","",IFERROR(INDEX('30_NGAN_HANG'!$Y:$Y,MATCH(C586,'30_NGAN_HANG'!$A:$A,0)),""))</f>
        <v/>
      </c>
    </row>
    <row r="587">
      <c r="D587">
        <f>IF(C587="","",IFERROR(INDEX('30_NGAN_HANG'!$D:$D,MATCH(C587,'30_NGAN_HANG'!$A:$A,0)),"Không tìm thấy"))</f>
        <v/>
      </c>
      <c r="E587">
        <f>IF(C587="","",IFERROR(INDEX('30_NGAN_HANG'!$Y:$Y,MATCH(C587,'30_NGAN_HANG'!$A:$A,0)),""))</f>
        <v/>
      </c>
    </row>
    <row r="588">
      <c r="D588">
        <f>IF(C588="","",IFERROR(INDEX('30_NGAN_HANG'!$D:$D,MATCH(C588,'30_NGAN_HANG'!$A:$A,0)),"Không tìm thấy"))</f>
        <v/>
      </c>
      <c r="E588">
        <f>IF(C588="","",IFERROR(INDEX('30_NGAN_HANG'!$Y:$Y,MATCH(C588,'30_NGAN_HANG'!$A:$A,0)),""))</f>
        <v/>
      </c>
    </row>
    <row r="589">
      <c r="D589">
        <f>IF(C589="","",IFERROR(INDEX('30_NGAN_HANG'!$D:$D,MATCH(C589,'30_NGAN_HANG'!$A:$A,0)),"Không tìm thấy"))</f>
        <v/>
      </c>
      <c r="E589">
        <f>IF(C589="","",IFERROR(INDEX('30_NGAN_HANG'!$Y:$Y,MATCH(C589,'30_NGAN_HANG'!$A:$A,0)),""))</f>
        <v/>
      </c>
    </row>
    <row r="590">
      <c r="D590">
        <f>IF(C590="","",IFERROR(INDEX('30_NGAN_HANG'!$D:$D,MATCH(C590,'30_NGAN_HANG'!$A:$A,0)),"Không tìm thấy"))</f>
        <v/>
      </c>
      <c r="E590">
        <f>IF(C590="","",IFERROR(INDEX('30_NGAN_HANG'!$Y:$Y,MATCH(C590,'30_NGAN_HANG'!$A:$A,0)),""))</f>
        <v/>
      </c>
    </row>
    <row r="591">
      <c r="D591">
        <f>IF(C591="","",IFERROR(INDEX('30_NGAN_HANG'!$D:$D,MATCH(C591,'30_NGAN_HANG'!$A:$A,0)),"Không tìm thấy"))</f>
        <v/>
      </c>
      <c r="E591">
        <f>IF(C591="","",IFERROR(INDEX('30_NGAN_HANG'!$Y:$Y,MATCH(C591,'30_NGAN_HANG'!$A:$A,0)),""))</f>
        <v/>
      </c>
    </row>
    <row r="592">
      <c r="D592">
        <f>IF(C592="","",IFERROR(INDEX('30_NGAN_HANG'!$D:$D,MATCH(C592,'30_NGAN_HANG'!$A:$A,0)),"Không tìm thấy"))</f>
        <v/>
      </c>
      <c r="E592">
        <f>IF(C592="","",IFERROR(INDEX('30_NGAN_HANG'!$Y:$Y,MATCH(C592,'30_NGAN_HANG'!$A:$A,0)),""))</f>
        <v/>
      </c>
    </row>
    <row r="593">
      <c r="D593">
        <f>IF(C593="","",IFERROR(INDEX('30_NGAN_HANG'!$D:$D,MATCH(C593,'30_NGAN_HANG'!$A:$A,0)),"Không tìm thấy"))</f>
        <v/>
      </c>
      <c r="E593">
        <f>IF(C593="","",IFERROR(INDEX('30_NGAN_HANG'!$Y:$Y,MATCH(C593,'30_NGAN_HANG'!$A:$A,0)),""))</f>
        <v/>
      </c>
    </row>
    <row r="594">
      <c r="D594">
        <f>IF(C594="","",IFERROR(INDEX('30_NGAN_HANG'!$D:$D,MATCH(C594,'30_NGAN_HANG'!$A:$A,0)),"Không tìm thấy"))</f>
        <v/>
      </c>
      <c r="E594">
        <f>IF(C594="","",IFERROR(INDEX('30_NGAN_HANG'!$Y:$Y,MATCH(C594,'30_NGAN_HANG'!$A:$A,0)),""))</f>
        <v/>
      </c>
    </row>
    <row r="595">
      <c r="D595">
        <f>IF(C595="","",IFERROR(INDEX('30_NGAN_HANG'!$D:$D,MATCH(C595,'30_NGAN_HANG'!$A:$A,0)),"Không tìm thấy"))</f>
        <v/>
      </c>
      <c r="E595">
        <f>IF(C595="","",IFERROR(INDEX('30_NGAN_HANG'!$Y:$Y,MATCH(C595,'30_NGAN_HANG'!$A:$A,0)),""))</f>
        <v/>
      </c>
    </row>
    <row r="596">
      <c r="D596">
        <f>IF(C596="","",IFERROR(INDEX('30_NGAN_HANG'!$D:$D,MATCH(C596,'30_NGAN_HANG'!$A:$A,0)),"Không tìm thấy"))</f>
        <v/>
      </c>
      <c r="E596">
        <f>IF(C596="","",IFERROR(INDEX('30_NGAN_HANG'!$Y:$Y,MATCH(C596,'30_NGAN_HANG'!$A:$A,0)),""))</f>
        <v/>
      </c>
    </row>
    <row r="597">
      <c r="D597">
        <f>IF(C597="","",IFERROR(INDEX('30_NGAN_HANG'!$D:$D,MATCH(C597,'30_NGAN_HANG'!$A:$A,0)),"Không tìm thấy"))</f>
        <v/>
      </c>
      <c r="E597">
        <f>IF(C597="","",IFERROR(INDEX('30_NGAN_HANG'!$Y:$Y,MATCH(C597,'30_NGAN_HANG'!$A:$A,0)),""))</f>
        <v/>
      </c>
    </row>
    <row r="598">
      <c r="D598">
        <f>IF(C598="","",IFERROR(INDEX('30_NGAN_HANG'!$D:$D,MATCH(C598,'30_NGAN_HANG'!$A:$A,0)),"Không tìm thấy"))</f>
        <v/>
      </c>
      <c r="E598">
        <f>IF(C598="","",IFERROR(INDEX('30_NGAN_HANG'!$Y:$Y,MATCH(C598,'30_NGAN_HANG'!$A:$A,0)),""))</f>
        <v/>
      </c>
    </row>
    <row r="599">
      <c r="D599">
        <f>IF(C599="","",IFERROR(INDEX('30_NGAN_HANG'!$D:$D,MATCH(C599,'30_NGAN_HANG'!$A:$A,0)),"Không tìm thấy"))</f>
        <v/>
      </c>
      <c r="E599">
        <f>IF(C599="","",IFERROR(INDEX('30_NGAN_HANG'!$Y:$Y,MATCH(C599,'30_NGAN_HANG'!$A:$A,0)),""))</f>
        <v/>
      </c>
    </row>
    <row r="600">
      <c r="D600">
        <f>IF(C600="","",IFERROR(INDEX('30_NGAN_HANG'!$D:$D,MATCH(C600,'30_NGAN_HANG'!$A:$A,0)),"Không tìm thấy"))</f>
        <v/>
      </c>
      <c r="E600">
        <f>IF(C600="","",IFERROR(INDEX('30_NGAN_HANG'!$Y:$Y,MATCH(C600,'30_NGAN_HANG'!$A:$A,0)),""))</f>
        <v/>
      </c>
    </row>
    <row r="601">
      <c r="D601">
        <f>IF(C601="","",IFERROR(INDEX('30_NGAN_HANG'!$D:$D,MATCH(C601,'30_NGAN_HANG'!$A:$A,0)),"Không tìm thấy"))</f>
        <v/>
      </c>
      <c r="E601">
        <f>IF(C601="","",IFERROR(INDEX('30_NGAN_HANG'!$Y:$Y,MATCH(C601,'30_NGAN_HANG'!$A:$A,0)),""))</f>
        <v/>
      </c>
    </row>
    <row r="602">
      <c r="D602">
        <f>IF(C602="","",IFERROR(INDEX('30_NGAN_HANG'!$D:$D,MATCH(C602,'30_NGAN_HANG'!$A:$A,0)),"Không tìm thấy"))</f>
        <v/>
      </c>
      <c r="E602">
        <f>IF(C602="","",IFERROR(INDEX('30_NGAN_HANG'!$Y:$Y,MATCH(C602,'30_NGAN_HANG'!$A:$A,0)),""))</f>
        <v/>
      </c>
    </row>
    <row r="603">
      <c r="D603">
        <f>IF(C603="","",IFERROR(INDEX('30_NGAN_HANG'!$D:$D,MATCH(C603,'30_NGAN_HANG'!$A:$A,0)),"Không tìm thấy"))</f>
        <v/>
      </c>
      <c r="E603">
        <f>IF(C603="","",IFERROR(INDEX('30_NGAN_HANG'!$Y:$Y,MATCH(C603,'30_NGAN_HANG'!$A:$A,0)),""))</f>
        <v/>
      </c>
    </row>
    <row r="604">
      <c r="D604">
        <f>IF(C604="","",IFERROR(INDEX('30_NGAN_HANG'!$D:$D,MATCH(C604,'30_NGAN_HANG'!$A:$A,0)),"Không tìm thấy"))</f>
        <v/>
      </c>
      <c r="E604">
        <f>IF(C604="","",IFERROR(INDEX('30_NGAN_HANG'!$Y:$Y,MATCH(C604,'30_NGAN_HANG'!$A:$A,0)),""))</f>
        <v/>
      </c>
    </row>
    <row r="605">
      <c r="D605">
        <f>IF(C605="","",IFERROR(INDEX('30_NGAN_HANG'!$D:$D,MATCH(C605,'30_NGAN_HANG'!$A:$A,0)),"Không tìm thấy"))</f>
        <v/>
      </c>
      <c r="E605">
        <f>IF(C605="","",IFERROR(INDEX('30_NGAN_HANG'!$Y:$Y,MATCH(C605,'30_NGAN_HANG'!$A:$A,0)),""))</f>
        <v/>
      </c>
    </row>
    <row r="606">
      <c r="D606">
        <f>IF(C606="","",IFERROR(INDEX('30_NGAN_HANG'!$D:$D,MATCH(C606,'30_NGAN_HANG'!$A:$A,0)),"Không tìm thấy"))</f>
        <v/>
      </c>
      <c r="E606">
        <f>IF(C606="","",IFERROR(INDEX('30_NGAN_HANG'!$Y:$Y,MATCH(C606,'30_NGAN_HANG'!$A:$A,0)),""))</f>
        <v/>
      </c>
    </row>
    <row r="607">
      <c r="D607">
        <f>IF(C607="","",IFERROR(INDEX('30_NGAN_HANG'!$D:$D,MATCH(C607,'30_NGAN_HANG'!$A:$A,0)),"Không tìm thấy"))</f>
        <v/>
      </c>
      <c r="E607">
        <f>IF(C607="","",IFERROR(INDEX('30_NGAN_HANG'!$Y:$Y,MATCH(C607,'30_NGAN_HANG'!$A:$A,0)),""))</f>
        <v/>
      </c>
    </row>
    <row r="608">
      <c r="D608">
        <f>IF(C608="","",IFERROR(INDEX('30_NGAN_HANG'!$D:$D,MATCH(C608,'30_NGAN_HANG'!$A:$A,0)),"Không tìm thấy"))</f>
        <v/>
      </c>
      <c r="E608">
        <f>IF(C608="","",IFERROR(INDEX('30_NGAN_HANG'!$Y:$Y,MATCH(C608,'30_NGAN_HANG'!$A:$A,0)),""))</f>
        <v/>
      </c>
    </row>
    <row r="609">
      <c r="D609">
        <f>IF(C609="","",IFERROR(INDEX('30_NGAN_HANG'!$D:$D,MATCH(C609,'30_NGAN_HANG'!$A:$A,0)),"Không tìm thấy"))</f>
        <v/>
      </c>
      <c r="E609">
        <f>IF(C609="","",IFERROR(INDEX('30_NGAN_HANG'!$Y:$Y,MATCH(C609,'30_NGAN_HANG'!$A:$A,0)),""))</f>
        <v/>
      </c>
    </row>
    <row r="610">
      <c r="D610">
        <f>IF(C610="","",IFERROR(INDEX('30_NGAN_HANG'!$D:$D,MATCH(C610,'30_NGAN_HANG'!$A:$A,0)),"Không tìm thấy"))</f>
        <v/>
      </c>
      <c r="E610">
        <f>IF(C610="","",IFERROR(INDEX('30_NGAN_HANG'!$Y:$Y,MATCH(C610,'30_NGAN_HANG'!$A:$A,0)),""))</f>
        <v/>
      </c>
    </row>
    <row r="611">
      <c r="D611">
        <f>IF(C611="","",IFERROR(INDEX('30_NGAN_HANG'!$D:$D,MATCH(C611,'30_NGAN_HANG'!$A:$A,0)),"Không tìm thấy"))</f>
        <v/>
      </c>
      <c r="E611">
        <f>IF(C611="","",IFERROR(INDEX('30_NGAN_HANG'!$Y:$Y,MATCH(C611,'30_NGAN_HANG'!$A:$A,0)),""))</f>
        <v/>
      </c>
    </row>
    <row r="612">
      <c r="D612">
        <f>IF(C612="","",IFERROR(INDEX('30_NGAN_HANG'!$D:$D,MATCH(C612,'30_NGAN_HANG'!$A:$A,0)),"Không tìm thấy"))</f>
        <v/>
      </c>
      <c r="E612">
        <f>IF(C612="","",IFERROR(INDEX('30_NGAN_HANG'!$Y:$Y,MATCH(C612,'30_NGAN_HANG'!$A:$A,0)),""))</f>
        <v/>
      </c>
    </row>
    <row r="613">
      <c r="D613">
        <f>IF(C613="","",IFERROR(INDEX('30_NGAN_HANG'!$D:$D,MATCH(C613,'30_NGAN_HANG'!$A:$A,0)),"Không tìm thấy"))</f>
        <v/>
      </c>
      <c r="E613">
        <f>IF(C613="","",IFERROR(INDEX('30_NGAN_HANG'!$Y:$Y,MATCH(C613,'30_NGAN_HANG'!$A:$A,0)),""))</f>
        <v/>
      </c>
    </row>
    <row r="614">
      <c r="D614">
        <f>IF(C614="","",IFERROR(INDEX('30_NGAN_HANG'!$D:$D,MATCH(C614,'30_NGAN_HANG'!$A:$A,0)),"Không tìm thấy"))</f>
        <v/>
      </c>
      <c r="E614">
        <f>IF(C614="","",IFERROR(INDEX('30_NGAN_HANG'!$Y:$Y,MATCH(C614,'30_NGAN_HANG'!$A:$A,0)),""))</f>
        <v/>
      </c>
    </row>
    <row r="615">
      <c r="D615">
        <f>IF(C615="","",IFERROR(INDEX('30_NGAN_HANG'!$D:$D,MATCH(C615,'30_NGAN_HANG'!$A:$A,0)),"Không tìm thấy"))</f>
        <v/>
      </c>
      <c r="E615">
        <f>IF(C615="","",IFERROR(INDEX('30_NGAN_HANG'!$Y:$Y,MATCH(C615,'30_NGAN_HANG'!$A:$A,0)),""))</f>
        <v/>
      </c>
    </row>
    <row r="616">
      <c r="D616">
        <f>IF(C616="","",IFERROR(INDEX('30_NGAN_HANG'!$D:$D,MATCH(C616,'30_NGAN_HANG'!$A:$A,0)),"Không tìm thấy"))</f>
        <v/>
      </c>
      <c r="E616">
        <f>IF(C616="","",IFERROR(INDEX('30_NGAN_HANG'!$Y:$Y,MATCH(C616,'30_NGAN_HANG'!$A:$A,0)),""))</f>
        <v/>
      </c>
    </row>
    <row r="617">
      <c r="D617">
        <f>IF(C617="","",IFERROR(INDEX('30_NGAN_HANG'!$D:$D,MATCH(C617,'30_NGAN_HANG'!$A:$A,0)),"Không tìm thấy"))</f>
        <v/>
      </c>
      <c r="E617">
        <f>IF(C617="","",IFERROR(INDEX('30_NGAN_HANG'!$Y:$Y,MATCH(C617,'30_NGAN_HANG'!$A:$A,0)),""))</f>
        <v/>
      </c>
    </row>
    <row r="618">
      <c r="D618">
        <f>IF(C618="","",IFERROR(INDEX('30_NGAN_HANG'!$D:$D,MATCH(C618,'30_NGAN_HANG'!$A:$A,0)),"Không tìm thấy"))</f>
        <v/>
      </c>
      <c r="E618">
        <f>IF(C618="","",IFERROR(INDEX('30_NGAN_HANG'!$Y:$Y,MATCH(C618,'30_NGAN_HANG'!$A:$A,0)),""))</f>
        <v/>
      </c>
    </row>
    <row r="619">
      <c r="D619">
        <f>IF(C619="","",IFERROR(INDEX('30_NGAN_HANG'!$D:$D,MATCH(C619,'30_NGAN_HANG'!$A:$A,0)),"Không tìm thấy"))</f>
        <v/>
      </c>
      <c r="E619">
        <f>IF(C619="","",IFERROR(INDEX('30_NGAN_HANG'!$Y:$Y,MATCH(C619,'30_NGAN_HANG'!$A:$A,0)),""))</f>
        <v/>
      </c>
    </row>
    <row r="620">
      <c r="D620">
        <f>IF(C620="","",IFERROR(INDEX('30_NGAN_HANG'!$D:$D,MATCH(C620,'30_NGAN_HANG'!$A:$A,0)),"Không tìm thấy"))</f>
        <v/>
      </c>
      <c r="E620">
        <f>IF(C620="","",IFERROR(INDEX('30_NGAN_HANG'!$Y:$Y,MATCH(C620,'30_NGAN_HANG'!$A:$A,0)),""))</f>
        <v/>
      </c>
    </row>
    <row r="621">
      <c r="D621">
        <f>IF(C621="","",IFERROR(INDEX('30_NGAN_HANG'!$D:$D,MATCH(C621,'30_NGAN_HANG'!$A:$A,0)),"Không tìm thấy"))</f>
        <v/>
      </c>
      <c r="E621">
        <f>IF(C621="","",IFERROR(INDEX('30_NGAN_HANG'!$Y:$Y,MATCH(C621,'30_NGAN_HANG'!$A:$A,0)),""))</f>
        <v/>
      </c>
    </row>
    <row r="622">
      <c r="D622">
        <f>IF(C622="","",IFERROR(INDEX('30_NGAN_HANG'!$D:$D,MATCH(C622,'30_NGAN_HANG'!$A:$A,0)),"Không tìm thấy"))</f>
        <v/>
      </c>
      <c r="E622">
        <f>IF(C622="","",IFERROR(INDEX('30_NGAN_HANG'!$Y:$Y,MATCH(C622,'30_NGAN_HANG'!$A:$A,0)),""))</f>
        <v/>
      </c>
    </row>
    <row r="623">
      <c r="D623">
        <f>IF(C623="","",IFERROR(INDEX('30_NGAN_HANG'!$D:$D,MATCH(C623,'30_NGAN_HANG'!$A:$A,0)),"Không tìm thấy"))</f>
        <v/>
      </c>
      <c r="E623">
        <f>IF(C623="","",IFERROR(INDEX('30_NGAN_HANG'!$Y:$Y,MATCH(C623,'30_NGAN_HANG'!$A:$A,0)),""))</f>
        <v/>
      </c>
    </row>
    <row r="624">
      <c r="D624">
        <f>IF(C624="","",IFERROR(INDEX('30_NGAN_HANG'!$D:$D,MATCH(C624,'30_NGAN_HANG'!$A:$A,0)),"Không tìm thấy"))</f>
        <v/>
      </c>
      <c r="E624">
        <f>IF(C624="","",IFERROR(INDEX('30_NGAN_HANG'!$Y:$Y,MATCH(C624,'30_NGAN_HANG'!$A:$A,0)),""))</f>
        <v/>
      </c>
    </row>
    <row r="625">
      <c r="D625">
        <f>IF(C625="","",IFERROR(INDEX('30_NGAN_HANG'!$D:$D,MATCH(C625,'30_NGAN_HANG'!$A:$A,0)),"Không tìm thấy"))</f>
        <v/>
      </c>
      <c r="E625">
        <f>IF(C625="","",IFERROR(INDEX('30_NGAN_HANG'!$Y:$Y,MATCH(C625,'30_NGAN_HANG'!$A:$A,0)),""))</f>
        <v/>
      </c>
    </row>
    <row r="626">
      <c r="D626">
        <f>IF(C626="","",IFERROR(INDEX('30_NGAN_HANG'!$D:$D,MATCH(C626,'30_NGAN_HANG'!$A:$A,0)),"Không tìm thấy"))</f>
        <v/>
      </c>
      <c r="E626">
        <f>IF(C626="","",IFERROR(INDEX('30_NGAN_HANG'!$Y:$Y,MATCH(C626,'30_NGAN_HANG'!$A:$A,0)),""))</f>
        <v/>
      </c>
    </row>
    <row r="627">
      <c r="D627">
        <f>IF(C627="","",IFERROR(INDEX('30_NGAN_HANG'!$D:$D,MATCH(C627,'30_NGAN_HANG'!$A:$A,0)),"Không tìm thấy"))</f>
        <v/>
      </c>
      <c r="E627">
        <f>IF(C627="","",IFERROR(INDEX('30_NGAN_HANG'!$Y:$Y,MATCH(C627,'30_NGAN_HANG'!$A:$A,0)),""))</f>
        <v/>
      </c>
    </row>
    <row r="628">
      <c r="D628">
        <f>IF(C628="","",IFERROR(INDEX('30_NGAN_HANG'!$D:$D,MATCH(C628,'30_NGAN_HANG'!$A:$A,0)),"Không tìm thấy"))</f>
        <v/>
      </c>
      <c r="E628">
        <f>IF(C628="","",IFERROR(INDEX('30_NGAN_HANG'!$Y:$Y,MATCH(C628,'30_NGAN_HANG'!$A:$A,0)),""))</f>
        <v/>
      </c>
    </row>
    <row r="629">
      <c r="D629">
        <f>IF(C629="","",IFERROR(INDEX('30_NGAN_HANG'!$D:$D,MATCH(C629,'30_NGAN_HANG'!$A:$A,0)),"Không tìm thấy"))</f>
        <v/>
      </c>
      <c r="E629">
        <f>IF(C629="","",IFERROR(INDEX('30_NGAN_HANG'!$Y:$Y,MATCH(C629,'30_NGAN_HANG'!$A:$A,0)),""))</f>
        <v/>
      </c>
    </row>
    <row r="630">
      <c r="D630">
        <f>IF(C630="","",IFERROR(INDEX('30_NGAN_HANG'!$D:$D,MATCH(C630,'30_NGAN_HANG'!$A:$A,0)),"Không tìm thấy"))</f>
        <v/>
      </c>
      <c r="E630">
        <f>IF(C630="","",IFERROR(INDEX('30_NGAN_HANG'!$Y:$Y,MATCH(C630,'30_NGAN_HANG'!$A:$A,0)),""))</f>
        <v/>
      </c>
    </row>
    <row r="631">
      <c r="D631">
        <f>IF(C631="","",IFERROR(INDEX('30_NGAN_HANG'!$D:$D,MATCH(C631,'30_NGAN_HANG'!$A:$A,0)),"Không tìm thấy"))</f>
        <v/>
      </c>
      <c r="E631">
        <f>IF(C631="","",IFERROR(INDEX('30_NGAN_HANG'!$Y:$Y,MATCH(C631,'30_NGAN_HANG'!$A:$A,0)),""))</f>
        <v/>
      </c>
    </row>
    <row r="632">
      <c r="D632">
        <f>IF(C632="","",IFERROR(INDEX('30_NGAN_HANG'!$D:$D,MATCH(C632,'30_NGAN_HANG'!$A:$A,0)),"Không tìm thấy"))</f>
        <v/>
      </c>
      <c r="E632">
        <f>IF(C632="","",IFERROR(INDEX('30_NGAN_HANG'!$Y:$Y,MATCH(C632,'30_NGAN_HANG'!$A:$A,0)),""))</f>
        <v/>
      </c>
    </row>
    <row r="633">
      <c r="D633">
        <f>IF(C633="","",IFERROR(INDEX('30_NGAN_HANG'!$D:$D,MATCH(C633,'30_NGAN_HANG'!$A:$A,0)),"Không tìm thấy"))</f>
        <v/>
      </c>
      <c r="E633">
        <f>IF(C633="","",IFERROR(INDEX('30_NGAN_HANG'!$Y:$Y,MATCH(C633,'30_NGAN_HANG'!$A:$A,0)),""))</f>
        <v/>
      </c>
    </row>
    <row r="634">
      <c r="D634">
        <f>IF(C634="","",IFERROR(INDEX('30_NGAN_HANG'!$D:$D,MATCH(C634,'30_NGAN_HANG'!$A:$A,0)),"Không tìm thấy"))</f>
        <v/>
      </c>
      <c r="E634">
        <f>IF(C634="","",IFERROR(INDEX('30_NGAN_HANG'!$Y:$Y,MATCH(C634,'30_NGAN_HANG'!$A:$A,0)),""))</f>
        <v/>
      </c>
    </row>
    <row r="635">
      <c r="D635">
        <f>IF(C635="","",IFERROR(INDEX('30_NGAN_HANG'!$D:$D,MATCH(C635,'30_NGAN_HANG'!$A:$A,0)),"Không tìm thấy"))</f>
        <v/>
      </c>
      <c r="E635">
        <f>IF(C635="","",IFERROR(INDEX('30_NGAN_HANG'!$Y:$Y,MATCH(C635,'30_NGAN_HANG'!$A:$A,0)),""))</f>
        <v/>
      </c>
    </row>
    <row r="636">
      <c r="D636">
        <f>IF(C636="","",IFERROR(INDEX('30_NGAN_HANG'!$D:$D,MATCH(C636,'30_NGAN_HANG'!$A:$A,0)),"Không tìm thấy"))</f>
        <v/>
      </c>
      <c r="E636">
        <f>IF(C636="","",IFERROR(INDEX('30_NGAN_HANG'!$Y:$Y,MATCH(C636,'30_NGAN_HANG'!$A:$A,0)),""))</f>
        <v/>
      </c>
    </row>
    <row r="637">
      <c r="D637">
        <f>IF(C637="","",IFERROR(INDEX('30_NGAN_HANG'!$D:$D,MATCH(C637,'30_NGAN_HANG'!$A:$A,0)),"Không tìm thấy"))</f>
        <v/>
      </c>
      <c r="E637">
        <f>IF(C637="","",IFERROR(INDEX('30_NGAN_HANG'!$Y:$Y,MATCH(C637,'30_NGAN_HANG'!$A:$A,0)),""))</f>
        <v/>
      </c>
    </row>
    <row r="638">
      <c r="D638">
        <f>IF(C638="","",IFERROR(INDEX('30_NGAN_HANG'!$D:$D,MATCH(C638,'30_NGAN_HANG'!$A:$A,0)),"Không tìm thấy"))</f>
        <v/>
      </c>
      <c r="E638">
        <f>IF(C638="","",IFERROR(INDEX('30_NGAN_HANG'!$Y:$Y,MATCH(C638,'30_NGAN_HANG'!$A:$A,0)),""))</f>
        <v/>
      </c>
    </row>
    <row r="639">
      <c r="D639">
        <f>IF(C639="","",IFERROR(INDEX('30_NGAN_HANG'!$D:$D,MATCH(C639,'30_NGAN_HANG'!$A:$A,0)),"Không tìm thấy"))</f>
        <v/>
      </c>
      <c r="E639">
        <f>IF(C639="","",IFERROR(INDEX('30_NGAN_HANG'!$Y:$Y,MATCH(C639,'30_NGAN_HANG'!$A:$A,0)),""))</f>
        <v/>
      </c>
    </row>
    <row r="640">
      <c r="D640">
        <f>IF(C640="","",IFERROR(INDEX('30_NGAN_HANG'!$D:$D,MATCH(C640,'30_NGAN_HANG'!$A:$A,0)),"Không tìm thấy"))</f>
        <v/>
      </c>
      <c r="E640">
        <f>IF(C640="","",IFERROR(INDEX('30_NGAN_HANG'!$Y:$Y,MATCH(C640,'30_NGAN_HANG'!$A:$A,0)),""))</f>
        <v/>
      </c>
    </row>
    <row r="641">
      <c r="D641">
        <f>IF(C641="","",IFERROR(INDEX('30_NGAN_HANG'!$D:$D,MATCH(C641,'30_NGAN_HANG'!$A:$A,0)),"Không tìm thấy"))</f>
        <v/>
      </c>
      <c r="E641">
        <f>IF(C641="","",IFERROR(INDEX('30_NGAN_HANG'!$Y:$Y,MATCH(C641,'30_NGAN_HANG'!$A:$A,0)),""))</f>
        <v/>
      </c>
    </row>
    <row r="642">
      <c r="D642">
        <f>IF(C642="","",IFERROR(INDEX('30_NGAN_HANG'!$D:$D,MATCH(C642,'30_NGAN_HANG'!$A:$A,0)),"Không tìm thấy"))</f>
        <v/>
      </c>
      <c r="E642">
        <f>IF(C642="","",IFERROR(INDEX('30_NGAN_HANG'!$Y:$Y,MATCH(C642,'30_NGAN_HANG'!$A:$A,0)),""))</f>
        <v/>
      </c>
    </row>
    <row r="643">
      <c r="D643">
        <f>IF(C643="","",IFERROR(INDEX('30_NGAN_HANG'!$D:$D,MATCH(C643,'30_NGAN_HANG'!$A:$A,0)),"Không tìm thấy"))</f>
        <v/>
      </c>
      <c r="E643">
        <f>IF(C643="","",IFERROR(INDEX('30_NGAN_HANG'!$Y:$Y,MATCH(C643,'30_NGAN_HANG'!$A:$A,0)),""))</f>
        <v/>
      </c>
    </row>
    <row r="644">
      <c r="D644">
        <f>IF(C644="","",IFERROR(INDEX('30_NGAN_HANG'!$D:$D,MATCH(C644,'30_NGAN_HANG'!$A:$A,0)),"Không tìm thấy"))</f>
        <v/>
      </c>
      <c r="E644">
        <f>IF(C644="","",IFERROR(INDEX('30_NGAN_HANG'!$Y:$Y,MATCH(C644,'30_NGAN_HANG'!$A:$A,0)),""))</f>
        <v/>
      </c>
    </row>
    <row r="645">
      <c r="D645">
        <f>IF(C645="","",IFERROR(INDEX('30_NGAN_HANG'!$D:$D,MATCH(C645,'30_NGAN_HANG'!$A:$A,0)),"Không tìm thấy"))</f>
        <v/>
      </c>
      <c r="E645">
        <f>IF(C645="","",IFERROR(INDEX('30_NGAN_HANG'!$Y:$Y,MATCH(C645,'30_NGAN_HANG'!$A:$A,0)),""))</f>
        <v/>
      </c>
    </row>
    <row r="646">
      <c r="D646">
        <f>IF(C646="","",IFERROR(INDEX('30_NGAN_HANG'!$D:$D,MATCH(C646,'30_NGAN_HANG'!$A:$A,0)),"Không tìm thấy"))</f>
        <v/>
      </c>
      <c r="E646">
        <f>IF(C646="","",IFERROR(INDEX('30_NGAN_HANG'!$Y:$Y,MATCH(C646,'30_NGAN_HANG'!$A:$A,0)),""))</f>
        <v/>
      </c>
    </row>
    <row r="647">
      <c r="D647">
        <f>IF(C647="","",IFERROR(INDEX('30_NGAN_HANG'!$D:$D,MATCH(C647,'30_NGAN_HANG'!$A:$A,0)),"Không tìm thấy"))</f>
        <v/>
      </c>
      <c r="E647">
        <f>IF(C647="","",IFERROR(INDEX('30_NGAN_HANG'!$Y:$Y,MATCH(C647,'30_NGAN_HANG'!$A:$A,0)),""))</f>
        <v/>
      </c>
    </row>
    <row r="648">
      <c r="D648">
        <f>IF(C648="","",IFERROR(INDEX('30_NGAN_HANG'!$D:$D,MATCH(C648,'30_NGAN_HANG'!$A:$A,0)),"Không tìm thấy"))</f>
        <v/>
      </c>
      <c r="E648">
        <f>IF(C648="","",IFERROR(INDEX('30_NGAN_HANG'!$Y:$Y,MATCH(C648,'30_NGAN_HANG'!$A:$A,0)),""))</f>
        <v/>
      </c>
    </row>
    <row r="649">
      <c r="D649">
        <f>IF(C649="","",IFERROR(INDEX('30_NGAN_HANG'!$D:$D,MATCH(C649,'30_NGAN_HANG'!$A:$A,0)),"Không tìm thấy"))</f>
        <v/>
      </c>
      <c r="E649">
        <f>IF(C649="","",IFERROR(INDEX('30_NGAN_HANG'!$Y:$Y,MATCH(C649,'30_NGAN_HANG'!$A:$A,0)),""))</f>
        <v/>
      </c>
    </row>
    <row r="650">
      <c r="D650">
        <f>IF(C650="","",IFERROR(INDEX('30_NGAN_HANG'!$D:$D,MATCH(C650,'30_NGAN_HANG'!$A:$A,0)),"Không tìm thấy"))</f>
        <v/>
      </c>
      <c r="E650">
        <f>IF(C650="","",IFERROR(INDEX('30_NGAN_HANG'!$Y:$Y,MATCH(C650,'30_NGAN_HANG'!$A:$A,0)),""))</f>
        <v/>
      </c>
    </row>
    <row r="651">
      <c r="D651">
        <f>IF(C651="","",IFERROR(INDEX('30_NGAN_HANG'!$D:$D,MATCH(C651,'30_NGAN_HANG'!$A:$A,0)),"Không tìm thấy"))</f>
        <v/>
      </c>
      <c r="E651">
        <f>IF(C651="","",IFERROR(INDEX('30_NGAN_HANG'!$Y:$Y,MATCH(C651,'30_NGAN_HANG'!$A:$A,0)),""))</f>
        <v/>
      </c>
    </row>
    <row r="652">
      <c r="D652">
        <f>IF(C652="","",IFERROR(INDEX('30_NGAN_HANG'!$D:$D,MATCH(C652,'30_NGAN_HANG'!$A:$A,0)),"Không tìm thấy"))</f>
        <v/>
      </c>
      <c r="E652">
        <f>IF(C652="","",IFERROR(INDEX('30_NGAN_HANG'!$Y:$Y,MATCH(C652,'30_NGAN_HANG'!$A:$A,0)),""))</f>
        <v/>
      </c>
    </row>
    <row r="653">
      <c r="D653">
        <f>IF(C653="","",IFERROR(INDEX('30_NGAN_HANG'!$D:$D,MATCH(C653,'30_NGAN_HANG'!$A:$A,0)),"Không tìm thấy"))</f>
        <v/>
      </c>
      <c r="E653">
        <f>IF(C653="","",IFERROR(INDEX('30_NGAN_HANG'!$Y:$Y,MATCH(C653,'30_NGAN_HANG'!$A:$A,0)),""))</f>
        <v/>
      </c>
    </row>
    <row r="654">
      <c r="D654">
        <f>IF(C654="","",IFERROR(INDEX('30_NGAN_HANG'!$D:$D,MATCH(C654,'30_NGAN_HANG'!$A:$A,0)),"Không tìm thấy"))</f>
        <v/>
      </c>
      <c r="E654">
        <f>IF(C654="","",IFERROR(INDEX('30_NGAN_HANG'!$Y:$Y,MATCH(C654,'30_NGAN_HANG'!$A:$A,0)),""))</f>
        <v/>
      </c>
    </row>
    <row r="655">
      <c r="D655">
        <f>IF(C655="","",IFERROR(INDEX('30_NGAN_HANG'!$D:$D,MATCH(C655,'30_NGAN_HANG'!$A:$A,0)),"Không tìm thấy"))</f>
        <v/>
      </c>
      <c r="E655">
        <f>IF(C655="","",IFERROR(INDEX('30_NGAN_HANG'!$Y:$Y,MATCH(C655,'30_NGAN_HANG'!$A:$A,0)),""))</f>
        <v/>
      </c>
    </row>
    <row r="656">
      <c r="D656">
        <f>IF(C656="","",IFERROR(INDEX('30_NGAN_HANG'!$D:$D,MATCH(C656,'30_NGAN_HANG'!$A:$A,0)),"Không tìm thấy"))</f>
        <v/>
      </c>
      <c r="E656">
        <f>IF(C656="","",IFERROR(INDEX('30_NGAN_HANG'!$Y:$Y,MATCH(C656,'30_NGAN_HANG'!$A:$A,0)),""))</f>
        <v/>
      </c>
    </row>
    <row r="657">
      <c r="D657">
        <f>IF(C657="","",IFERROR(INDEX('30_NGAN_HANG'!$D:$D,MATCH(C657,'30_NGAN_HANG'!$A:$A,0)),"Không tìm thấy"))</f>
        <v/>
      </c>
      <c r="E657">
        <f>IF(C657="","",IFERROR(INDEX('30_NGAN_HANG'!$Y:$Y,MATCH(C657,'30_NGAN_HANG'!$A:$A,0)),""))</f>
        <v/>
      </c>
    </row>
    <row r="658">
      <c r="D658">
        <f>IF(C658="","",IFERROR(INDEX('30_NGAN_HANG'!$D:$D,MATCH(C658,'30_NGAN_HANG'!$A:$A,0)),"Không tìm thấy"))</f>
        <v/>
      </c>
      <c r="E658">
        <f>IF(C658="","",IFERROR(INDEX('30_NGAN_HANG'!$Y:$Y,MATCH(C658,'30_NGAN_HANG'!$A:$A,0)),""))</f>
        <v/>
      </c>
    </row>
    <row r="659">
      <c r="D659">
        <f>IF(C659="","",IFERROR(INDEX('30_NGAN_HANG'!$D:$D,MATCH(C659,'30_NGAN_HANG'!$A:$A,0)),"Không tìm thấy"))</f>
        <v/>
      </c>
      <c r="E659">
        <f>IF(C659="","",IFERROR(INDEX('30_NGAN_HANG'!$Y:$Y,MATCH(C659,'30_NGAN_HANG'!$A:$A,0)),""))</f>
        <v/>
      </c>
    </row>
    <row r="660">
      <c r="D660">
        <f>IF(C660="","",IFERROR(INDEX('30_NGAN_HANG'!$D:$D,MATCH(C660,'30_NGAN_HANG'!$A:$A,0)),"Không tìm thấy"))</f>
        <v/>
      </c>
      <c r="E660">
        <f>IF(C660="","",IFERROR(INDEX('30_NGAN_HANG'!$Y:$Y,MATCH(C660,'30_NGAN_HANG'!$A:$A,0)),""))</f>
        <v/>
      </c>
    </row>
    <row r="661">
      <c r="D661">
        <f>IF(C661="","",IFERROR(INDEX('30_NGAN_HANG'!$D:$D,MATCH(C661,'30_NGAN_HANG'!$A:$A,0)),"Không tìm thấy"))</f>
        <v/>
      </c>
      <c r="E661">
        <f>IF(C661="","",IFERROR(INDEX('30_NGAN_HANG'!$Y:$Y,MATCH(C661,'30_NGAN_HANG'!$A:$A,0)),""))</f>
        <v/>
      </c>
    </row>
    <row r="662">
      <c r="D662">
        <f>IF(C662="","",IFERROR(INDEX('30_NGAN_HANG'!$D:$D,MATCH(C662,'30_NGAN_HANG'!$A:$A,0)),"Không tìm thấy"))</f>
        <v/>
      </c>
      <c r="E662">
        <f>IF(C662="","",IFERROR(INDEX('30_NGAN_HANG'!$Y:$Y,MATCH(C662,'30_NGAN_HANG'!$A:$A,0)),""))</f>
        <v/>
      </c>
    </row>
    <row r="663">
      <c r="D663">
        <f>IF(C663="","",IFERROR(INDEX('30_NGAN_HANG'!$D:$D,MATCH(C663,'30_NGAN_HANG'!$A:$A,0)),"Không tìm thấy"))</f>
        <v/>
      </c>
      <c r="E663">
        <f>IF(C663="","",IFERROR(INDEX('30_NGAN_HANG'!$Y:$Y,MATCH(C663,'30_NGAN_HANG'!$A:$A,0)),""))</f>
        <v/>
      </c>
    </row>
    <row r="664">
      <c r="D664">
        <f>IF(C664="","",IFERROR(INDEX('30_NGAN_HANG'!$D:$D,MATCH(C664,'30_NGAN_HANG'!$A:$A,0)),"Không tìm thấy"))</f>
        <v/>
      </c>
      <c r="E664">
        <f>IF(C664="","",IFERROR(INDEX('30_NGAN_HANG'!$Y:$Y,MATCH(C664,'30_NGAN_HANG'!$A:$A,0)),""))</f>
        <v/>
      </c>
    </row>
    <row r="665">
      <c r="D665">
        <f>IF(C665="","",IFERROR(INDEX('30_NGAN_HANG'!$D:$D,MATCH(C665,'30_NGAN_HANG'!$A:$A,0)),"Không tìm thấy"))</f>
        <v/>
      </c>
      <c r="E665">
        <f>IF(C665="","",IFERROR(INDEX('30_NGAN_HANG'!$Y:$Y,MATCH(C665,'30_NGAN_HANG'!$A:$A,0)),""))</f>
        <v/>
      </c>
    </row>
    <row r="666">
      <c r="D666">
        <f>IF(C666="","",IFERROR(INDEX('30_NGAN_HANG'!$D:$D,MATCH(C666,'30_NGAN_HANG'!$A:$A,0)),"Không tìm thấy"))</f>
        <v/>
      </c>
      <c r="E666">
        <f>IF(C666="","",IFERROR(INDEX('30_NGAN_HANG'!$Y:$Y,MATCH(C666,'30_NGAN_HANG'!$A:$A,0)),""))</f>
        <v/>
      </c>
    </row>
    <row r="667">
      <c r="D667">
        <f>IF(C667="","",IFERROR(INDEX('30_NGAN_HANG'!$D:$D,MATCH(C667,'30_NGAN_HANG'!$A:$A,0)),"Không tìm thấy"))</f>
        <v/>
      </c>
      <c r="E667">
        <f>IF(C667="","",IFERROR(INDEX('30_NGAN_HANG'!$Y:$Y,MATCH(C667,'30_NGAN_HANG'!$A:$A,0)),""))</f>
        <v/>
      </c>
    </row>
    <row r="668">
      <c r="D668">
        <f>IF(C668="","",IFERROR(INDEX('30_NGAN_HANG'!$D:$D,MATCH(C668,'30_NGAN_HANG'!$A:$A,0)),"Không tìm thấy"))</f>
        <v/>
      </c>
      <c r="E668">
        <f>IF(C668="","",IFERROR(INDEX('30_NGAN_HANG'!$Y:$Y,MATCH(C668,'30_NGAN_HANG'!$A:$A,0)),""))</f>
        <v/>
      </c>
    </row>
    <row r="669">
      <c r="D669">
        <f>IF(C669="","",IFERROR(INDEX('30_NGAN_HANG'!$D:$D,MATCH(C669,'30_NGAN_HANG'!$A:$A,0)),"Không tìm thấy"))</f>
        <v/>
      </c>
      <c r="E669">
        <f>IF(C669="","",IFERROR(INDEX('30_NGAN_HANG'!$Y:$Y,MATCH(C669,'30_NGAN_HANG'!$A:$A,0)),""))</f>
        <v/>
      </c>
    </row>
    <row r="670">
      <c r="D670">
        <f>IF(C670="","",IFERROR(INDEX('30_NGAN_HANG'!$D:$D,MATCH(C670,'30_NGAN_HANG'!$A:$A,0)),"Không tìm thấy"))</f>
        <v/>
      </c>
      <c r="E670">
        <f>IF(C670="","",IFERROR(INDEX('30_NGAN_HANG'!$Y:$Y,MATCH(C670,'30_NGAN_HANG'!$A:$A,0)),""))</f>
        <v/>
      </c>
    </row>
    <row r="671">
      <c r="D671">
        <f>IF(C671="","",IFERROR(INDEX('30_NGAN_HANG'!$D:$D,MATCH(C671,'30_NGAN_HANG'!$A:$A,0)),"Không tìm thấy"))</f>
        <v/>
      </c>
      <c r="E671">
        <f>IF(C671="","",IFERROR(INDEX('30_NGAN_HANG'!$Y:$Y,MATCH(C671,'30_NGAN_HANG'!$A:$A,0)),""))</f>
        <v/>
      </c>
    </row>
    <row r="672">
      <c r="D672">
        <f>IF(C672="","",IFERROR(INDEX('30_NGAN_HANG'!$D:$D,MATCH(C672,'30_NGAN_HANG'!$A:$A,0)),"Không tìm thấy"))</f>
        <v/>
      </c>
      <c r="E672">
        <f>IF(C672="","",IFERROR(INDEX('30_NGAN_HANG'!$Y:$Y,MATCH(C672,'30_NGAN_HANG'!$A:$A,0)),""))</f>
        <v/>
      </c>
    </row>
    <row r="673">
      <c r="D673">
        <f>IF(C673="","",IFERROR(INDEX('30_NGAN_HANG'!$D:$D,MATCH(C673,'30_NGAN_HANG'!$A:$A,0)),"Không tìm thấy"))</f>
        <v/>
      </c>
      <c r="E673">
        <f>IF(C673="","",IFERROR(INDEX('30_NGAN_HANG'!$Y:$Y,MATCH(C673,'30_NGAN_HANG'!$A:$A,0)),""))</f>
        <v/>
      </c>
    </row>
    <row r="674">
      <c r="D674">
        <f>IF(C674="","",IFERROR(INDEX('30_NGAN_HANG'!$D:$D,MATCH(C674,'30_NGAN_HANG'!$A:$A,0)),"Không tìm thấy"))</f>
        <v/>
      </c>
      <c r="E674">
        <f>IF(C674="","",IFERROR(INDEX('30_NGAN_HANG'!$Y:$Y,MATCH(C674,'30_NGAN_HANG'!$A:$A,0)),""))</f>
        <v/>
      </c>
    </row>
    <row r="675">
      <c r="D675">
        <f>IF(C675="","",IFERROR(INDEX('30_NGAN_HANG'!$D:$D,MATCH(C675,'30_NGAN_HANG'!$A:$A,0)),"Không tìm thấy"))</f>
        <v/>
      </c>
      <c r="E675">
        <f>IF(C675="","",IFERROR(INDEX('30_NGAN_HANG'!$Y:$Y,MATCH(C675,'30_NGAN_HANG'!$A:$A,0)),""))</f>
        <v/>
      </c>
    </row>
    <row r="676">
      <c r="D676">
        <f>IF(C676="","",IFERROR(INDEX('30_NGAN_HANG'!$D:$D,MATCH(C676,'30_NGAN_HANG'!$A:$A,0)),"Không tìm thấy"))</f>
        <v/>
      </c>
      <c r="E676">
        <f>IF(C676="","",IFERROR(INDEX('30_NGAN_HANG'!$Y:$Y,MATCH(C676,'30_NGAN_HANG'!$A:$A,0)),""))</f>
        <v/>
      </c>
    </row>
    <row r="677">
      <c r="D677">
        <f>IF(C677="","",IFERROR(INDEX('30_NGAN_HANG'!$D:$D,MATCH(C677,'30_NGAN_HANG'!$A:$A,0)),"Không tìm thấy"))</f>
        <v/>
      </c>
      <c r="E677">
        <f>IF(C677="","",IFERROR(INDEX('30_NGAN_HANG'!$Y:$Y,MATCH(C677,'30_NGAN_HANG'!$A:$A,0)),""))</f>
        <v/>
      </c>
    </row>
    <row r="678">
      <c r="D678">
        <f>IF(C678="","",IFERROR(INDEX('30_NGAN_HANG'!$D:$D,MATCH(C678,'30_NGAN_HANG'!$A:$A,0)),"Không tìm thấy"))</f>
        <v/>
      </c>
      <c r="E678">
        <f>IF(C678="","",IFERROR(INDEX('30_NGAN_HANG'!$Y:$Y,MATCH(C678,'30_NGAN_HANG'!$A:$A,0)),""))</f>
        <v/>
      </c>
    </row>
    <row r="679">
      <c r="D679">
        <f>IF(C679="","",IFERROR(INDEX('30_NGAN_HANG'!$D:$D,MATCH(C679,'30_NGAN_HANG'!$A:$A,0)),"Không tìm thấy"))</f>
        <v/>
      </c>
      <c r="E679">
        <f>IF(C679="","",IFERROR(INDEX('30_NGAN_HANG'!$Y:$Y,MATCH(C679,'30_NGAN_HANG'!$A:$A,0)),""))</f>
        <v/>
      </c>
    </row>
    <row r="680">
      <c r="D680">
        <f>IF(C680="","",IFERROR(INDEX('30_NGAN_HANG'!$D:$D,MATCH(C680,'30_NGAN_HANG'!$A:$A,0)),"Không tìm thấy"))</f>
        <v/>
      </c>
      <c r="E680">
        <f>IF(C680="","",IFERROR(INDEX('30_NGAN_HANG'!$Y:$Y,MATCH(C680,'30_NGAN_HANG'!$A:$A,0)),""))</f>
        <v/>
      </c>
    </row>
    <row r="681">
      <c r="D681">
        <f>IF(C681="","",IFERROR(INDEX('30_NGAN_HANG'!$D:$D,MATCH(C681,'30_NGAN_HANG'!$A:$A,0)),"Không tìm thấy"))</f>
        <v/>
      </c>
      <c r="E681">
        <f>IF(C681="","",IFERROR(INDEX('30_NGAN_HANG'!$Y:$Y,MATCH(C681,'30_NGAN_HANG'!$A:$A,0)),""))</f>
        <v/>
      </c>
    </row>
    <row r="682">
      <c r="D682">
        <f>IF(C682="","",IFERROR(INDEX('30_NGAN_HANG'!$D:$D,MATCH(C682,'30_NGAN_HANG'!$A:$A,0)),"Không tìm thấy"))</f>
        <v/>
      </c>
      <c r="E682">
        <f>IF(C682="","",IFERROR(INDEX('30_NGAN_HANG'!$Y:$Y,MATCH(C682,'30_NGAN_HANG'!$A:$A,0)),""))</f>
        <v/>
      </c>
    </row>
    <row r="683">
      <c r="D683">
        <f>IF(C683="","",IFERROR(INDEX('30_NGAN_HANG'!$D:$D,MATCH(C683,'30_NGAN_HANG'!$A:$A,0)),"Không tìm thấy"))</f>
        <v/>
      </c>
      <c r="E683">
        <f>IF(C683="","",IFERROR(INDEX('30_NGAN_HANG'!$Y:$Y,MATCH(C683,'30_NGAN_HANG'!$A:$A,0)),""))</f>
        <v/>
      </c>
    </row>
    <row r="684">
      <c r="D684">
        <f>IF(C684="","",IFERROR(INDEX('30_NGAN_HANG'!$D:$D,MATCH(C684,'30_NGAN_HANG'!$A:$A,0)),"Không tìm thấy"))</f>
        <v/>
      </c>
      <c r="E684">
        <f>IF(C684="","",IFERROR(INDEX('30_NGAN_HANG'!$Y:$Y,MATCH(C684,'30_NGAN_HANG'!$A:$A,0)),""))</f>
        <v/>
      </c>
    </row>
    <row r="685">
      <c r="D685">
        <f>IF(C685="","",IFERROR(INDEX('30_NGAN_HANG'!$D:$D,MATCH(C685,'30_NGAN_HANG'!$A:$A,0)),"Không tìm thấy"))</f>
        <v/>
      </c>
      <c r="E685">
        <f>IF(C685="","",IFERROR(INDEX('30_NGAN_HANG'!$Y:$Y,MATCH(C685,'30_NGAN_HANG'!$A:$A,0)),""))</f>
        <v/>
      </c>
    </row>
    <row r="686">
      <c r="D686">
        <f>IF(C686="","",IFERROR(INDEX('30_NGAN_HANG'!$D:$D,MATCH(C686,'30_NGAN_HANG'!$A:$A,0)),"Không tìm thấy"))</f>
        <v/>
      </c>
      <c r="E686">
        <f>IF(C686="","",IFERROR(INDEX('30_NGAN_HANG'!$Y:$Y,MATCH(C686,'30_NGAN_HANG'!$A:$A,0)),""))</f>
        <v/>
      </c>
    </row>
    <row r="687">
      <c r="D687">
        <f>IF(C687="","",IFERROR(INDEX('30_NGAN_HANG'!$D:$D,MATCH(C687,'30_NGAN_HANG'!$A:$A,0)),"Không tìm thấy"))</f>
        <v/>
      </c>
      <c r="E687">
        <f>IF(C687="","",IFERROR(INDEX('30_NGAN_HANG'!$Y:$Y,MATCH(C687,'30_NGAN_HANG'!$A:$A,0)),""))</f>
        <v/>
      </c>
    </row>
    <row r="688">
      <c r="D688">
        <f>IF(C688="","",IFERROR(INDEX('30_NGAN_HANG'!$D:$D,MATCH(C688,'30_NGAN_HANG'!$A:$A,0)),"Không tìm thấy"))</f>
        <v/>
      </c>
      <c r="E688">
        <f>IF(C688="","",IFERROR(INDEX('30_NGAN_HANG'!$Y:$Y,MATCH(C688,'30_NGAN_HANG'!$A:$A,0)),""))</f>
        <v/>
      </c>
    </row>
    <row r="689">
      <c r="D689">
        <f>IF(C689="","",IFERROR(INDEX('30_NGAN_HANG'!$D:$D,MATCH(C689,'30_NGAN_HANG'!$A:$A,0)),"Không tìm thấy"))</f>
        <v/>
      </c>
      <c r="E689">
        <f>IF(C689="","",IFERROR(INDEX('30_NGAN_HANG'!$Y:$Y,MATCH(C689,'30_NGAN_HANG'!$A:$A,0)),""))</f>
        <v/>
      </c>
    </row>
    <row r="690">
      <c r="D690">
        <f>IF(C690="","",IFERROR(INDEX('30_NGAN_HANG'!$D:$D,MATCH(C690,'30_NGAN_HANG'!$A:$A,0)),"Không tìm thấy"))</f>
        <v/>
      </c>
      <c r="E690">
        <f>IF(C690="","",IFERROR(INDEX('30_NGAN_HANG'!$Y:$Y,MATCH(C690,'30_NGAN_HANG'!$A:$A,0)),""))</f>
        <v/>
      </c>
    </row>
    <row r="691">
      <c r="D691">
        <f>IF(C691="","",IFERROR(INDEX('30_NGAN_HANG'!$D:$D,MATCH(C691,'30_NGAN_HANG'!$A:$A,0)),"Không tìm thấy"))</f>
        <v/>
      </c>
      <c r="E691">
        <f>IF(C691="","",IFERROR(INDEX('30_NGAN_HANG'!$Y:$Y,MATCH(C691,'30_NGAN_HANG'!$A:$A,0)),""))</f>
        <v/>
      </c>
    </row>
    <row r="692">
      <c r="D692">
        <f>IF(C692="","",IFERROR(INDEX('30_NGAN_HANG'!$D:$D,MATCH(C692,'30_NGAN_HANG'!$A:$A,0)),"Không tìm thấy"))</f>
        <v/>
      </c>
      <c r="E692">
        <f>IF(C692="","",IFERROR(INDEX('30_NGAN_HANG'!$Y:$Y,MATCH(C692,'30_NGAN_HANG'!$A:$A,0)),""))</f>
        <v/>
      </c>
    </row>
    <row r="693">
      <c r="D693">
        <f>IF(C693="","",IFERROR(INDEX('30_NGAN_HANG'!$D:$D,MATCH(C693,'30_NGAN_HANG'!$A:$A,0)),"Không tìm thấy"))</f>
        <v/>
      </c>
      <c r="E693">
        <f>IF(C693="","",IFERROR(INDEX('30_NGAN_HANG'!$Y:$Y,MATCH(C693,'30_NGAN_HANG'!$A:$A,0)),""))</f>
        <v/>
      </c>
    </row>
    <row r="694">
      <c r="D694">
        <f>IF(C694="","",IFERROR(INDEX('30_NGAN_HANG'!$D:$D,MATCH(C694,'30_NGAN_HANG'!$A:$A,0)),"Không tìm thấy"))</f>
        <v/>
      </c>
      <c r="E694">
        <f>IF(C694="","",IFERROR(INDEX('30_NGAN_HANG'!$Y:$Y,MATCH(C694,'30_NGAN_HANG'!$A:$A,0)),""))</f>
        <v/>
      </c>
    </row>
    <row r="695">
      <c r="D695">
        <f>IF(C695="","",IFERROR(INDEX('30_NGAN_HANG'!$D:$D,MATCH(C695,'30_NGAN_HANG'!$A:$A,0)),"Không tìm thấy"))</f>
        <v/>
      </c>
      <c r="E695">
        <f>IF(C695="","",IFERROR(INDEX('30_NGAN_HANG'!$Y:$Y,MATCH(C695,'30_NGAN_HANG'!$A:$A,0)),""))</f>
        <v/>
      </c>
    </row>
    <row r="696">
      <c r="D696">
        <f>IF(C696="","",IFERROR(INDEX('30_NGAN_HANG'!$D:$D,MATCH(C696,'30_NGAN_HANG'!$A:$A,0)),"Không tìm thấy"))</f>
        <v/>
      </c>
      <c r="E696">
        <f>IF(C696="","",IFERROR(INDEX('30_NGAN_HANG'!$Y:$Y,MATCH(C696,'30_NGAN_HANG'!$A:$A,0)),""))</f>
        <v/>
      </c>
    </row>
    <row r="697">
      <c r="D697">
        <f>IF(C697="","",IFERROR(INDEX('30_NGAN_HANG'!$D:$D,MATCH(C697,'30_NGAN_HANG'!$A:$A,0)),"Không tìm thấy"))</f>
        <v/>
      </c>
      <c r="E697">
        <f>IF(C697="","",IFERROR(INDEX('30_NGAN_HANG'!$Y:$Y,MATCH(C697,'30_NGAN_HANG'!$A:$A,0)),""))</f>
        <v/>
      </c>
    </row>
    <row r="698">
      <c r="D698">
        <f>IF(C698="","",IFERROR(INDEX('30_NGAN_HANG'!$D:$D,MATCH(C698,'30_NGAN_HANG'!$A:$A,0)),"Không tìm thấy"))</f>
        <v/>
      </c>
      <c r="E698">
        <f>IF(C698="","",IFERROR(INDEX('30_NGAN_HANG'!$Y:$Y,MATCH(C698,'30_NGAN_HANG'!$A:$A,0)),""))</f>
        <v/>
      </c>
    </row>
    <row r="699">
      <c r="D699">
        <f>IF(C699="","",IFERROR(INDEX('30_NGAN_HANG'!$D:$D,MATCH(C699,'30_NGAN_HANG'!$A:$A,0)),"Không tìm thấy"))</f>
        <v/>
      </c>
      <c r="E699">
        <f>IF(C699="","",IFERROR(INDEX('30_NGAN_HANG'!$Y:$Y,MATCH(C699,'30_NGAN_HANG'!$A:$A,0)),""))</f>
        <v/>
      </c>
    </row>
    <row r="700">
      <c r="D700">
        <f>IF(C700="","",IFERROR(INDEX('30_NGAN_HANG'!$D:$D,MATCH(C700,'30_NGAN_HANG'!$A:$A,0)),"Không tìm thấy"))</f>
        <v/>
      </c>
      <c r="E700">
        <f>IF(C700="","",IFERROR(INDEX('30_NGAN_HANG'!$Y:$Y,MATCH(C700,'30_NGAN_HANG'!$A:$A,0)),""))</f>
        <v/>
      </c>
    </row>
    <row r="701">
      <c r="D701">
        <f>IF(C701="","",IFERROR(INDEX('30_NGAN_HANG'!$D:$D,MATCH(C701,'30_NGAN_HANG'!$A:$A,0)),"Không tìm thấy"))</f>
        <v/>
      </c>
      <c r="E701">
        <f>IF(C701="","",IFERROR(INDEX('30_NGAN_HANG'!$Y:$Y,MATCH(C701,'30_NGAN_HANG'!$A:$A,0)),""))</f>
        <v/>
      </c>
    </row>
    <row r="702">
      <c r="D702">
        <f>IF(C702="","",IFERROR(INDEX('30_NGAN_HANG'!$D:$D,MATCH(C702,'30_NGAN_HANG'!$A:$A,0)),"Không tìm thấy"))</f>
        <v/>
      </c>
      <c r="E702">
        <f>IF(C702="","",IFERROR(INDEX('30_NGAN_HANG'!$Y:$Y,MATCH(C702,'30_NGAN_HANG'!$A:$A,0)),""))</f>
        <v/>
      </c>
    </row>
    <row r="703">
      <c r="D703">
        <f>IF(C703="","",IFERROR(INDEX('30_NGAN_HANG'!$D:$D,MATCH(C703,'30_NGAN_HANG'!$A:$A,0)),"Không tìm thấy"))</f>
        <v/>
      </c>
      <c r="E703">
        <f>IF(C703="","",IFERROR(INDEX('30_NGAN_HANG'!$Y:$Y,MATCH(C703,'30_NGAN_HANG'!$A:$A,0)),""))</f>
        <v/>
      </c>
    </row>
    <row r="704">
      <c r="D704">
        <f>IF(C704="","",IFERROR(INDEX('30_NGAN_HANG'!$D:$D,MATCH(C704,'30_NGAN_HANG'!$A:$A,0)),"Không tìm thấy"))</f>
        <v/>
      </c>
      <c r="E704">
        <f>IF(C704="","",IFERROR(INDEX('30_NGAN_HANG'!$Y:$Y,MATCH(C704,'30_NGAN_HANG'!$A:$A,0)),""))</f>
        <v/>
      </c>
    </row>
    <row r="705">
      <c r="D705">
        <f>IF(C705="","",IFERROR(INDEX('30_NGAN_HANG'!$D:$D,MATCH(C705,'30_NGAN_HANG'!$A:$A,0)),"Không tìm thấy"))</f>
        <v/>
      </c>
      <c r="E705">
        <f>IF(C705="","",IFERROR(INDEX('30_NGAN_HANG'!$Y:$Y,MATCH(C705,'30_NGAN_HANG'!$A:$A,0)),""))</f>
        <v/>
      </c>
    </row>
    <row r="706">
      <c r="D706">
        <f>IF(C706="","",IFERROR(INDEX('30_NGAN_HANG'!$D:$D,MATCH(C706,'30_NGAN_HANG'!$A:$A,0)),"Không tìm thấy"))</f>
        <v/>
      </c>
      <c r="E706">
        <f>IF(C706="","",IFERROR(INDEX('30_NGAN_HANG'!$Y:$Y,MATCH(C706,'30_NGAN_HANG'!$A:$A,0)),""))</f>
        <v/>
      </c>
    </row>
    <row r="707">
      <c r="D707">
        <f>IF(C707="","",IFERROR(INDEX('30_NGAN_HANG'!$D:$D,MATCH(C707,'30_NGAN_HANG'!$A:$A,0)),"Không tìm thấy"))</f>
        <v/>
      </c>
      <c r="E707">
        <f>IF(C707="","",IFERROR(INDEX('30_NGAN_HANG'!$Y:$Y,MATCH(C707,'30_NGAN_HANG'!$A:$A,0)),""))</f>
        <v/>
      </c>
    </row>
    <row r="708">
      <c r="D708">
        <f>IF(C708="","",IFERROR(INDEX('30_NGAN_HANG'!$D:$D,MATCH(C708,'30_NGAN_HANG'!$A:$A,0)),"Không tìm thấy"))</f>
        <v/>
      </c>
      <c r="E708">
        <f>IF(C708="","",IFERROR(INDEX('30_NGAN_HANG'!$Y:$Y,MATCH(C708,'30_NGAN_HANG'!$A:$A,0)),""))</f>
        <v/>
      </c>
    </row>
    <row r="709">
      <c r="D709">
        <f>IF(C709="","",IFERROR(INDEX('30_NGAN_HANG'!$D:$D,MATCH(C709,'30_NGAN_HANG'!$A:$A,0)),"Không tìm thấy"))</f>
        <v/>
      </c>
      <c r="E709">
        <f>IF(C709="","",IFERROR(INDEX('30_NGAN_HANG'!$Y:$Y,MATCH(C709,'30_NGAN_HANG'!$A:$A,0)),""))</f>
        <v/>
      </c>
    </row>
    <row r="710">
      <c r="D710">
        <f>IF(C710="","",IFERROR(INDEX('30_NGAN_HANG'!$D:$D,MATCH(C710,'30_NGAN_HANG'!$A:$A,0)),"Không tìm thấy"))</f>
        <v/>
      </c>
      <c r="E710">
        <f>IF(C710="","",IFERROR(INDEX('30_NGAN_HANG'!$Y:$Y,MATCH(C710,'30_NGAN_HANG'!$A:$A,0)),""))</f>
        <v/>
      </c>
    </row>
    <row r="711">
      <c r="D711">
        <f>IF(C711="","",IFERROR(INDEX('30_NGAN_HANG'!$D:$D,MATCH(C711,'30_NGAN_HANG'!$A:$A,0)),"Không tìm thấy"))</f>
        <v/>
      </c>
      <c r="E711">
        <f>IF(C711="","",IFERROR(INDEX('30_NGAN_HANG'!$Y:$Y,MATCH(C711,'30_NGAN_HANG'!$A:$A,0)),""))</f>
        <v/>
      </c>
    </row>
    <row r="712">
      <c r="D712">
        <f>IF(C712="","",IFERROR(INDEX('30_NGAN_HANG'!$D:$D,MATCH(C712,'30_NGAN_HANG'!$A:$A,0)),"Không tìm thấy"))</f>
        <v/>
      </c>
      <c r="E712">
        <f>IF(C712="","",IFERROR(INDEX('30_NGAN_HANG'!$Y:$Y,MATCH(C712,'30_NGAN_HANG'!$A:$A,0)),""))</f>
        <v/>
      </c>
    </row>
    <row r="713">
      <c r="D713">
        <f>IF(C713="","",IFERROR(INDEX('30_NGAN_HANG'!$D:$D,MATCH(C713,'30_NGAN_HANG'!$A:$A,0)),"Không tìm thấy"))</f>
        <v/>
      </c>
      <c r="E713">
        <f>IF(C713="","",IFERROR(INDEX('30_NGAN_HANG'!$Y:$Y,MATCH(C713,'30_NGAN_HANG'!$A:$A,0)),""))</f>
        <v/>
      </c>
    </row>
    <row r="714">
      <c r="D714">
        <f>IF(C714="","",IFERROR(INDEX('30_NGAN_HANG'!$D:$D,MATCH(C714,'30_NGAN_HANG'!$A:$A,0)),"Không tìm thấy"))</f>
        <v/>
      </c>
      <c r="E714">
        <f>IF(C714="","",IFERROR(INDEX('30_NGAN_HANG'!$Y:$Y,MATCH(C714,'30_NGAN_HANG'!$A:$A,0)),""))</f>
        <v/>
      </c>
    </row>
    <row r="715">
      <c r="D715">
        <f>IF(C715="","",IFERROR(INDEX('30_NGAN_HANG'!$D:$D,MATCH(C715,'30_NGAN_HANG'!$A:$A,0)),"Không tìm thấy"))</f>
        <v/>
      </c>
      <c r="E715">
        <f>IF(C715="","",IFERROR(INDEX('30_NGAN_HANG'!$Y:$Y,MATCH(C715,'30_NGAN_HANG'!$A:$A,0)),""))</f>
        <v/>
      </c>
    </row>
    <row r="716">
      <c r="D716">
        <f>IF(C716="","",IFERROR(INDEX('30_NGAN_HANG'!$D:$D,MATCH(C716,'30_NGAN_HANG'!$A:$A,0)),"Không tìm thấy"))</f>
        <v/>
      </c>
      <c r="E716">
        <f>IF(C716="","",IFERROR(INDEX('30_NGAN_HANG'!$Y:$Y,MATCH(C716,'30_NGAN_HANG'!$A:$A,0)),""))</f>
        <v/>
      </c>
    </row>
    <row r="717">
      <c r="D717">
        <f>IF(C717="","",IFERROR(INDEX('30_NGAN_HANG'!$D:$D,MATCH(C717,'30_NGAN_HANG'!$A:$A,0)),"Không tìm thấy"))</f>
        <v/>
      </c>
      <c r="E717">
        <f>IF(C717="","",IFERROR(INDEX('30_NGAN_HANG'!$Y:$Y,MATCH(C717,'30_NGAN_HANG'!$A:$A,0)),""))</f>
        <v/>
      </c>
    </row>
    <row r="718">
      <c r="D718">
        <f>IF(C718="","",IFERROR(INDEX('30_NGAN_HANG'!$D:$D,MATCH(C718,'30_NGAN_HANG'!$A:$A,0)),"Không tìm thấy"))</f>
        <v/>
      </c>
      <c r="E718">
        <f>IF(C718="","",IFERROR(INDEX('30_NGAN_HANG'!$Y:$Y,MATCH(C718,'30_NGAN_HANG'!$A:$A,0)),""))</f>
        <v/>
      </c>
    </row>
    <row r="719">
      <c r="D719">
        <f>IF(C719="","",IFERROR(INDEX('30_NGAN_HANG'!$D:$D,MATCH(C719,'30_NGAN_HANG'!$A:$A,0)),"Không tìm thấy"))</f>
        <v/>
      </c>
      <c r="E719">
        <f>IF(C719="","",IFERROR(INDEX('30_NGAN_HANG'!$Y:$Y,MATCH(C719,'30_NGAN_HANG'!$A:$A,0)),""))</f>
        <v/>
      </c>
    </row>
    <row r="720">
      <c r="D720">
        <f>IF(C720="","",IFERROR(INDEX('30_NGAN_HANG'!$D:$D,MATCH(C720,'30_NGAN_HANG'!$A:$A,0)),"Không tìm thấy"))</f>
        <v/>
      </c>
      <c r="E720">
        <f>IF(C720="","",IFERROR(INDEX('30_NGAN_HANG'!$Y:$Y,MATCH(C720,'30_NGAN_HANG'!$A:$A,0)),""))</f>
        <v/>
      </c>
    </row>
    <row r="721">
      <c r="D721">
        <f>IF(C721="","",IFERROR(INDEX('30_NGAN_HANG'!$D:$D,MATCH(C721,'30_NGAN_HANG'!$A:$A,0)),"Không tìm thấy"))</f>
        <v/>
      </c>
      <c r="E721">
        <f>IF(C721="","",IFERROR(INDEX('30_NGAN_HANG'!$Y:$Y,MATCH(C721,'30_NGAN_HANG'!$A:$A,0)),""))</f>
        <v/>
      </c>
    </row>
    <row r="722">
      <c r="D722">
        <f>IF(C722="","",IFERROR(INDEX('30_NGAN_HANG'!$D:$D,MATCH(C722,'30_NGAN_HANG'!$A:$A,0)),"Không tìm thấy"))</f>
        <v/>
      </c>
      <c r="E722">
        <f>IF(C722="","",IFERROR(INDEX('30_NGAN_HANG'!$Y:$Y,MATCH(C722,'30_NGAN_HANG'!$A:$A,0)),""))</f>
        <v/>
      </c>
    </row>
    <row r="723">
      <c r="D723">
        <f>IF(C723="","",IFERROR(INDEX('30_NGAN_HANG'!$D:$D,MATCH(C723,'30_NGAN_HANG'!$A:$A,0)),"Không tìm thấy"))</f>
        <v/>
      </c>
      <c r="E723">
        <f>IF(C723="","",IFERROR(INDEX('30_NGAN_HANG'!$Y:$Y,MATCH(C723,'30_NGAN_HANG'!$A:$A,0)),""))</f>
        <v/>
      </c>
    </row>
    <row r="724">
      <c r="D724">
        <f>IF(C724="","",IFERROR(INDEX('30_NGAN_HANG'!$D:$D,MATCH(C724,'30_NGAN_HANG'!$A:$A,0)),"Không tìm thấy"))</f>
        <v/>
      </c>
      <c r="E724">
        <f>IF(C724="","",IFERROR(INDEX('30_NGAN_HANG'!$Y:$Y,MATCH(C724,'30_NGAN_HANG'!$A:$A,0)),""))</f>
        <v/>
      </c>
    </row>
    <row r="725">
      <c r="D725">
        <f>IF(C725="","",IFERROR(INDEX('30_NGAN_HANG'!$D:$D,MATCH(C725,'30_NGAN_HANG'!$A:$A,0)),"Không tìm thấy"))</f>
        <v/>
      </c>
      <c r="E725">
        <f>IF(C725="","",IFERROR(INDEX('30_NGAN_HANG'!$Y:$Y,MATCH(C725,'30_NGAN_HANG'!$A:$A,0)),""))</f>
        <v/>
      </c>
    </row>
    <row r="726">
      <c r="D726">
        <f>IF(C726="","",IFERROR(INDEX('30_NGAN_HANG'!$D:$D,MATCH(C726,'30_NGAN_HANG'!$A:$A,0)),"Không tìm thấy"))</f>
        <v/>
      </c>
      <c r="E726">
        <f>IF(C726="","",IFERROR(INDEX('30_NGAN_HANG'!$Y:$Y,MATCH(C726,'30_NGAN_HANG'!$A:$A,0)),""))</f>
        <v/>
      </c>
    </row>
    <row r="727">
      <c r="D727">
        <f>IF(C727="","",IFERROR(INDEX('30_NGAN_HANG'!$D:$D,MATCH(C727,'30_NGAN_HANG'!$A:$A,0)),"Không tìm thấy"))</f>
        <v/>
      </c>
      <c r="E727">
        <f>IF(C727="","",IFERROR(INDEX('30_NGAN_HANG'!$Y:$Y,MATCH(C727,'30_NGAN_HANG'!$A:$A,0)),""))</f>
        <v/>
      </c>
    </row>
    <row r="728">
      <c r="D728">
        <f>IF(C728="","",IFERROR(INDEX('30_NGAN_HANG'!$D:$D,MATCH(C728,'30_NGAN_HANG'!$A:$A,0)),"Không tìm thấy"))</f>
        <v/>
      </c>
      <c r="E728">
        <f>IF(C728="","",IFERROR(INDEX('30_NGAN_HANG'!$Y:$Y,MATCH(C728,'30_NGAN_HANG'!$A:$A,0)),""))</f>
        <v/>
      </c>
    </row>
    <row r="729">
      <c r="D729">
        <f>IF(C729="","",IFERROR(INDEX('30_NGAN_HANG'!$D:$D,MATCH(C729,'30_NGAN_HANG'!$A:$A,0)),"Không tìm thấy"))</f>
        <v/>
      </c>
      <c r="E729">
        <f>IF(C729="","",IFERROR(INDEX('30_NGAN_HANG'!$Y:$Y,MATCH(C729,'30_NGAN_HANG'!$A:$A,0)),""))</f>
        <v/>
      </c>
    </row>
    <row r="730">
      <c r="D730">
        <f>IF(C730="","",IFERROR(INDEX('30_NGAN_HANG'!$D:$D,MATCH(C730,'30_NGAN_HANG'!$A:$A,0)),"Không tìm thấy"))</f>
        <v/>
      </c>
      <c r="E730">
        <f>IF(C730="","",IFERROR(INDEX('30_NGAN_HANG'!$Y:$Y,MATCH(C730,'30_NGAN_HANG'!$A:$A,0)),""))</f>
        <v/>
      </c>
    </row>
    <row r="731">
      <c r="D731">
        <f>IF(C731="","",IFERROR(INDEX('30_NGAN_HANG'!$D:$D,MATCH(C731,'30_NGAN_HANG'!$A:$A,0)),"Không tìm thấy"))</f>
        <v/>
      </c>
      <c r="E731">
        <f>IF(C731="","",IFERROR(INDEX('30_NGAN_HANG'!$Y:$Y,MATCH(C731,'30_NGAN_HANG'!$A:$A,0)),""))</f>
        <v/>
      </c>
    </row>
    <row r="732">
      <c r="D732">
        <f>IF(C732="","",IFERROR(INDEX('30_NGAN_HANG'!$D:$D,MATCH(C732,'30_NGAN_HANG'!$A:$A,0)),"Không tìm thấy"))</f>
        <v/>
      </c>
      <c r="E732">
        <f>IF(C732="","",IFERROR(INDEX('30_NGAN_HANG'!$Y:$Y,MATCH(C732,'30_NGAN_HANG'!$A:$A,0)),""))</f>
        <v/>
      </c>
    </row>
    <row r="733">
      <c r="D733">
        <f>IF(C733="","",IFERROR(INDEX('30_NGAN_HANG'!$D:$D,MATCH(C733,'30_NGAN_HANG'!$A:$A,0)),"Không tìm thấy"))</f>
        <v/>
      </c>
      <c r="E733">
        <f>IF(C733="","",IFERROR(INDEX('30_NGAN_HANG'!$Y:$Y,MATCH(C733,'30_NGAN_HANG'!$A:$A,0)),""))</f>
        <v/>
      </c>
    </row>
    <row r="734">
      <c r="D734">
        <f>IF(C734="","",IFERROR(INDEX('30_NGAN_HANG'!$D:$D,MATCH(C734,'30_NGAN_HANG'!$A:$A,0)),"Không tìm thấy"))</f>
        <v/>
      </c>
      <c r="E734">
        <f>IF(C734="","",IFERROR(INDEX('30_NGAN_HANG'!$Y:$Y,MATCH(C734,'30_NGAN_HANG'!$A:$A,0)),""))</f>
        <v/>
      </c>
    </row>
    <row r="735">
      <c r="D735">
        <f>IF(C735="","",IFERROR(INDEX('30_NGAN_HANG'!$D:$D,MATCH(C735,'30_NGAN_HANG'!$A:$A,0)),"Không tìm thấy"))</f>
        <v/>
      </c>
      <c r="E735">
        <f>IF(C735="","",IFERROR(INDEX('30_NGAN_HANG'!$Y:$Y,MATCH(C735,'30_NGAN_HANG'!$A:$A,0)),""))</f>
        <v/>
      </c>
    </row>
    <row r="736">
      <c r="D736">
        <f>IF(C736="","",IFERROR(INDEX('30_NGAN_HANG'!$D:$D,MATCH(C736,'30_NGAN_HANG'!$A:$A,0)),"Không tìm thấy"))</f>
        <v/>
      </c>
      <c r="E736">
        <f>IF(C736="","",IFERROR(INDEX('30_NGAN_HANG'!$Y:$Y,MATCH(C736,'30_NGAN_HANG'!$A:$A,0)),""))</f>
        <v/>
      </c>
    </row>
    <row r="737">
      <c r="D737">
        <f>IF(C737="","",IFERROR(INDEX('30_NGAN_HANG'!$D:$D,MATCH(C737,'30_NGAN_HANG'!$A:$A,0)),"Không tìm thấy"))</f>
        <v/>
      </c>
      <c r="E737">
        <f>IF(C737="","",IFERROR(INDEX('30_NGAN_HANG'!$Y:$Y,MATCH(C737,'30_NGAN_HANG'!$A:$A,0)),""))</f>
        <v/>
      </c>
    </row>
    <row r="738">
      <c r="D738">
        <f>IF(C738="","",IFERROR(INDEX('30_NGAN_HANG'!$D:$D,MATCH(C738,'30_NGAN_HANG'!$A:$A,0)),"Không tìm thấy"))</f>
        <v/>
      </c>
      <c r="E738">
        <f>IF(C738="","",IFERROR(INDEX('30_NGAN_HANG'!$Y:$Y,MATCH(C738,'30_NGAN_HANG'!$A:$A,0)),""))</f>
        <v/>
      </c>
    </row>
    <row r="739">
      <c r="D739">
        <f>IF(C739="","",IFERROR(INDEX('30_NGAN_HANG'!$D:$D,MATCH(C739,'30_NGAN_HANG'!$A:$A,0)),"Không tìm thấy"))</f>
        <v/>
      </c>
      <c r="E739">
        <f>IF(C739="","",IFERROR(INDEX('30_NGAN_HANG'!$Y:$Y,MATCH(C739,'30_NGAN_HANG'!$A:$A,0)),""))</f>
        <v/>
      </c>
    </row>
    <row r="740">
      <c r="D740">
        <f>IF(C740="","",IFERROR(INDEX('30_NGAN_HANG'!$D:$D,MATCH(C740,'30_NGAN_HANG'!$A:$A,0)),"Không tìm thấy"))</f>
        <v/>
      </c>
      <c r="E740">
        <f>IF(C740="","",IFERROR(INDEX('30_NGAN_HANG'!$Y:$Y,MATCH(C740,'30_NGAN_HANG'!$A:$A,0)),""))</f>
        <v/>
      </c>
    </row>
    <row r="741">
      <c r="D741">
        <f>IF(C741="","",IFERROR(INDEX('30_NGAN_HANG'!$D:$D,MATCH(C741,'30_NGAN_HANG'!$A:$A,0)),"Không tìm thấy"))</f>
        <v/>
      </c>
      <c r="E741">
        <f>IF(C741="","",IFERROR(INDEX('30_NGAN_HANG'!$Y:$Y,MATCH(C741,'30_NGAN_HANG'!$A:$A,0)),""))</f>
        <v/>
      </c>
    </row>
    <row r="742">
      <c r="D742">
        <f>IF(C742="","",IFERROR(INDEX('30_NGAN_HANG'!$D:$D,MATCH(C742,'30_NGAN_HANG'!$A:$A,0)),"Không tìm thấy"))</f>
        <v/>
      </c>
      <c r="E742">
        <f>IF(C742="","",IFERROR(INDEX('30_NGAN_HANG'!$Y:$Y,MATCH(C742,'30_NGAN_HANG'!$A:$A,0)),""))</f>
        <v/>
      </c>
    </row>
    <row r="743">
      <c r="D743">
        <f>IF(C743="","",IFERROR(INDEX('30_NGAN_HANG'!$D:$D,MATCH(C743,'30_NGAN_HANG'!$A:$A,0)),"Không tìm thấy"))</f>
        <v/>
      </c>
      <c r="E743">
        <f>IF(C743="","",IFERROR(INDEX('30_NGAN_HANG'!$Y:$Y,MATCH(C743,'30_NGAN_HANG'!$A:$A,0)),""))</f>
        <v/>
      </c>
    </row>
    <row r="744">
      <c r="D744">
        <f>IF(C744="","",IFERROR(INDEX('30_NGAN_HANG'!$D:$D,MATCH(C744,'30_NGAN_HANG'!$A:$A,0)),"Không tìm thấy"))</f>
        <v/>
      </c>
      <c r="E744">
        <f>IF(C744="","",IFERROR(INDEX('30_NGAN_HANG'!$Y:$Y,MATCH(C744,'30_NGAN_HANG'!$A:$A,0)),""))</f>
        <v/>
      </c>
    </row>
    <row r="745">
      <c r="D745">
        <f>IF(C745="","",IFERROR(INDEX('30_NGAN_HANG'!$D:$D,MATCH(C745,'30_NGAN_HANG'!$A:$A,0)),"Không tìm thấy"))</f>
        <v/>
      </c>
      <c r="E745">
        <f>IF(C745="","",IFERROR(INDEX('30_NGAN_HANG'!$Y:$Y,MATCH(C745,'30_NGAN_HANG'!$A:$A,0)),""))</f>
        <v/>
      </c>
    </row>
    <row r="746">
      <c r="D746">
        <f>IF(C746="","",IFERROR(INDEX('30_NGAN_HANG'!$D:$D,MATCH(C746,'30_NGAN_HANG'!$A:$A,0)),"Không tìm thấy"))</f>
        <v/>
      </c>
      <c r="E746">
        <f>IF(C746="","",IFERROR(INDEX('30_NGAN_HANG'!$Y:$Y,MATCH(C746,'30_NGAN_HANG'!$A:$A,0)),""))</f>
        <v/>
      </c>
    </row>
    <row r="747">
      <c r="D747">
        <f>IF(C747="","",IFERROR(INDEX('30_NGAN_HANG'!$D:$D,MATCH(C747,'30_NGAN_HANG'!$A:$A,0)),"Không tìm thấy"))</f>
        <v/>
      </c>
      <c r="E747">
        <f>IF(C747="","",IFERROR(INDEX('30_NGAN_HANG'!$Y:$Y,MATCH(C747,'30_NGAN_HANG'!$A:$A,0)),""))</f>
        <v/>
      </c>
    </row>
    <row r="748">
      <c r="D748">
        <f>IF(C748="","",IFERROR(INDEX('30_NGAN_HANG'!$D:$D,MATCH(C748,'30_NGAN_HANG'!$A:$A,0)),"Không tìm thấy"))</f>
        <v/>
      </c>
      <c r="E748">
        <f>IF(C748="","",IFERROR(INDEX('30_NGAN_HANG'!$Y:$Y,MATCH(C748,'30_NGAN_HANG'!$A:$A,0)),""))</f>
        <v/>
      </c>
    </row>
    <row r="749">
      <c r="D749">
        <f>IF(C749="","",IFERROR(INDEX('30_NGAN_HANG'!$D:$D,MATCH(C749,'30_NGAN_HANG'!$A:$A,0)),"Không tìm thấy"))</f>
        <v/>
      </c>
      <c r="E749">
        <f>IF(C749="","",IFERROR(INDEX('30_NGAN_HANG'!$Y:$Y,MATCH(C749,'30_NGAN_HANG'!$A:$A,0)),""))</f>
        <v/>
      </c>
    </row>
    <row r="750">
      <c r="D750">
        <f>IF(C750="","",IFERROR(INDEX('30_NGAN_HANG'!$D:$D,MATCH(C750,'30_NGAN_HANG'!$A:$A,0)),"Không tìm thấy"))</f>
        <v/>
      </c>
      <c r="E750">
        <f>IF(C750="","",IFERROR(INDEX('30_NGAN_HANG'!$Y:$Y,MATCH(C750,'30_NGAN_HANG'!$A:$A,0)),""))</f>
        <v/>
      </c>
    </row>
    <row r="751">
      <c r="D751">
        <f>IF(C751="","",IFERROR(INDEX('30_NGAN_HANG'!$D:$D,MATCH(C751,'30_NGAN_HANG'!$A:$A,0)),"Không tìm thấy"))</f>
        <v/>
      </c>
      <c r="E751">
        <f>IF(C751="","",IFERROR(INDEX('30_NGAN_HANG'!$Y:$Y,MATCH(C751,'30_NGAN_HANG'!$A:$A,0)),""))</f>
        <v/>
      </c>
    </row>
    <row r="752">
      <c r="D752">
        <f>IF(C752="","",IFERROR(INDEX('30_NGAN_HANG'!$D:$D,MATCH(C752,'30_NGAN_HANG'!$A:$A,0)),"Không tìm thấy"))</f>
        <v/>
      </c>
      <c r="E752">
        <f>IF(C752="","",IFERROR(INDEX('30_NGAN_HANG'!$Y:$Y,MATCH(C752,'30_NGAN_HANG'!$A:$A,0)),""))</f>
        <v/>
      </c>
    </row>
    <row r="753">
      <c r="D753">
        <f>IF(C753="","",IFERROR(INDEX('30_NGAN_HANG'!$D:$D,MATCH(C753,'30_NGAN_HANG'!$A:$A,0)),"Không tìm thấy"))</f>
        <v/>
      </c>
      <c r="E753">
        <f>IF(C753="","",IFERROR(INDEX('30_NGAN_HANG'!$Y:$Y,MATCH(C753,'30_NGAN_HANG'!$A:$A,0)),""))</f>
        <v/>
      </c>
    </row>
    <row r="754">
      <c r="D754">
        <f>IF(C754="","",IFERROR(INDEX('30_NGAN_HANG'!$D:$D,MATCH(C754,'30_NGAN_HANG'!$A:$A,0)),"Không tìm thấy"))</f>
        <v/>
      </c>
      <c r="E754">
        <f>IF(C754="","",IFERROR(INDEX('30_NGAN_HANG'!$Y:$Y,MATCH(C754,'30_NGAN_HANG'!$A:$A,0)),""))</f>
        <v/>
      </c>
    </row>
    <row r="755">
      <c r="D755">
        <f>IF(C755="","",IFERROR(INDEX('30_NGAN_HANG'!$D:$D,MATCH(C755,'30_NGAN_HANG'!$A:$A,0)),"Không tìm thấy"))</f>
        <v/>
      </c>
      <c r="E755">
        <f>IF(C755="","",IFERROR(INDEX('30_NGAN_HANG'!$Y:$Y,MATCH(C755,'30_NGAN_HANG'!$A:$A,0)),""))</f>
        <v/>
      </c>
    </row>
    <row r="756">
      <c r="D756">
        <f>IF(C756="","",IFERROR(INDEX('30_NGAN_HANG'!$D:$D,MATCH(C756,'30_NGAN_HANG'!$A:$A,0)),"Không tìm thấy"))</f>
        <v/>
      </c>
      <c r="E756">
        <f>IF(C756="","",IFERROR(INDEX('30_NGAN_HANG'!$Y:$Y,MATCH(C756,'30_NGAN_HANG'!$A:$A,0)),""))</f>
        <v/>
      </c>
    </row>
    <row r="757">
      <c r="D757">
        <f>IF(C757="","",IFERROR(INDEX('30_NGAN_HANG'!$D:$D,MATCH(C757,'30_NGAN_HANG'!$A:$A,0)),"Không tìm thấy"))</f>
        <v/>
      </c>
      <c r="E757">
        <f>IF(C757="","",IFERROR(INDEX('30_NGAN_HANG'!$Y:$Y,MATCH(C757,'30_NGAN_HANG'!$A:$A,0)),""))</f>
        <v/>
      </c>
    </row>
    <row r="758">
      <c r="D758">
        <f>IF(C758="","",IFERROR(INDEX('30_NGAN_HANG'!$D:$D,MATCH(C758,'30_NGAN_HANG'!$A:$A,0)),"Không tìm thấy"))</f>
        <v/>
      </c>
      <c r="E758">
        <f>IF(C758="","",IFERROR(INDEX('30_NGAN_HANG'!$Y:$Y,MATCH(C758,'30_NGAN_HANG'!$A:$A,0)),""))</f>
        <v/>
      </c>
    </row>
    <row r="759">
      <c r="D759">
        <f>IF(C759="","",IFERROR(INDEX('30_NGAN_HANG'!$D:$D,MATCH(C759,'30_NGAN_HANG'!$A:$A,0)),"Không tìm thấy"))</f>
        <v/>
      </c>
      <c r="E759">
        <f>IF(C759="","",IFERROR(INDEX('30_NGAN_HANG'!$Y:$Y,MATCH(C759,'30_NGAN_HANG'!$A:$A,0)),""))</f>
        <v/>
      </c>
    </row>
    <row r="760">
      <c r="D760">
        <f>IF(C760="","",IFERROR(INDEX('30_NGAN_HANG'!$D:$D,MATCH(C760,'30_NGAN_HANG'!$A:$A,0)),"Không tìm thấy"))</f>
        <v/>
      </c>
      <c r="E760">
        <f>IF(C760="","",IFERROR(INDEX('30_NGAN_HANG'!$Y:$Y,MATCH(C760,'30_NGAN_HANG'!$A:$A,0)),""))</f>
        <v/>
      </c>
    </row>
    <row r="761">
      <c r="D761">
        <f>IF(C761="","",IFERROR(INDEX('30_NGAN_HANG'!$D:$D,MATCH(C761,'30_NGAN_HANG'!$A:$A,0)),"Không tìm thấy"))</f>
        <v/>
      </c>
      <c r="E761">
        <f>IF(C761="","",IFERROR(INDEX('30_NGAN_HANG'!$Y:$Y,MATCH(C761,'30_NGAN_HANG'!$A:$A,0)),""))</f>
        <v/>
      </c>
    </row>
    <row r="762">
      <c r="D762">
        <f>IF(C762="","",IFERROR(INDEX('30_NGAN_HANG'!$D:$D,MATCH(C762,'30_NGAN_HANG'!$A:$A,0)),"Không tìm thấy"))</f>
        <v/>
      </c>
      <c r="E762">
        <f>IF(C762="","",IFERROR(INDEX('30_NGAN_HANG'!$Y:$Y,MATCH(C762,'30_NGAN_HANG'!$A:$A,0)),""))</f>
        <v/>
      </c>
    </row>
    <row r="763">
      <c r="D763">
        <f>IF(C763="","",IFERROR(INDEX('30_NGAN_HANG'!$D:$D,MATCH(C763,'30_NGAN_HANG'!$A:$A,0)),"Không tìm thấy"))</f>
        <v/>
      </c>
      <c r="E763">
        <f>IF(C763="","",IFERROR(INDEX('30_NGAN_HANG'!$Y:$Y,MATCH(C763,'30_NGAN_HANG'!$A:$A,0)),""))</f>
        <v/>
      </c>
    </row>
    <row r="764">
      <c r="D764">
        <f>IF(C764="","",IFERROR(INDEX('30_NGAN_HANG'!$D:$D,MATCH(C764,'30_NGAN_HANG'!$A:$A,0)),"Không tìm thấy"))</f>
        <v/>
      </c>
      <c r="E764">
        <f>IF(C764="","",IFERROR(INDEX('30_NGAN_HANG'!$Y:$Y,MATCH(C764,'30_NGAN_HANG'!$A:$A,0)),""))</f>
        <v/>
      </c>
    </row>
    <row r="765">
      <c r="D765">
        <f>IF(C765="","",IFERROR(INDEX('30_NGAN_HANG'!$D:$D,MATCH(C765,'30_NGAN_HANG'!$A:$A,0)),"Không tìm thấy"))</f>
        <v/>
      </c>
      <c r="E765">
        <f>IF(C765="","",IFERROR(INDEX('30_NGAN_HANG'!$Y:$Y,MATCH(C765,'30_NGAN_HANG'!$A:$A,0)),""))</f>
        <v/>
      </c>
    </row>
    <row r="766">
      <c r="D766">
        <f>IF(C766="","",IFERROR(INDEX('30_NGAN_HANG'!$D:$D,MATCH(C766,'30_NGAN_HANG'!$A:$A,0)),"Không tìm thấy"))</f>
        <v/>
      </c>
      <c r="E766">
        <f>IF(C766="","",IFERROR(INDEX('30_NGAN_HANG'!$Y:$Y,MATCH(C766,'30_NGAN_HANG'!$A:$A,0)),""))</f>
        <v/>
      </c>
    </row>
    <row r="767">
      <c r="D767">
        <f>IF(C767="","",IFERROR(INDEX('30_NGAN_HANG'!$D:$D,MATCH(C767,'30_NGAN_HANG'!$A:$A,0)),"Không tìm thấy"))</f>
        <v/>
      </c>
      <c r="E767">
        <f>IF(C767="","",IFERROR(INDEX('30_NGAN_HANG'!$Y:$Y,MATCH(C767,'30_NGAN_HANG'!$A:$A,0)),""))</f>
        <v/>
      </c>
    </row>
    <row r="768">
      <c r="D768">
        <f>IF(C768="","",IFERROR(INDEX('30_NGAN_HANG'!$D:$D,MATCH(C768,'30_NGAN_HANG'!$A:$A,0)),"Không tìm thấy"))</f>
        <v/>
      </c>
      <c r="E768">
        <f>IF(C768="","",IFERROR(INDEX('30_NGAN_HANG'!$Y:$Y,MATCH(C768,'30_NGAN_HANG'!$A:$A,0)),""))</f>
        <v/>
      </c>
    </row>
    <row r="769">
      <c r="D769">
        <f>IF(C769="","",IFERROR(INDEX('30_NGAN_HANG'!$D:$D,MATCH(C769,'30_NGAN_HANG'!$A:$A,0)),"Không tìm thấy"))</f>
        <v/>
      </c>
      <c r="E769">
        <f>IF(C769="","",IFERROR(INDEX('30_NGAN_HANG'!$Y:$Y,MATCH(C769,'30_NGAN_HANG'!$A:$A,0)),""))</f>
        <v/>
      </c>
    </row>
    <row r="770">
      <c r="D770">
        <f>IF(C770="","",IFERROR(INDEX('30_NGAN_HANG'!$D:$D,MATCH(C770,'30_NGAN_HANG'!$A:$A,0)),"Không tìm thấy"))</f>
        <v/>
      </c>
      <c r="E770">
        <f>IF(C770="","",IFERROR(INDEX('30_NGAN_HANG'!$Y:$Y,MATCH(C770,'30_NGAN_HANG'!$A:$A,0)),""))</f>
        <v/>
      </c>
    </row>
    <row r="771">
      <c r="D771">
        <f>IF(C771="","",IFERROR(INDEX('30_NGAN_HANG'!$D:$D,MATCH(C771,'30_NGAN_HANG'!$A:$A,0)),"Không tìm thấy"))</f>
        <v/>
      </c>
      <c r="E771">
        <f>IF(C771="","",IFERROR(INDEX('30_NGAN_HANG'!$Y:$Y,MATCH(C771,'30_NGAN_HANG'!$A:$A,0)),""))</f>
        <v/>
      </c>
    </row>
    <row r="772">
      <c r="D772">
        <f>IF(C772="","",IFERROR(INDEX('30_NGAN_HANG'!$D:$D,MATCH(C772,'30_NGAN_HANG'!$A:$A,0)),"Không tìm thấy"))</f>
        <v/>
      </c>
      <c r="E772">
        <f>IF(C772="","",IFERROR(INDEX('30_NGAN_HANG'!$Y:$Y,MATCH(C772,'30_NGAN_HANG'!$A:$A,0)),""))</f>
        <v/>
      </c>
    </row>
    <row r="773">
      <c r="D773">
        <f>IF(C773="","",IFERROR(INDEX('30_NGAN_HANG'!$D:$D,MATCH(C773,'30_NGAN_HANG'!$A:$A,0)),"Không tìm thấy"))</f>
        <v/>
      </c>
      <c r="E773">
        <f>IF(C773="","",IFERROR(INDEX('30_NGAN_HANG'!$Y:$Y,MATCH(C773,'30_NGAN_HANG'!$A:$A,0)),""))</f>
        <v/>
      </c>
    </row>
    <row r="774">
      <c r="D774">
        <f>IF(C774="","",IFERROR(INDEX('30_NGAN_HANG'!$D:$D,MATCH(C774,'30_NGAN_HANG'!$A:$A,0)),"Không tìm thấy"))</f>
        <v/>
      </c>
      <c r="E774">
        <f>IF(C774="","",IFERROR(INDEX('30_NGAN_HANG'!$Y:$Y,MATCH(C774,'30_NGAN_HANG'!$A:$A,0)),""))</f>
        <v/>
      </c>
    </row>
    <row r="775">
      <c r="D775">
        <f>IF(C775="","",IFERROR(INDEX('30_NGAN_HANG'!$D:$D,MATCH(C775,'30_NGAN_HANG'!$A:$A,0)),"Không tìm thấy"))</f>
        <v/>
      </c>
      <c r="E775">
        <f>IF(C775="","",IFERROR(INDEX('30_NGAN_HANG'!$Y:$Y,MATCH(C775,'30_NGAN_HANG'!$A:$A,0)),""))</f>
        <v/>
      </c>
    </row>
    <row r="776">
      <c r="D776">
        <f>IF(C776="","",IFERROR(INDEX('30_NGAN_HANG'!$D:$D,MATCH(C776,'30_NGAN_HANG'!$A:$A,0)),"Không tìm thấy"))</f>
        <v/>
      </c>
      <c r="E776">
        <f>IF(C776="","",IFERROR(INDEX('30_NGAN_HANG'!$Y:$Y,MATCH(C776,'30_NGAN_HANG'!$A:$A,0)),""))</f>
        <v/>
      </c>
    </row>
    <row r="777">
      <c r="D777">
        <f>IF(C777="","",IFERROR(INDEX('30_NGAN_HANG'!$D:$D,MATCH(C777,'30_NGAN_HANG'!$A:$A,0)),"Không tìm thấy"))</f>
        <v/>
      </c>
      <c r="E777">
        <f>IF(C777="","",IFERROR(INDEX('30_NGAN_HANG'!$Y:$Y,MATCH(C777,'30_NGAN_HANG'!$A:$A,0)),""))</f>
        <v/>
      </c>
    </row>
    <row r="778">
      <c r="D778">
        <f>IF(C778="","",IFERROR(INDEX('30_NGAN_HANG'!$D:$D,MATCH(C778,'30_NGAN_HANG'!$A:$A,0)),"Không tìm thấy"))</f>
        <v/>
      </c>
      <c r="E778">
        <f>IF(C778="","",IFERROR(INDEX('30_NGAN_HANG'!$Y:$Y,MATCH(C778,'30_NGAN_HANG'!$A:$A,0)),""))</f>
        <v/>
      </c>
    </row>
    <row r="779">
      <c r="D779">
        <f>IF(C779="","",IFERROR(INDEX('30_NGAN_HANG'!$D:$D,MATCH(C779,'30_NGAN_HANG'!$A:$A,0)),"Không tìm thấy"))</f>
        <v/>
      </c>
      <c r="E779">
        <f>IF(C779="","",IFERROR(INDEX('30_NGAN_HANG'!$Y:$Y,MATCH(C779,'30_NGAN_HANG'!$A:$A,0)),""))</f>
        <v/>
      </c>
    </row>
    <row r="780">
      <c r="D780">
        <f>IF(C780="","",IFERROR(INDEX('30_NGAN_HANG'!$D:$D,MATCH(C780,'30_NGAN_HANG'!$A:$A,0)),"Không tìm thấy"))</f>
        <v/>
      </c>
      <c r="E780">
        <f>IF(C780="","",IFERROR(INDEX('30_NGAN_HANG'!$Y:$Y,MATCH(C780,'30_NGAN_HANG'!$A:$A,0)),""))</f>
        <v/>
      </c>
    </row>
    <row r="781">
      <c r="D781">
        <f>IF(C781="","",IFERROR(INDEX('30_NGAN_HANG'!$D:$D,MATCH(C781,'30_NGAN_HANG'!$A:$A,0)),"Không tìm thấy"))</f>
        <v/>
      </c>
      <c r="E781">
        <f>IF(C781="","",IFERROR(INDEX('30_NGAN_HANG'!$Y:$Y,MATCH(C781,'30_NGAN_HANG'!$A:$A,0)),""))</f>
        <v/>
      </c>
    </row>
    <row r="782">
      <c r="D782">
        <f>IF(C782="","",IFERROR(INDEX('30_NGAN_HANG'!$D:$D,MATCH(C782,'30_NGAN_HANG'!$A:$A,0)),"Không tìm thấy"))</f>
        <v/>
      </c>
      <c r="E782">
        <f>IF(C782="","",IFERROR(INDEX('30_NGAN_HANG'!$Y:$Y,MATCH(C782,'30_NGAN_HANG'!$A:$A,0)),""))</f>
        <v/>
      </c>
    </row>
    <row r="783">
      <c r="D783">
        <f>IF(C783="","",IFERROR(INDEX('30_NGAN_HANG'!$D:$D,MATCH(C783,'30_NGAN_HANG'!$A:$A,0)),"Không tìm thấy"))</f>
        <v/>
      </c>
      <c r="E783">
        <f>IF(C783="","",IFERROR(INDEX('30_NGAN_HANG'!$Y:$Y,MATCH(C783,'30_NGAN_HANG'!$A:$A,0)),""))</f>
        <v/>
      </c>
    </row>
    <row r="784">
      <c r="D784">
        <f>IF(C784="","",IFERROR(INDEX('30_NGAN_HANG'!$D:$D,MATCH(C784,'30_NGAN_HANG'!$A:$A,0)),"Không tìm thấy"))</f>
        <v/>
      </c>
      <c r="E784">
        <f>IF(C784="","",IFERROR(INDEX('30_NGAN_HANG'!$Y:$Y,MATCH(C784,'30_NGAN_HANG'!$A:$A,0)),""))</f>
        <v/>
      </c>
    </row>
    <row r="785">
      <c r="D785">
        <f>IF(C785="","",IFERROR(INDEX('30_NGAN_HANG'!$D:$D,MATCH(C785,'30_NGAN_HANG'!$A:$A,0)),"Không tìm thấy"))</f>
        <v/>
      </c>
      <c r="E785">
        <f>IF(C785="","",IFERROR(INDEX('30_NGAN_HANG'!$Y:$Y,MATCH(C785,'30_NGAN_HANG'!$A:$A,0)),""))</f>
        <v/>
      </c>
    </row>
    <row r="786">
      <c r="D786">
        <f>IF(C786="","",IFERROR(INDEX('30_NGAN_HANG'!$D:$D,MATCH(C786,'30_NGAN_HANG'!$A:$A,0)),"Không tìm thấy"))</f>
        <v/>
      </c>
      <c r="E786">
        <f>IF(C786="","",IFERROR(INDEX('30_NGAN_HANG'!$Y:$Y,MATCH(C786,'30_NGAN_HANG'!$A:$A,0)),""))</f>
        <v/>
      </c>
    </row>
    <row r="787">
      <c r="D787">
        <f>IF(C787="","",IFERROR(INDEX('30_NGAN_HANG'!$D:$D,MATCH(C787,'30_NGAN_HANG'!$A:$A,0)),"Không tìm thấy"))</f>
        <v/>
      </c>
      <c r="E787">
        <f>IF(C787="","",IFERROR(INDEX('30_NGAN_HANG'!$Y:$Y,MATCH(C787,'30_NGAN_HANG'!$A:$A,0)),""))</f>
        <v/>
      </c>
    </row>
    <row r="788">
      <c r="D788">
        <f>IF(C788="","",IFERROR(INDEX('30_NGAN_HANG'!$D:$D,MATCH(C788,'30_NGAN_HANG'!$A:$A,0)),"Không tìm thấy"))</f>
        <v/>
      </c>
      <c r="E788">
        <f>IF(C788="","",IFERROR(INDEX('30_NGAN_HANG'!$Y:$Y,MATCH(C788,'30_NGAN_HANG'!$A:$A,0)),""))</f>
        <v/>
      </c>
    </row>
    <row r="789">
      <c r="D789">
        <f>IF(C789="","",IFERROR(INDEX('30_NGAN_HANG'!$D:$D,MATCH(C789,'30_NGAN_HANG'!$A:$A,0)),"Không tìm thấy"))</f>
        <v/>
      </c>
      <c r="E789">
        <f>IF(C789="","",IFERROR(INDEX('30_NGAN_HANG'!$Y:$Y,MATCH(C789,'30_NGAN_HANG'!$A:$A,0)),""))</f>
        <v/>
      </c>
    </row>
    <row r="790">
      <c r="D790">
        <f>IF(C790="","",IFERROR(INDEX('30_NGAN_HANG'!$D:$D,MATCH(C790,'30_NGAN_HANG'!$A:$A,0)),"Không tìm thấy"))</f>
        <v/>
      </c>
      <c r="E790">
        <f>IF(C790="","",IFERROR(INDEX('30_NGAN_HANG'!$Y:$Y,MATCH(C790,'30_NGAN_HANG'!$A:$A,0)),""))</f>
        <v/>
      </c>
    </row>
    <row r="791">
      <c r="D791">
        <f>IF(C791="","",IFERROR(INDEX('30_NGAN_HANG'!$D:$D,MATCH(C791,'30_NGAN_HANG'!$A:$A,0)),"Không tìm thấy"))</f>
        <v/>
      </c>
      <c r="E791">
        <f>IF(C791="","",IFERROR(INDEX('30_NGAN_HANG'!$Y:$Y,MATCH(C791,'30_NGAN_HANG'!$A:$A,0)),""))</f>
        <v/>
      </c>
    </row>
    <row r="792">
      <c r="D792">
        <f>IF(C792="","",IFERROR(INDEX('30_NGAN_HANG'!$D:$D,MATCH(C792,'30_NGAN_HANG'!$A:$A,0)),"Không tìm thấy"))</f>
        <v/>
      </c>
      <c r="E792">
        <f>IF(C792="","",IFERROR(INDEX('30_NGAN_HANG'!$Y:$Y,MATCH(C792,'30_NGAN_HANG'!$A:$A,0)),""))</f>
        <v/>
      </c>
    </row>
    <row r="793">
      <c r="D793">
        <f>IF(C793="","",IFERROR(INDEX('30_NGAN_HANG'!$D:$D,MATCH(C793,'30_NGAN_HANG'!$A:$A,0)),"Không tìm thấy"))</f>
        <v/>
      </c>
      <c r="E793">
        <f>IF(C793="","",IFERROR(INDEX('30_NGAN_HANG'!$Y:$Y,MATCH(C793,'30_NGAN_HANG'!$A:$A,0)),""))</f>
        <v/>
      </c>
    </row>
    <row r="794">
      <c r="D794">
        <f>IF(C794="","",IFERROR(INDEX('30_NGAN_HANG'!$D:$D,MATCH(C794,'30_NGAN_HANG'!$A:$A,0)),"Không tìm thấy"))</f>
        <v/>
      </c>
      <c r="E794">
        <f>IF(C794="","",IFERROR(INDEX('30_NGAN_HANG'!$Y:$Y,MATCH(C794,'30_NGAN_HANG'!$A:$A,0)),""))</f>
        <v/>
      </c>
    </row>
    <row r="795">
      <c r="D795">
        <f>IF(C795="","",IFERROR(INDEX('30_NGAN_HANG'!$D:$D,MATCH(C795,'30_NGAN_HANG'!$A:$A,0)),"Không tìm thấy"))</f>
        <v/>
      </c>
      <c r="E795">
        <f>IF(C795="","",IFERROR(INDEX('30_NGAN_HANG'!$Y:$Y,MATCH(C795,'30_NGAN_HANG'!$A:$A,0)),""))</f>
        <v/>
      </c>
    </row>
    <row r="796">
      <c r="D796">
        <f>IF(C796="","",IFERROR(INDEX('30_NGAN_HANG'!$D:$D,MATCH(C796,'30_NGAN_HANG'!$A:$A,0)),"Không tìm thấy"))</f>
        <v/>
      </c>
      <c r="E796">
        <f>IF(C796="","",IFERROR(INDEX('30_NGAN_HANG'!$Y:$Y,MATCH(C796,'30_NGAN_HANG'!$A:$A,0)),""))</f>
        <v/>
      </c>
    </row>
    <row r="797">
      <c r="D797">
        <f>IF(C797="","",IFERROR(INDEX('30_NGAN_HANG'!$D:$D,MATCH(C797,'30_NGAN_HANG'!$A:$A,0)),"Không tìm thấy"))</f>
        <v/>
      </c>
      <c r="E797">
        <f>IF(C797="","",IFERROR(INDEX('30_NGAN_HANG'!$Y:$Y,MATCH(C797,'30_NGAN_HANG'!$A:$A,0)),""))</f>
        <v/>
      </c>
    </row>
    <row r="798">
      <c r="D798">
        <f>IF(C798="","",IFERROR(INDEX('30_NGAN_HANG'!$D:$D,MATCH(C798,'30_NGAN_HANG'!$A:$A,0)),"Không tìm thấy"))</f>
        <v/>
      </c>
      <c r="E798">
        <f>IF(C798="","",IFERROR(INDEX('30_NGAN_HANG'!$Y:$Y,MATCH(C798,'30_NGAN_HANG'!$A:$A,0)),""))</f>
        <v/>
      </c>
    </row>
    <row r="799">
      <c r="D799">
        <f>IF(C799="","",IFERROR(INDEX('30_NGAN_HANG'!$D:$D,MATCH(C799,'30_NGAN_HANG'!$A:$A,0)),"Không tìm thấy"))</f>
        <v/>
      </c>
      <c r="E799">
        <f>IF(C799="","",IFERROR(INDEX('30_NGAN_HANG'!$Y:$Y,MATCH(C799,'30_NGAN_HANG'!$A:$A,0)),""))</f>
        <v/>
      </c>
    </row>
    <row r="800">
      <c r="D800">
        <f>IF(C800="","",IFERROR(INDEX('30_NGAN_HANG'!$D:$D,MATCH(C800,'30_NGAN_HANG'!$A:$A,0)),"Không tìm thấy"))</f>
        <v/>
      </c>
      <c r="E800">
        <f>IF(C800="","",IFERROR(INDEX('30_NGAN_HANG'!$Y:$Y,MATCH(C800,'30_NGAN_HANG'!$A:$A,0)),""))</f>
        <v/>
      </c>
    </row>
    <row r="801">
      <c r="D801">
        <f>IF(C801="","",IFERROR(INDEX('30_NGAN_HANG'!$D:$D,MATCH(C801,'30_NGAN_HANG'!$A:$A,0)),"Không tìm thấy"))</f>
        <v/>
      </c>
      <c r="E801">
        <f>IF(C801="","",IFERROR(INDEX('30_NGAN_HANG'!$Y:$Y,MATCH(C801,'30_NGAN_HANG'!$A:$A,0)),""))</f>
        <v/>
      </c>
    </row>
    <row r="802">
      <c r="D802">
        <f>IF(C802="","",IFERROR(INDEX('30_NGAN_HANG'!$D:$D,MATCH(C802,'30_NGAN_HANG'!$A:$A,0)),"Không tìm thấy"))</f>
        <v/>
      </c>
      <c r="E802">
        <f>IF(C802="","",IFERROR(INDEX('30_NGAN_HANG'!$Y:$Y,MATCH(C802,'30_NGAN_HANG'!$A:$A,0)),""))</f>
        <v/>
      </c>
    </row>
    <row r="803">
      <c r="D803">
        <f>IF(C803="","",IFERROR(INDEX('30_NGAN_HANG'!$D:$D,MATCH(C803,'30_NGAN_HANG'!$A:$A,0)),"Không tìm thấy"))</f>
        <v/>
      </c>
      <c r="E803">
        <f>IF(C803="","",IFERROR(INDEX('30_NGAN_HANG'!$Y:$Y,MATCH(C803,'30_NGAN_HANG'!$A:$A,0)),""))</f>
        <v/>
      </c>
    </row>
    <row r="804">
      <c r="D804">
        <f>IF(C804="","",IFERROR(INDEX('30_NGAN_HANG'!$D:$D,MATCH(C804,'30_NGAN_HANG'!$A:$A,0)),"Không tìm thấy"))</f>
        <v/>
      </c>
      <c r="E804">
        <f>IF(C804="","",IFERROR(INDEX('30_NGAN_HANG'!$Y:$Y,MATCH(C804,'30_NGAN_HANG'!$A:$A,0)),""))</f>
        <v/>
      </c>
    </row>
    <row r="805">
      <c r="D805">
        <f>IF(C805="","",IFERROR(INDEX('30_NGAN_HANG'!$D:$D,MATCH(C805,'30_NGAN_HANG'!$A:$A,0)),"Không tìm thấy"))</f>
        <v/>
      </c>
      <c r="E805">
        <f>IF(C805="","",IFERROR(INDEX('30_NGAN_HANG'!$Y:$Y,MATCH(C805,'30_NGAN_HANG'!$A:$A,0)),""))</f>
        <v/>
      </c>
    </row>
    <row r="806">
      <c r="D806">
        <f>IF(C806="","",IFERROR(INDEX('30_NGAN_HANG'!$D:$D,MATCH(C806,'30_NGAN_HANG'!$A:$A,0)),"Không tìm thấy"))</f>
        <v/>
      </c>
      <c r="E806">
        <f>IF(C806="","",IFERROR(INDEX('30_NGAN_HANG'!$Y:$Y,MATCH(C806,'30_NGAN_HANG'!$A:$A,0)),""))</f>
        <v/>
      </c>
    </row>
    <row r="807">
      <c r="D807">
        <f>IF(C807="","",IFERROR(INDEX('30_NGAN_HANG'!$D:$D,MATCH(C807,'30_NGAN_HANG'!$A:$A,0)),"Không tìm thấy"))</f>
        <v/>
      </c>
      <c r="E807">
        <f>IF(C807="","",IFERROR(INDEX('30_NGAN_HANG'!$Y:$Y,MATCH(C807,'30_NGAN_HANG'!$A:$A,0)),""))</f>
        <v/>
      </c>
    </row>
    <row r="808">
      <c r="D808">
        <f>IF(C808="","",IFERROR(INDEX('30_NGAN_HANG'!$D:$D,MATCH(C808,'30_NGAN_HANG'!$A:$A,0)),"Không tìm thấy"))</f>
        <v/>
      </c>
      <c r="E808">
        <f>IF(C808="","",IFERROR(INDEX('30_NGAN_HANG'!$Y:$Y,MATCH(C808,'30_NGAN_HANG'!$A:$A,0)),""))</f>
        <v/>
      </c>
    </row>
    <row r="809">
      <c r="D809">
        <f>IF(C809="","",IFERROR(INDEX('30_NGAN_HANG'!$D:$D,MATCH(C809,'30_NGAN_HANG'!$A:$A,0)),"Không tìm thấy"))</f>
        <v/>
      </c>
      <c r="E809">
        <f>IF(C809="","",IFERROR(INDEX('30_NGAN_HANG'!$Y:$Y,MATCH(C809,'30_NGAN_HANG'!$A:$A,0)),""))</f>
        <v/>
      </c>
    </row>
    <row r="810">
      <c r="D810">
        <f>IF(C810="","",IFERROR(INDEX('30_NGAN_HANG'!$D:$D,MATCH(C810,'30_NGAN_HANG'!$A:$A,0)),"Không tìm thấy"))</f>
        <v/>
      </c>
      <c r="E810">
        <f>IF(C810="","",IFERROR(INDEX('30_NGAN_HANG'!$Y:$Y,MATCH(C810,'30_NGAN_HANG'!$A:$A,0)),""))</f>
        <v/>
      </c>
    </row>
    <row r="811">
      <c r="D811">
        <f>IF(C811="","",IFERROR(INDEX('30_NGAN_HANG'!$D:$D,MATCH(C811,'30_NGAN_HANG'!$A:$A,0)),"Không tìm thấy"))</f>
        <v/>
      </c>
      <c r="E811">
        <f>IF(C811="","",IFERROR(INDEX('30_NGAN_HANG'!$Y:$Y,MATCH(C811,'30_NGAN_HANG'!$A:$A,0)),""))</f>
        <v/>
      </c>
    </row>
    <row r="812">
      <c r="D812">
        <f>IF(C812="","",IFERROR(INDEX('30_NGAN_HANG'!$D:$D,MATCH(C812,'30_NGAN_HANG'!$A:$A,0)),"Không tìm thấy"))</f>
        <v/>
      </c>
      <c r="E812">
        <f>IF(C812="","",IFERROR(INDEX('30_NGAN_HANG'!$Y:$Y,MATCH(C812,'30_NGAN_HANG'!$A:$A,0)),""))</f>
        <v/>
      </c>
    </row>
    <row r="813">
      <c r="D813">
        <f>IF(C813="","",IFERROR(INDEX('30_NGAN_HANG'!$D:$D,MATCH(C813,'30_NGAN_HANG'!$A:$A,0)),"Không tìm thấy"))</f>
        <v/>
      </c>
      <c r="E813">
        <f>IF(C813="","",IFERROR(INDEX('30_NGAN_HANG'!$Y:$Y,MATCH(C813,'30_NGAN_HANG'!$A:$A,0)),""))</f>
        <v/>
      </c>
    </row>
    <row r="814">
      <c r="D814">
        <f>IF(C814="","",IFERROR(INDEX('30_NGAN_HANG'!$D:$D,MATCH(C814,'30_NGAN_HANG'!$A:$A,0)),"Không tìm thấy"))</f>
        <v/>
      </c>
      <c r="E814">
        <f>IF(C814="","",IFERROR(INDEX('30_NGAN_HANG'!$Y:$Y,MATCH(C814,'30_NGAN_HANG'!$A:$A,0)),""))</f>
        <v/>
      </c>
    </row>
    <row r="815">
      <c r="D815">
        <f>IF(C815="","",IFERROR(INDEX('30_NGAN_HANG'!$D:$D,MATCH(C815,'30_NGAN_HANG'!$A:$A,0)),"Không tìm thấy"))</f>
        <v/>
      </c>
      <c r="E815">
        <f>IF(C815="","",IFERROR(INDEX('30_NGAN_HANG'!$Y:$Y,MATCH(C815,'30_NGAN_HANG'!$A:$A,0)),""))</f>
        <v/>
      </c>
    </row>
    <row r="816">
      <c r="D816">
        <f>IF(C816="","",IFERROR(INDEX('30_NGAN_HANG'!$D:$D,MATCH(C816,'30_NGAN_HANG'!$A:$A,0)),"Không tìm thấy"))</f>
        <v/>
      </c>
      <c r="E816">
        <f>IF(C816="","",IFERROR(INDEX('30_NGAN_HANG'!$Y:$Y,MATCH(C816,'30_NGAN_HANG'!$A:$A,0)),""))</f>
        <v/>
      </c>
    </row>
    <row r="817">
      <c r="D817">
        <f>IF(C817="","",IFERROR(INDEX('30_NGAN_HANG'!$D:$D,MATCH(C817,'30_NGAN_HANG'!$A:$A,0)),"Không tìm thấy"))</f>
        <v/>
      </c>
      <c r="E817">
        <f>IF(C817="","",IFERROR(INDEX('30_NGAN_HANG'!$Y:$Y,MATCH(C817,'30_NGAN_HANG'!$A:$A,0)),""))</f>
        <v/>
      </c>
    </row>
    <row r="818">
      <c r="D818">
        <f>IF(C818="","",IFERROR(INDEX('30_NGAN_HANG'!$D:$D,MATCH(C818,'30_NGAN_HANG'!$A:$A,0)),"Không tìm thấy"))</f>
        <v/>
      </c>
      <c r="E818">
        <f>IF(C818="","",IFERROR(INDEX('30_NGAN_HANG'!$Y:$Y,MATCH(C818,'30_NGAN_HANG'!$A:$A,0)),""))</f>
        <v/>
      </c>
    </row>
    <row r="819">
      <c r="D819">
        <f>IF(C819="","",IFERROR(INDEX('30_NGAN_HANG'!$D:$D,MATCH(C819,'30_NGAN_HANG'!$A:$A,0)),"Không tìm thấy"))</f>
        <v/>
      </c>
      <c r="E819">
        <f>IF(C819="","",IFERROR(INDEX('30_NGAN_HANG'!$Y:$Y,MATCH(C819,'30_NGAN_HANG'!$A:$A,0)),""))</f>
        <v/>
      </c>
    </row>
    <row r="820">
      <c r="D820">
        <f>IF(C820="","",IFERROR(INDEX('30_NGAN_HANG'!$D:$D,MATCH(C820,'30_NGAN_HANG'!$A:$A,0)),"Không tìm thấy"))</f>
        <v/>
      </c>
      <c r="E820">
        <f>IF(C820="","",IFERROR(INDEX('30_NGAN_HANG'!$Y:$Y,MATCH(C820,'30_NGAN_HANG'!$A:$A,0)),""))</f>
        <v/>
      </c>
    </row>
    <row r="821">
      <c r="D821">
        <f>IF(C821="","",IFERROR(INDEX('30_NGAN_HANG'!$D:$D,MATCH(C821,'30_NGAN_HANG'!$A:$A,0)),"Không tìm thấy"))</f>
        <v/>
      </c>
      <c r="E821">
        <f>IF(C821="","",IFERROR(INDEX('30_NGAN_HANG'!$Y:$Y,MATCH(C821,'30_NGAN_HANG'!$A:$A,0)),""))</f>
        <v/>
      </c>
    </row>
    <row r="822">
      <c r="D822">
        <f>IF(C822="","",IFERROR(INDEX('30_NGAN_HANG'!$D:$D,MATCH(C822,'30_NGAN_HANG'!$A:$A,0)),"Không tìm thấy"))</f>
        <v/>
      </c>
      <c r="E822">
        <f>IF(C822="","",IFERROR(INDEX('30_NGAN_HANG'!$Y:$Y,MATCH(C822,'30_NGAN_HANG'!$A:$A,0)),""))</f>
        <v/>
      </c>
    </row>
    <row r="823">
      <c r="D823">
        <f>IF(C823="","",IFERROR(INDEX('30_NGAN_HANG'!$D:$D,MATCH(C823,'30_NGAN_HANG'!$A:$A,0)),"Không tìm thấy"))</f>
        <v/>
      </c>
      <c r="E823">
        <f>IF(C823="","",IFERROR(INDEX('30_NGAN_HANG'!$Y:$Y,MATCH(C823,'30_NGAN_HANG'!$A:$A,0)),""))</f>
        <v/>
      </c>
    </row>
    <row r="824">
      <c r="D824">
        <f>IF(C824="","",IFERROR(INDEX('30_NGAN_HANG'!$D:$D,MATCH(C824,'30_NGAN_HANG'!$A:$A,0)),"Không tìm thấy"))</f>
        <v/>
      </c>
      <c r="E824">
        <f>IF(C824="","",IFERROR(INDEX('30_NGAN_HANG'!$Y:$Y,MATCH(C824,'30_NGAN_HANG'!$A:$A,0)),""))</f>
        <v/>
      </c>
    </row>
    <row r="825">
      <c r="D825">
        <f>IF(C825="","",IFERROR(INDEX('30_NGAN_HANG'!$D:$D,MATCH(C825,'30_NGAN_HANG'!$A:$A,0)),"Không tìm thấy"))</f>
        <v/>
      </c>
      <c r="E825">
        <f>IF(C825="","",IFERROR(INDEX('30_NGAN_HANG'!$Y:$Y,MATCH(C825,'30_NGAN_HANG'!$A:$A,0)),""))</f>
        <v/>
      </c>
    </row>
    <row r="826">
      <c r="D826">
        <f>IF(C826="","",IFERROR(INDEX('30_NGAN_HANG'!$D:$D,MATCH(C826,'30_NGAN_HANG'!$A:$A,0)),"Không tìm thấy"))</f>
        <v/>
      </c>
      <c r="E826">
        <f>IF(C826="","",IFERROR(INDEX('30_NGAN_HANG'!$Y:$Y,MATCH(C826,'30_NGAN_HANG'!$A:$A,0)),""))</f>
        <v/>
      </c>
    </row>
    <row r="827">
      <c r="D827">
        <f>IF(C827="","",IFERROR(INDEX('30_NGAN_HANG'!$D:$D,MATCH(C827,'30_NGAN_HANG'!$A:$A,0)),"Không tìm thấy"))</f>
        <v/>
      </c>
      <c r="E827">
        <f>IF(C827="","",IFERROR(INDEX('30_NGAN_HANG'!$Y:$Y,MATCH(C827,'30_NGAN_HANG'!$A:$A,0)),""))</f>
        <v/>
      </c>
    </row>
    <row r="828">
      <c r="D828">
        <f>IF(C828="","",IFERROR(INDEX('30_NGAN_HANG'!$D:$D,MATCH(C828,'30_NGAN_HANG'!$A:$A,0)),"Không tìm thấy"))</f>
        <v/>
      </c>
      <c r="E828">
        <f>IF(C828="","",IFERROR(INDEX('30_NGAN_HANG'!$Y:$Y,MATCH(C828,'30_NGAN_HANG'!$A:$A,0)),""))</f>
        <v/>
      </c>
    </row>
    <row r="829">
      <c r="D829">
        <f>IF(C829="","",IFERROR(INDEX('30_NGAN_HANG'!$D:$D,MATCH(C829,'30_NGAN_HANG'!$A:$A,0)),"Không tìm thấy"))</f>
        <v/>
      </c>
      <c r="E829">
        <f>IF(C829="","",IFERROR(INDEX('30_NGAN_HANG'!$Y:$Y,MATCH(C829,'30_NGAN_HANG'!$A:$A,0)),""))</f>
        <v/>
      </c>
    </row>
    <row r="830">
      <c r="D830">
        <f>IF(C830="","",IFERROR(INDEX('30_NGAN_HANG'!$D:$D,MATCH(C830,'30_NGAN_HANG'!$A:$A,0)),"Không tìm thấy"))</f>
        <v/>
      </c>
      <c r="E830">
        <f>IF(C830="","",IFERROR(INDEX('30_NGAN_HANG'!$Y:$Y,MATCH(C830,'30_NGAN_HANG'!$A:$A,0)),""))</f>
        <v/>
      </c>
    </row>
    <row r="831">
      <c r="D831">
        <f>IF(C831="","",IFERROR(INDEX('30_NGAN_HANG'!$D:$D,MATCH(C831,'30_NGAN_HANG'!$A:$A,0)),"Không tìm thấy"))</f>
        <v/>
      </c>
      <c r="E831">
        <f>IF(C831="","",IFERROR(INDEX('30_NGAN_HANG'!$Y:$Y,MATCH(C831,'30_NGAN_HANG'!$A:$A,0)),""))</f>
        <v/>
      </c>
    </row>
    <row r="832">
      <c r="D832">
        <f>IF(C832="","",IFERROR(INDEX('30_NGAN_HANG'!$D:$D,MATCH(C832,'30_NGAN_HANG'!$A:$A,0)),"Không tìm thấy"))</f>
        <v/>
      </c>
      <c r="E832">
        <f>IF(C832="","",IFERROR(INDEX('30_NGAN_HANG'!$Y:$Y,MATCH(C832,'30_NGAN_HANG'!$A:$A,0)),""))</f>
        <v/>
      </c>
    </row>
    <row r="833">
      <c r="D833">
        <f>IF(C833="","",IFERROR(INDEX('30_NGAN_HANG'!$D:$D,MATCH(C833,'30_NGAN_HANG'!$A:$A,0)),"Không tìm thấy"))</f>
        <v/>
      </c>
      <c r="E833">
        <f>IF(C833="","",IFERROR(INDEX('30_NGAN_HANG'!$Y:$Y,MATCH(C833,'30_NGAN_HANG'!$A:$A,0)),""))</f>
        <v/>
      </c>
    </row>
    <row r="834">
      <c r="D834">
        <f>IF(C834="","",IFERROR(INDEX('30_NGAN_HANG'!$D:$D,MATCH(C834,'30_NGAN_HANG'!$A:$A,0)),"Không tìm thấy"))</f>
        <v/>
      </c>
      <c r="E834">
        <f>IF(C834="","",IFERROR(INDEX('30_NGAN_HANG'!$Y:$Y,MATCH(C834,'30_NGAN_HANG'!$A:$A,0)),""))</f>
        <v/>
      </c>
    </row>
    <row r="835">
      <c r="D835">
        <f>IF(C835="","",IFERROR(INDEX('30_NGAN_HANG'!$D:$D,MATCH(C835,'30_NGAN_HANG'!$A:$A,0)),"Không tìm thấy"))</f>
        <v/>
      </c>
      <c r="E835">
        <f>IF(C835="","",IFERROR(INDEX('30_NGAN_HANG'!$Y:$Y,MATCH(C835,'30_NGAN_HANG'!$A:$A,0)),""))</f>
        <v/>
      </c>
    </row>
    <row r="836">
      <c r="D836">
        <f>IF(C836="","",IFERROR(INDEX('30_NGAN_HANG'!$D:$D,MATCH(C836,'30_NGAN_HANG'!$A:$A,0)),"Không tìm thấy"))</f>
        <v/>
      </c>
      <c r="E836">
        <f>IF(C836="","",IFERROR(INDEX('30_NGAN_HANG'!$Y:$Y,MATCH(C836,'30_NGAN_HANG'!$A:$A,0)),""))</f>
        <v/>
      </c>
    </row>
    <row r="837">
      <c r="D837">
        <f>IF(C837="","",IFERROR(INDEX('30_NGAN_HANG'!$D:$D,MATCH(C837,'30_NGAN_HANG'!$A:$A,0)),"Không tìm thấy"))</f>
        <v/>
      </c>
      <c r="E837">
        <f>IF(C837="","",IFERROR(INDEX('30_NGAN_HANG'!$Y:$Y,MATCH(C837,'30_NGAN_HANG'!$A:$A,0)),""))</f>
        <v/>
      </c>
    </row>
    <row r="838">
      <c r="D838">
        <f>IF(C838="","",IFERROR(INDEX('30_NGAN_HANG'!$D:$D,MATCH(C838,'30_NGAN_HANG'!$A:$A,0)),"Không tìm thấy"))</f>
        <v/>
      </c>
      <c r="E838">
        <f>IF(C838="","",IFERROR(INDEX('30_NGAN_HANG'!$Y:$Y,MATCH(C838,'30_NGAN_HANG'!$A:$A,0)),""))</f>
        <v/>
      </c>
    </row>
    <row r="839">
      <c r="D839">
        <f>IF(C839="","",IFERROR(INDEX('30_NGAN_HANG'!$D:$D,MATCH(C839,'30_NGAN_HANG'!$A:$A,0)),"Không tìm thấy"))</f>
        <v/>
      </c>
      <c r="E839">
        <f>IF(C839="","",IFERROR(INDEX('30_NGAN_HANG'!$Y:$Y,MATCH(C839,'30_NGAN_HANG'!$A:$A,0)),""))</f>
        <v/>
      </c>
    </row>
    <row r="840">
      <c r="D840">
        <f>IF(C840="","",IFERROR(INDEX('30_NGAN_HANG'!$D:$D,MATCH(C840,'30_NGAN_HANG'!$A:$A,0)),"Không tìm thấy"))</f>
        <v/>
      </c>
      <c r="E840">
        <f>IF(C840="","",IFERROR(INDEX('30_NGAN_HANG'!$Y:$Y,MATCH(C840,'30_NGAN_HANG'!$A:$A,0)),""))</f>
        <v/>
      </c>
    </row>
    <row r="841">
      <c r="D841">
        <f>IF(C841="","",IFERROR(INDEX('30_NGAN_HANG'!$D:$D,MATCH(C841,'30_NGAN_HANG'!$A:$A,0)),"Không tìm thấy"))</f>
        <v/>
      </c>
      <c r="E841">
        <f>IF(C841="","",IFERROR(INDEX('30_NGAN_HANG'!$Y:$Y,MATCH(C841,'30_NGAN_HANG'!$A:$A,0)),""))</f>
        <v/>
      </c>
    </row>
    <row r="842">
      <c r="D842">
        <f>IF(C842="","",IFERROR(INDEX('30_NGAN_HANG'!$D:$D,MATCH(C842,'30_NGAN_HANG'!$A:$A,0)),"Không tìm thấy"))</f>
        <v/>
      </c>
      <c r="E842">
        <f>IF(C842="","",IFERROR(INDEX('30_NGAN_HANG'!$Y:$Y,MATCH(C842,'30_NGAN_HANG'!$A:$A,0)),""))</f>
        <v/>
      </c>
    </row>
    <row r="843">
      <c r="D843">
        <f>IF(C843="","",IFERROR(INDEX('30_NGAN_HANG'!$D:$D,MATCH(C843,'30_NGAN_HANG'!$A:$A,0)),"Không tìm thấy"))</f>
        <v/>
      </c>
      <c r="E843">
        <f>IF(C843="","",IFERROR(INDEX('30_NGAN_HANG'!$Y:$Y,MATCH(C843,'30_NGAN_HANG'!$A:$A,0)),""))</f>
        <v/>
      </c>
    </row>
    <row r="844">
      <c r="D844">
        <f>IF(C844="","",IFERROR(INDEX('30_NGAN_HANG'!$D:$D,MATCH(C844,'30_NGAN_HANG'!$A:$A,0)),"Không tìm thấy"))</f>
        <v/>
      </c>
      <c r="E844">
        <f>IF(C844="","",IFERROR(INDEX('30_NGAN_HANG'!$Y:$Y,MATCH(C844,'30_NGAN_HANG'!$A:$A,0)),""))</f>
        <v/>
      </c>
    </row>
    <row r="845">
      <c r="D845">
        <f>IF(C845="","",IFERROR(INDEX('30_NGAN_HANG'!$D:$D,MATCH(C845,'30_NGAN_HANG'!$A:$A,0)),"Không tìm thấy"))</f>
        <v/>
      </c>
      <c r="E845">
        <f>IF(C845="","",IFERROR(INDEX('30_NGAN_HANG'!$Y:$Y,MATCH(C845,'30_NGAN_HANG'!$A:$A,0)),""))</f>
        <v/>
      </c>
    </row>
    <row r="846">
      <c r="D846">
        <f>IF(C846="","",IFERROR(INDEX('30_NGAN_HANG'!$D:$D,MATCH(C846,'30_NGAN_HANG'!$A:$A,0)),"Không tìm thấy"))</f>
        <v/>
      </c>
      <c r="E846">
        <f>IF(C846="","",IFERROR(INDEX('30_NGAN_HANG'!$Y:$Y,MATCH(C846,'30_NGAN_HANG'!$A:$A,0)),""))</f>
        <v/>
      </c>
    </row>
    <row r="847">
      <c r="D847">
        <f>IF(C847="","",IFERROR(INDEX('30_NGAN_HANG'!$D:$D,MATCH(C847,'30_NGAN_HANG'!$A:$A,0)),"Không tìm thấy"))</f>
        <v/>
      </c>
      <c r="E847">
        <f>IF(C847="","",IFERROR(INDEX('30_NGAN_HANG'!$Y:$Y,MATCH(C847,'30_NGAN_HANG'!$A:$A,0)),""))</f>
        <v/>
      </c>
    </row>
    <row r="848">
      <c r="D848">
        <f>IF(C848="","",IFERROR(INDEX('30_NGAN_HANG'!$D:$D,MATCH(C848,'30_NGAN_HANG'!$A:$A,0)),"Không tìm thấy"))</f>
        <v/>
      </c>
      <c r="E848">
        <f>IF(C848="","",IFERROR(INDEX('30_NGAN_HANG'!$Y:$Y,MATCH(C848,'30_NGAN_HANG'!$A:$A,0)),""))</f>
        <v/>
      </c>
    </row>
    <row r="849">
      <c r="D849">
        <f>IF(C849="","",IFERROR(INDEX('30_NGAN_HANG'!$D:$D,MATCH(C849,'30_NGAN_HANG'!$A:$A,0)),"Không tìm thấy"))</f>
        <v/>
      </c>
      <c r="E849">
        <f>IF(C849="","",IFERROR(INDEX('30_NGAN_HANG'!$Y:$Y,MATCH(C849,'30_NGAN_HANG'!$A:$A,0)),""))</f>
        <v/>
      </c>
    </row>
    <row r="850">
      <c r="D850">
        <f>IF(C850="","",IFERROR(INDEX('30_NGAN_HANG'!$D:$D,MATCH(C850,'30_NGAN_HANG'!$A:$A,0)),"Không tìm thấy"))</f>
        <v/>
      </c>
      <c r="E850">
        <f>IF(C850="","",IFERROR(INDEX('30_NGAN_HANG'!$Y:$Y,MATCH(C850,'30_NGAN_HANG'!$A:$A,0)),""))</f>
        <v/>
      </c>
    </row>
    <row r="851">
      <c r="D851">
        <f>IF(C851="","",IFERROR(INDEX('30_NGAN_HANG'!$D:$D,MATCH(C851,'30_NGAN_HANG'!$A:$A,0)),"Không tìm thấy"))</f>
        <v/>
      </c>
      <c r="E851">
        <f>IF(C851="","",IFERROR(INDEX('30_NGAN_HANG'!$Y:$Y,MATCH(C851,'30_NGAN_HANG'!$A:$A,0)),""))</f>
        <v/>
      </c>
    </row>
    <row r="852">
      <c r="D852">
        <f>IF(C852="","",IFERROR(INDEX('30_NGAN_HANG'!$D:$D,MATCH(C852,'30_NGAN_HANG'!$A:$A,0)),"Không tìm thấy"))</f>
        <v/>
      </c>
      <c r="E852">
        <f>IF(C852="","",IFERROR(INDEX('30_NGAN_HANG'!$Y:$Y,MATCH(C852,'30_NGAN_HANG'!$A:$A,0)),""))</f>
        <v/>
      </c>
    </row>
    <row r="853">
      <c r="D853">
        <f>IF(C853="","",IFERROR(INDEX('30_NGAN_HANG'!$D:$D,MATCH(C853,'30_NGAN_HANG'!$A:$A,0)),"Không tìm thấy"))</f>
        <v/>
      </c>
      <c r="E853">
        <f>IF(C853="","",IFERROR(INDEX('30_NGAN_HANG'!$Y:$Y,MATCH(C853,'30_NGAN_HANG'!$A:$A,0)),""))</f>
        <v/>
      </c>
    </row>
    <row r="854">
      <c r="D854">
        <f>IF(C854="","",IFERROR(INDEX('30_NGAN_HANG'!$D:$D,MATCH(C854,'30_NGAN_HANG'!$A:$A,0)),"Không tìm thấy"))</f>
        <v/>
      </c>
      <c r="E854">
        <f>IF(C854="","",IFERROR(INDEX('30_NGAN_HANG'!$Y:$Y,MATCH(C854,'30_NGAN_HANG'!$A:$A,0)),""))</f>
        <v/>
      </c>
    </row>
    <row r="855">
      <c r="D855">
        <f>IF(C855="","",IFERROR(INDEX('30_NGAN_HANG'!$D:$D,MATCH(C855,'30_NGAN_HANG'!$A:$A,0)),"Không tìm thấy"))</f>
        <v/>
      </c>
      <c r="E855">
        <f>IF(C855="","",IFERROR(INDEX('30_NGAN_HANG'!$Y:$Y,MATCH(C855,'30_NGAN_HANG'!$A:$A,0)),""))</f>
        <v/>
      </c>
    </row>
    <row r="856">
      <c r="D856">
        <f>IF(C856="","",IFERROR(INDEX('30_NGAN_HANG'!$D:$D,MATCH(C856,'30_NGAN_HANG'!$A:$A,0)),"Không tìm thấy"))</f>
        <v/>
      </c>
      <c r="E856">
        <f>IF(C856="","",IFERROR(INDEX('30_NGAN_HANG'!$Y:$Y,MATCH(C856,'30_NGAN_HANG'!$A:$A,0)),""))</f>
        <v/>
      </c>
    </row>
    <row r="857">
      <c r="D857">
        <f>IF(C857="","",IFERROR(INDEX('30_NGAN_HANG'!$D:$D,MATCH(C857,'30_NGAN_HANG'!$A:$A,0)),"Không tìm thấy"))</f>
        <v/>
      </c>
      <c r="E857">
        <f>IF(C857="","",IFERROR(INDEX('30_NGAN_HANG'!$Y:$Y,MATCH(C857,'30_NGAN_HANG'!$A:$A,0)),""))</f>
        <v/>
      </c>
    </row>
    <row r="858">
      <c r="D858">
        <f>IF(C858="","",IFERROR(INDEX('30_NGAN_HANG'!$D:$D,MATCH(C858,'30_NGAN_HANG'!$A:$A,0)),"Không tìm thấy"))</f>
        <v/>
      </c>
      <c r="E858">
        <f>IF(C858="","",IFERROR(INDEX('30_NGAN_HANG'!$Y:$Y,MATCH(C858,'30_NGAN_HANG'!$A:$A,0)),""))</f>
        <v/>
      </c>
    </row>
    <row r="859">
      <c r="D859">
        <f>IF(C859="","",IFERROR(INDEX('30_NGAN_HANG'!$D:$D,MATCH(C859,'30_NGAN_HANG'!$A:$A,0)),"Không tìm thấy"))</f>
        <v/>
      </c>
      <c r="E859">
        <f>IF(C859="","",IFERROR(INDEX('30_NGAN_HANG'!$Y:$Y,MATCH(C859,'30_NGAN_HANG'!$A:$A,0)),""))</f>
        <v/>
      </c>
    </row>
    <row r="860">
      <c r="D860">
        <f>IF(C860="","",IFERROR(INDEX('30_NGAN_HANG'!$D:$D,MATCH(C860,'30_NGAN_HANG'!$A:$A,0)),"Không tìm thấy"))</f>
        <v/>
      </c>
      <c r="E860">
        <f>IF(C860="","",IFERROR(INDEX('30_NGAN_HANG'!$Y:$Y,MATCH(C860,'30_NGAN_HANG'!$A:$A,0)),""))</f>
        <v/>
      </c>
    </row>
    <row r="861">
      <c r="D861">
        <f>IF(C861="","",IFERROR(INDEX('30_NGAN_HANG'!$D:$D,MATCH(C861,'30_NGAN_HANG'!$A:$A,0)),"Không tìm thấy"))</f>
        <v/>
      </c>
      <c r="E861">
        <f>IF(C861="","",IFERROR(INDEX('30_NGAN_HANG'!$Y:$Y,MATCH(C861,'30_NGAN_HANG'!$A:$A,0)),""))</f>
        <v/>
      </c>
    </row>
    <row r="862">
      <c r="D862">
        <f>IF(C862="","",IFERROR(INDEX('30_NGAN_HANG'!$D:$D,MATCH(C862,'30_NGAN_HANG'!$A:$A,0)),"Không tìm thấy"))</f>
        <v/>
      </c>
      <c r="E862">
        <f>IF(C862="","",IFERROR(INDEX('30_NGAN_HANG'!$Y:$Y,MATCH(C862,'30_NGAN_HANG'!$A:$A,0)),""))</f>
        <v/>
      </c>
    </row>
    <row r="863">
      <c r="D863">
        <f>IF(C863="","",IFERROR(INDEX('30_NGAN_HANG'!$D:$D,MATCH(C863,'30_NGAN_HANG'!$A:$A,0)),"Không tìm thấy"))</f>
        <v/>
      </c>
      <c r="E863">
        <f>IF(C863="","",IFERROR(INDEX('30_NGAN_HANG'!$Y:$Y,MATCH(C863,'30_NGAN_HANG'!$A:$A,0)),""))</f>
        <v/>
      </c>
    </row>
    <row r="864">
      <c r="D864">
        <f>IF(C864="","",IFERROR(INDEX('30_NGAN_HANG'!$D:$D,MATCH(C864,'30_NGAN_HANG'!$A:$A,0)),"Không tìm thấy"))</f>
        <v/>
      </c>
      <c r="E864">
        <f>IF(C864="","",IFERROR(INDEX('30_NGAN_HANG'!$Y:$Y,MATCH(C864,'30_NGAN_HANG'!$A:$A,0)),""))</f>
        <v/>
      </c>
    </row>
    <row r="865">
      <c r="D865">
        <f>IF(C865="","",IFERROR(INDEX('30_NGAN_HANG'!$D:$D,MATCH(C865,'30_NGAN_HANG'!$A:$A,0)),"Không tìm thấy"))</f>
        <v/>
      </c>
      <c r="E865">
        <f>IF(C865="","",IFERROR(INDEX('30_NGAN_HANG'!$Y:$Y,MATCH(C865,'30_NGAN_HANG'!$A:$A,0)),""))</f>
        <v/>
      </c>
    </row>
    <row r="866">
      <c r="D866">
        <f>IF(C866="","",IFERROR(INDEX('30_NGAN_HANG'!$D:$D,MATCH(C866,'30_NGAN_HANG'!$A:$A,0)),"Không tìm thấy"))</f>
        <v/>
      </c>
      <c r="E866">
        <f>IF(C866="","",IFERROR(INDEX('30_NGAN_HANG'!$Y:$Y,MATCH(C866,'30_NGAN_HANG'!$A:$A,0)),""))</f>
        <v/>
      </c>
    </row>
    <row r="867">
      <c r="D867">
        <f>IF(C867="","",IFERROR(INDEX('30_NGAN_HANG'!$D:$D,MATCH(C867,'30_NGAN_HANG'!$A:$A,0)),"Không tìm thấy"))</f>
        <v/>
      </c>
      <c r="E867">
        <f>IF(C867="","",IFERROR(INDEX('30_NGAN_HANG'!$Y:$Y,MATCH(C867,'30_NGAN_HANG'!$A:$A,0)),""))</f>
        <v/>
      </c>
    </row>
    <row r="868">
      <c r="D868">
        <f>IF(C868="","",IFERROR(INDEX('30_NGAN_HANG'!$D:$D,MATCH(C868,'30_NGAN_HANG'!$A:$A,0)),"Không tìm thấy"))</f>
        <v/>
      </c>
      <c r="E868">
        <f>IF(C868="","",IFERROR(INDEX('30_NGAN_HANG'!$Y:$Y,MATCH(C868,'30_NGAN_HANG'!$A:$A,0)),""))</f>
        <v/>
      </c>
    </row>
    <row r="869">
      <c r="D869">
        <f>IF(C869="","",IFERROR(INDEX('30_NGAN_HANG'!$D:$D,MATCH(C869,'30_NGAN_HANG'!$A:$A,0)),"Không tìm thấy"))</f>
        <v/>
      </c>
      <c r="E869">
        <f>IF(C869="","",IFERROR(INDEX('30_NGAN_HANG'!$Y:$Y,MATCH(C869,'30_NGAN_HANG'!$A:$A,0)),""))</f>
        <v/>
      </c>
    </row>
    <row r="870">
      <c r="D870">
        <f>IF(C870="","",IFERROR(INDEX('30_NGAN_HANG'!$D:$D,MATCH(C870,'30_NGAN_HANG'!$A:$A,0)),"Không tìm thấy"))</f>
        <v/>
      </c>
      <c r="E870">
        <f>IF(C870="","",IFERROR(INDEX('30_NGAN_HANG'!$Y:$Y,MATCH(C870,'30_NGAN_HANG'!$A:$A,0)),""))</f>
        <v/>
      </c>
    </row>
    <row r="871">
      <c r="D871">
        <f>IF(C871="","",IFERROR(INDEX('30_NGAN_HANG'!$D:$D,MATCH(C871,'30_NGAN_HANG'!$A:$A,0)),"Không tìm thấy"))</f>
        <v/>
      </c>
      <c r="E871">
        <f>IF(C871="","",IFERROR(INDEX('30_NGAN_HANG'!$Y:$Y,MATCH(C871,'30_NGAN_HANG'!$A:$A,0)),""))</f>
        <v/>
      </c>
    </row>
    <row r="872">
      <c r="D872">
        <f>IF(C872="","",IFERROR(INDEX('30_NGAN_HANG'!$D:$D,MATCH(C872,'30_NGAN_HANG'!$A:$A,0)),"Không tìm thấy"))</f>
        <v/>
      </c>
      <c r="E872">
        <f>IF(C872="","",IFERROR(INDEX('30_NGAN_HANG'!$Y:$Y,MATCH(C872,'30_NGAN_HANG'!$A:$A,0)),""))</f>
        <v/>
      </c>
    </row>
    <row r="873">
      <c r="D873">
        <f>IF(C873="","",IFERROR(INDEX('30_NGAN_HANG'!$D:$D,MATCH(C873,'30_NGAN_HANG'!$A:$A,0)),"Không tìm thấy"))</f>
        <v/>
      </c>
      <c r="E873">
        <f>IF(C873="","",IFERROR(INDEX('30_NGAN_HANG'!$Y:$Y,MATCH(C873,'30_NGAN_HANG'!$A:$A,0)),""))</f>
        <v/>
      </c>
    </row>
    <row r="874">
      <c r="D874">
        <f>IF(C874="","",IFERROR(INDEX('30_NGAN_HANG'!$D:$D,MATCH(C874,'30_NGAN_HANG'!$A:$A,0)),"Không tìm thấy"))</f>
        <v/>
      </c>
      <c r="E874">
        <f>IF(C874="","",IFERROR(INDEX('30_NGAN_HANG'!$Y:$Y,MATCH(C874,'30_NGAN_HANG'!$A:$A,0)),""))</f>
        <v/>
      </c>
    </row>
    <row r="875">
      <c r="D875">
        <f>IF(C875="","",IFERROR(INDEX('30_NGAN_HANG'!$D:$D,MATCH(C875,'30_NGAN_HANG'!$A:$A,0)),"Không tìm thấy"))</f>
        <v/>
      </c>
      <c r="E875">
        <f>IF(C875="","",IFERROR(INDEX('30_NGAN_HANG'!$Y:$Y,MATCH(C875,'30_NGAN_HANG'!$A:$A,0)),""))</f>
        <v/>
      </c>
    </row>
    <row r="876">
      <c r="D876">
        <f>IF(C876="","",IFERROR(INDEX('30_NGAN_HANG'!$D:$D,MATCH(C876,'30_NGAN_HANG'!$A:$A,0)),"Không tìm thấy"))</f>
        <v/>
      </c>
      <c r="E876">
        <f>IF(C876="","",IFERROR(INDEX('30_NGAN_HANG'!$Y:$Y,MATCH(C876,'30_NGAN_HANG'!$A:$A,0)),""))</f>
        <v/>
      </c>
    </row>
    <row r="877">
      <c r="D877">
        <f>IF(C877="","",IFERROR(INDEX('30_NGAN_HANG'!$D:$D,MATCH(C877,'30_NGAN_HANG'!$A:$A,0)),"Không tìm thấy"))</f>
        <v/>
      </c>
      <c r="E877">
        <f>IF(C877="","",IFERROR(INDEX('30_NGAN_HANG'!$Y:$Y,MATCH(C877,'30_NGAN_HANG'!$A:$A,0)),""))</f>
        <v/>
      </c>
    </row>
    <row r="878">
      <c r="D878">
        <f>IF(C878="","",IFERROR(INDEX('30_NGAN_HANG'!$D:$D,MATCH(C878,'30_NGAN_HANG'!$A:$A,0)),"Không tìm thấy"))</f>
        <v/>
      </c>
      <c r="E878">
        <f>IF(C878="","",IFERROR(INDEX('30_NGAN_HANG'!$Y:$Y,MATCH(C878,'30_NGAN_HANG'!$A:$A,0)),""))</f>
        <v/>
      </c>
    </row>
    <row r="879">
      <c r="D879">
        <f>IF(C879="","",IFERROR(INDEX('30_NGAN_HANG'!$D:$D,MATCH(C879,'30_NGAN_HANG'!$A:$A,0)),"Không tìm thấy"))</f>
        <v/>
      </c>
      <c r="E879">
        <f>IF(C879="","",IFERROR(INDEX('30_NGAN_HANG'!$Y:$Y,MATCH(C879,'30_NGAN_HANG'!$A:$A,0)),""))</f>
        <v/>
      </c>
    </row>
    <row r="880">
      <c r="D880">
        <f>IF(C880="","",IFERROR(INDEX('30_NGAN_HANG'!$D:$D,MATCH(C880,'30_NGAN_HANG'!$A:$A,0)),"Không tìm thấy"))</f>
        <v/>
      </c>
      <c r="E880">
        <f>IF(C880="","",IFERROR(INDEX('30_NGAN_HANG'!$Y:$Y,MATCH(C880,'30_NGAN_HANG'!$A:$A,0)),""))</f>
        <v/>
      </c>
    </row>
    <row r="881">
      <c r="D881">
        <f>IF(C881="","",IFERROR(INDEX('30_NGAN_HANG'!$D:$D,MATCH(C881,'30_NGAN_HANG'!$A:$A,0)),"Không tìm thấy"))</f>
        <v/>
      </c>
      <c r="E881">
        <f>IF(C881="","",IFERROR(INDEX('30_NGAN_HANG'!$Y:$Y,MATCH(C881,'30_NGAN_HANG'!$A:$A,0)),""))</f>
        <v/>
      </c>
    </row>
    <row r="882">
      <c r="D882">
        <f>IF(C882="","",IFERROR(INDEX('30_NGAN_HANG'!$D:$D,MATCH(C882,'30_NGAN_HANG'!$A:$A,0)),"Không tìm thấy"))</f>
        <v/>
      </c>
      <c r="E882">
        <f>IF(C882="","",IFERROR(INDEX('30_NGAN_HANG'!$Y:$Y,MATCH(C882,'30_NGAN_HANG'!$A:$A,0)),""))</f>
        <v/>
      </c>
    </row>
    <row r="883">
      <c r="D883">
        <f>IF(C883="","",IFERROR(INDEX('30_NGAN_HANG'!$D:$D,MATCH(C883,'30_NGAN_HANG'!$A:$A,0)),"Không tìm thấy"))</f>
        <v/>
      </c>
      <c r="E883">
        <f>IF(C883="","",IFERROR(INDEX('30_NGAN_HANG'!$Y:$Y,MATCH(C883,'30_NGAN_HANG'!$A:$A,0)),""))</f>
        <v/>
      </c>
    </row>
    <row r="884">
      <c r="D884">
        <f>IF(C884="","",IFERROR(INDEX('30_NGAN_HANG'!$D:$D,MATCH(C884,'30_NGAN_HANG'!$A:$A,0)),"Không tìm thấy"))</f>
        <v/>
      </c>
      <c r="E884">
        <f>IF(C884="","",IFERROR(INDEX('30_NGAN_HANG'!$Y:$Y,MATCH(C884,'30_NGAN_HANG'!$A:$A,0)),""))</f>
        <v/>
      </c>
    </row>
    <row r="885">
      <c r="D885">
        <f>IF(C885="","",IFERROR(INDEX('30_NGAN_HANG'!$D:$D,MATCH(C885,'30_NGAN_HANG'!$A:$A,0)),"Không tìm thấy"))</f>
        <v/>
      </c>
      <c r="E885">
        <f>IF(C885="","",IFERROR(INDEX('30_NGAN_HANG'!$Y:$Y,MATCH(C885,'30_NGAN_HANG'!$A:$A,0)),""))</f>
        <v/>
      </c>
    </row>
    <row r="886">
      <c r="D886">
        <f>IF(C886="","",IFERROR(INDEX('30_NGAN_HANG'!$D:$D,MATCH(C886,'30_NGAN_HANG'!$A:$A,0)),"Không tìm thấy"))</f>
        <v/>
      </c>
      <c r="E886">
        <f>IF(C886="","",IFERROR(INDEX('30_NGAN_HANG'!$Y:$Y,MATCH(C886,'30_NGAN_HANG'!$A:$A,0)),""))</f>
        <v/>
      </c>
    </row>
    <row r="887">
      <c r="D887">
        <f>IF(C887="","",IFERROR(INDEX('30_NGAN_HANG'!$D:$D,MATCH(C887,'30_NGAN_HANG'!$A:$A,0)),"Không tìm thấy"))</f>
        <v/>
      </c>
      <c r="E887">
        <f>IF(C887="","",IFERROR(INDEX('30_NGAN_HANG'!$Y:$Y,MATCH(C887,'30_NGAN_HANG'!$A:$A,0)),""))</f>
        <v/>
      </c>
    </row>
    <row r="888">
      <c r="D888">
        <f>IF(C888="","",IFERROR(INDEX('30_NGAN_HANG'!$D:$D,MATCH(C888,'30_NGAN_HANG'!$A:$A,0)),"Không tìm thấy"))</f>
        <v/>
      </c>
      <c r="E888">
        <f>IF(C888="","",IFERROR(INDEX('30_NGAN_HANG'!$Y:$Y,MATCH(C888,'30_NGAN_HANG'!$A:$A,0)),""))</f>
        <v/>
      </c>
    </row>
    <row r="889">
      <c r="D889">
        <f>IF(C889="","",IFERROR(INDEX('30_NGAN_HANG'!$D:$D,MATCH(C889,'30_NGAN_HANG'!$A:$A,0)),"Không tìm thấy"))</f>
        <v/>
      </c>
      <c r="E889">
        <f>IF(C889="","",IFERROR(INDEX('30_NGAN_HANG'!$Y:$Y,MATCH(C889,'30_NGAN_HANG'!$A:$A,0)),""))</f>
        <v/>
      </c>
    </row>
    <row r="890">
      <c r="D890">
        <f>IF(C890="","",IFERROR(INDEX('30_NGAN_HANG'!$D:$D,MATCH(C890,'30_NGAN_HANG'!$A:$A,0)),"Không tìm thấy"))</f>
        <v/>
      </c>
      <c r="E890">
        <f>IF(C890="","",IFERROR(INDEX('30_NGAN_HANG'!$Y:$Y,MATCH(C890,'30_NGAN_HANG'!$A:$A,0)),""))</f>
        <v/>
      </c>
    </row>
    <row r="891">
      <c r="D891">
        <f>IF(C891="","",IFERROR(INDEX('30_NGAN_HANG'!$D:$D,MATCH(C891,'30_NGAN_HANG'!$A:$A,0)),"Không tìm thấy"))</f>
        <v/>
      </c>
      <c r="E891">
        <f>IF(C891="","",IFERROR(INDEX('30_NGAN_HANG'!$Y:$Y,MATCH(C891,'30_NGAN_HANG'!$A:$A,0)),""))</f>
        <v/>
      </c>
    </row>
    <row r="892">
      <c r="D892">
        <f>IF(C892="","",IFERROR(INDEX('30_NGAN_HANG'!$D:$D,MATCH(C892,'30_NGAN_HANG'!$A:$A,0)),"Không tìm thấy"))</f>
        <v/>
      </c>
      <c r="E892">
        <f>IF(C892="","",IFERROR(INDEX('30_NGAN_HANG'!$Y:$Y,MATCH(C892,'30_NGAN_HANG'!$A:$A,0)),""))</f>
        <v/>
      </c>
    </row>
    <row r="893">
      <c r="D893">
        <f>IF(C893="","",IFERROR(INDEX('30_NGAN_HANG'!$D:$D,MATCH(C893,'30_NGAN_HANG'!$A:$A,0)),"Không tìm thấy"))</f>
        <v/>
      </c>
      <c r="E893">
        <f>IF(C893="","",IFERROR(INDEX('30_NGAN_HANG'!$Y:$Y,MATCH(C893,'30_NGAN_HANG'!$A:$A,0)),""))</f>
        <v/>
      </c>
    </row>
    <row r="894">
      <c r="D894">
        <f>IF(C894="","",IFERROR(INDEX('30_NGAN_HANG'!$D:$D,MATCH(C894,'30_NGAN_HANG'!$A:$A,0)),"Không tìm thấy"))</f>
        <v/>
      </c>
      <c r="E894">
        <f>IF(C894="","",IFERROR(INDEX('30_NGAN_HANG'!$Y:$Y,MATCH(C894,'30_NGAN_HANG'!$A:$A,0)),""))</f>
        <v/>
      </c>
    </row>
    <row r="895">
      <c r="D895">
        <f>IF(C895="","",IFERROR(INDEX('30_NGAN_HANG'!$D:$D,MATCH(C895,'30_NGAN_HANG'!$A:$A,0)),"Không tìm thấy"))</f>
        <v/>
      </c>
      <c r="E895">
        <f>IF(C895="","",IFERROR(INDEX('30_NGAN_HANG'!$Y:$Y,MATCH(C895,'30_NGAN_HANG'!$A:$A,0)),""))</f>
        <v/>
      </c>
    </row>
    <row r="896">
      <c r="D896">
        <f>IF(C896="","",IFERROR(INDEX('30_NGAN_HANG'!$D:$D,MATCH(C896,'30_NGAN_HANG'!$A:$A,0)),"Không tìm thấy"))</f>
        <v/>
      </c>
      <c r="E896">
        <f>IF(C896="","",IFERROR(INDEX('30_NGAN_HANG'!$Y:$Y,MATCH(C896,'30_NGAN_HANG'!$A:$A,0)),""))</f>
        <v/>
      </c>
    </row>
    <row r="897">
      <c r="D897">
        <f>IF(C897="","",IFERROR(INDEX('30_NGAN_HANG'!$D:$D,MATCH(C897,'30_NGAN_HANG'!$A:$A,0)),"Không tìm thấy"))</f>
        <v/>
      </c>
      <c r="E897">
        <f>IF(C897="","",IFERROR(INDEX('30_NGAN_HANG'!$Y:$Y,MATCH(C897,'30_NGAN_HANG'!$A:$A,0)),""))</f>
        <v/>
      </c>
    </row>
    <row r="898">
      <c r="D898">
        <f>IF(C898="","",IFERROR(INDEX('30_NGAN_HANG'!$D:$D,MATCH(C898,'30_NGAN_HANG'!$A:$A,0)),"Không tìm thấy"))</f>
        <v/>
      </c>
      <c r="E898">
        <f>IF(C898="","",IFERROR(INDEX('30_NGAN_HANG'!$Y:$Y,MATCH(C898,'30_NGAN_HANG'!$A:$A,0)),""))</f>
        <v/>
      </c>
    </row>
    <row r="899">
      <c r="D899">
        <f>IF(C899="","",IFERROR(INDEX('30_NGAN_HANG'!$D:$D,MATCH(C899,'30_NGAN_HANG'!$A:$A,0)),"Không tìm thấy"))</f>
        <v/>
      </c>
      <c r="E899">
        <f>IF(C899="","",IFERROR(INDEX('30_NGAN_HANG'!$Y:$Y,MATCH(C899,'30_NGAN_HANG'!$A:$A,0)),""))</f>
        <v/>
      </c>
    </row>
    <row r="900">
      <c r="D900">
        <f>IF(C900="","",IFERROR(INDEX('30_NGAN_HANG'!$D:$D,MATCH(C900,'30_NGAN_HANG'!$A:$A,0)),"Không tìm thấy"))</f>
        <v/>
      </c>
      <c r="E900">
        <f>IF(C900="","",IFERROR(INDEX('30_NGAN_HANG'!$Y:$Y,MATCH(C900,'30_NGAN_HANG'!$A:$A,0)),""))</f>
        <v/>
      </c>
    </row>
    <row r="901">
      <c r="D901">
        <f>IF(C901="","",IFERROR(INDEX('30_NGAN_HANG'!$D:$D,MATCH(C901,'30_NGAN_HANG'!$A:$A,0)),"Không tìm thấy"))</f>
        <v/>
      </c>
      <c r="E901">
        <f>IF(C901="","",IFERROR(INDEX('30_NGAN_HANG'!$Y:$Y,MATCH(C901,'30_NGAN_HANG'!$A:$A,0)),""))</f>
        <v/>
      </c>
    </row>
    <row r="902">
      <c r="D902">
        <f>IF(C902="","",IFERROR(INDEX('30_NGAN_HANG'!$D:$D,MATCH(C902,'30_NGAN_HANG'!$A:$A,0)),"Không tìm thấy"))</f>
        <v/>
      </c>
      <c r="E902">
        <f>IF(C902="","",IFERROR(INDEX('30_NGAN_HANG'!$Y:$Y,MATCH(C902,'30_NGAN_HANG'!$A:$A,0)),""))</f>
        <v/>
      </c>
    </row>
    <row r="903">
      <c r="D903">
        <f>IF(C903="","",IFERROR(INDEX('30_NGAN_HANG'!$D:$D,MATCH(C903,'30_NGAN_HANG'!$A:$A,0)),"Không tìm thấy"))</f>
        <v/>
      </c>
      <c r="E903">
        <f>IF(C903="","",IFERROR(INDEX('30_NGAN_HANG'!$Y:$Y,MATCH(C903,'30_NGAN_HANG'!$A:$A,0)),""))</f>
        <v/>
      </c>
    </row>
    <row r="904">
      <c r="D904">
        <f>IF(C904="","",IFERROR(INDEX('30_NGAN_HANG'!$D:$D,MATCH(C904,'30_NGAN_HANG'!$A:$A,0)),"Không tìm thấy"))</f>
        <v/>
      </c>
      <c r="E904">
        <f>IF(C904="","",IFERROR(INDEX('30_NGAN_HANG'!$Y:$Y,MATCH(C904,'30_NGAN_HANG'!$A:$A,0)),""))</f>
        <v/>
      </c>
    </row>
    <row r="905">
      <c r="D905">
        <f>IF(C905="","",IFERROR(INDEX('30_NGAN_HANG'!$D:$D,MATCH(C905,'30_NGAN_HANG'!$A:$A,0)),"Không tìm thấy"))</f>
        <v/>
      </c>
      <c r="E905">
        <f>IF(C905="","",IFERROR(INDEX('30_NGAN_HANG'!$Y:$Y,MATCH(C905,'30_NGAN_HANG'!$A:$A,0)),""))</f>
        <v/>
      </c>
    </row>
    <row r="906">
      <c r="D906">
        <f>IF(C906="","",IFERROR(INDEX('30_NGAN_HANG'!$D:$D,MATCH(C906,'30_NGAN_HANG'!$A:$A,0)),"Không tìm thấy"))</f>
        <v/>
      </c>
      <c r="E906">
        <f>IF(C906="","",IFERROR(INDEX('30_NGAN_HANG'!$Y:$Y,MATCH(C906,'30_NGAN_HANG'!$A:$A,0)),""))</f>
        <v/>
      </c>
    </row>
    <row r="907">
      <c r="D907">
        <f>IF(C907="","",IFERROR(INDEX('30_NGAN_HANG'!$D:$D,MATCH(C907,'30_NGAN_HANG'!$A:$A,0)),"Không tìm thấy"))</f>
        <v/>
      </c>
      <c r="E907">
        <f>IF(C907="","",IFERROR(INDEX('30_NGAN_HANG'!$Y:$Y,MATCH(C907,'30_NGAN_HANG'!$A:$A,0)),""))</f>
        <v/>
      </c>
    </row>
    <row r="908">
      <c r="D908">
        <f>IF(C908="","",IFERROR(INDEX('30_NGAN_HANG'!$D:$D,MATCH(C908,'30_NGAN_HANG'!$A:$A,0)),"Không tìm thấy"))</f>
        <v/>
      </c>
      <c r="E908">
        <f>IF(C908="","",IFERROR(INDEX('30_NGAN_HANG'!$Y:$Y,MATCH(C908,'30_NGAN_HANG'!$A:$A,0)),""))</f>
        <v/>
      </c>
    </row>
    <row r="909">
      <c r="D909">
        <f>IF(C909="","",IFERROR(INDEX('30_NGAN_HANG'!$D:$D,MATCH(C909,'30_NGAN_HANG'!$A:$A,0)),"Không tìm thấy"))</f>
        <v/>
      </c>
      <c r="E909">
        <f>IF(C909="","",IFERROR(INDEX('30_NGAN_HANG'!$Y:$Y,MATCH(C909,'30_NGAN_HANG'!$A:$A,0)),""))</f>
        <v/>
      </c>
    </row>
    <row r="910">
      <c r="D910">
        <f>IF(C910="","",IFERROR(INDEX('30_NGAN_HANG'!$D:$D,MATCH(C910,'30_NGAN_HANG'!$A:$A,0)),"Không tìm thấy"))</f>
        <v/>
      </c>
      <c r="E910">
        <f>IF(C910="","",IFERROR(INDEX('30_NGAN_HANG'!$Y:$Y,MATCH(C910,'30_NGAN_HANG'!$A:$A,0)),""))</f>
        <v/>
      </c>
    </row>
    <row r="911">
      <c r="D911">
        <f>IF(C911="","",IFERROR(INDEX('30_NGAN_HANG'!$D:$D,MATCH(C911,'30_NGAN_HANG'!$A:$A,0)),"Không tìm thấy"))</f>
        <v/>
      </c>
      <c r="E911">
        <f>IF(C911="","",IFERROR(INDEX('30_NGAN_HANG'!$Y:$Y,MATCH(C911,'30_NGAN_HANG'!$A:$A,0)),""))</f>
        <v/>
      </c>
    </row>
    <row r="912">
      <c r="D912">
        <f>IF(C912="","",IFERROR(INDEX('30_NGAN_HANG'!$D:$D,MATCH(C912,'30_NGAN_HANG'!$A:$A,0)),"Không tìm thấy"))</f>
        <v/>
      </c>
      <c r="E912">
        <f>IF(C912="","",IFERROR(INDEX('30_NGAN_HANG'!$Y:$Y,MATCH(C912,'30_NGAN_HANG'!$A:$A,0)),""))</f>
        <v/>
      </c>
    </row>
    <row r="913">
      <c r="D913">
        <f>IF(C913="","",IFERROR(INDEX('30_NGAN_HANG'!$D:$D,MATCH(C913,'30_NGAN_HANG'!$A:$A,0)),"Không tìm thấy"))</f>
        <v/>
      </c>
      <c r="E913">
        <f>IF(C913="","",IFERROR(INDEX('30_NGAN_HANG'!$Y:$Y,MATCH(C913,'30_NGAN_HANG'!$A:$A,0)),""))</f>
        <v/>
      </c>
    </row>
    <row r="914">
      <c r="D914">
        <f>IF(C914="","",IFERROR(INDEX('30_NGAN_HANG'!$D:$D,MATCH(C914,'30_NGAN_HANG'!$A:$A,0)),"Không tìm thấy"))</f>
        <v/>
      </c>
      <c r="E914">
        <f>IF(C914="","",IFERROR(INDEX('30_NGAN_HANG'!$Y:$Y,MATCH(C914,'30_NGAN_HANG'!$A:$A,0)),""))</f>
        <v/>
      </c>
    </row>
    <row r="915">
      <c r="D915">
        <f>IF(C915="","",IFERROR(INDEX('30_NGAN_HANG'!$D:$D,MATCH(C915,'30_NGAN_HANG'!$A:$A,0)),"Không tìm thấy"))</f>
        <v/>
      </c>
      <c r="E915">
        <f>IF(C915="","",IFERROR(INDEX('30_NGAN_HANG'!$Y:$Y,MATCH(C915,'30_NGAN_HANG'!$A:$A,0)),""))</f>
        <v/>
      </c>
    </row>
    <row r="916">
      <c r="D916">
        <f>IF(C916="","",IFERROR(INDEX('30_NGAN_HANG'!$D:$D,MATCH(C916,'30_NGAN_HANG'!$A:$A,0)),"Không tìm thấy"))</f>
        <v/>
      </c>
      <c r="E916">
        <f>IF(C916="","",IFERROR(INDEX('30_NGAN_HANG'!$Y:$Y,MATCH(C916,'30_NGAN_HANG'!$A:$A,0)),""))</f>
        <v/>
      </c>
    </row>
    <row r="917">
      <c r="D917">
        <f>IF(C917="","",IFERROR(INDEX('30_NGAN_HANG'!$D:$D,MATCH(C917,'30_NGAN_HANG'!$A:$A,0)),"Không tìm thấy"))</f>
        <v/>
      </c>
      <c r="E917">
        <f>IF(C917="","",IFERROR(INDEX('30_NGAN_HANG'!$Y:$Y,MATCH(C917,'30_NGAN_HANG'!$A:$A,0)),""))</f>
        <v/>
      </c>
    </row>
    <row r="918">
      <c r="D918">
        <f>IF(C918="","",IFERROR(INDEX('30_NGAN_HANG'!$D:$D,MATCH(C918,'30_NGAN_HANG'!$A:$A,0)),"Không tìm thấy"))</f>
        <v/>
      </c>
      <c r="E918">
        <f>IF(C918="","",IFERROR(INDEX('30_NGAN_HANG'!$Y:$Y,MATCH(C918,'30_NGAN_HANG'!$A:$A,0)),""))</f>
        <v/>
      </c>
    </row>
    <row r="919">
      <c r="D919">
        <f>IF(C919="","",IFERROR(INDEX('30_NGAN_HANG'!$D:$D,MATCH(C919,'30_NGAN_HANG'!$A:$A,0)),"Không tìm thấy"))</f>
        <v/>
      </c>
      <c r="E919">
        <f>IF(C919="","",IFERROR(INDEX('30_NGAN_HANG'!$Y:$Y,MATCH(C919,'30_NGAN_HANG'!$A:$A,0)),""))</f>
        <v/>
      </c>
    </row>
    <row r="920">
      <c r="D920">
        <f>IF(C920="","",IFERROR(INDEX('30_NGAN_HANG'!$D:$D,MATCH(C920,'30_NGAN_HANG'!$A:$A,0)),"Không tìm thấy"))</f>
        <v/>
      </c>
      <c r="E920">
        <f>IF(C920="","",IFERROR(INDEX('30_NGAN_HANG'!$Y:$Y,MATCH(C920,'30_NGAN_HANG'!$A:$A,0)),""))</f>
        <v/>
      </c>
    </row>
    <row r="921">
      <c r="D921">
        <f>IF(C921="","",IFERROR(INDEX('30_NGAN_HANG'!$D:$D,MATCH(C921,'30_NGAN_HANG'!$A:$A,0)),"Không tìm thấy"))</f>
        <v/>
      </c>
      <c r="E921">
        <f>IF(C921="","",IFERROR(INDEX('30_NGAN_HANG'!$Y:$Y,MATCH(C921,'30_NGAN_HANG'!$A:$A,0)),""))</f>
        <v/>
      </c>
    </row>
    <row r="922">
      <c r="D922">
        <f>IF(C922="","",IFERROR(INDEX('30_NGAN_HANG'!$D:$D,MATCH(C922,'30_NGAN_HANG'!$A:$A,0)),"Không tìm thấy"))</f>
        <v/>
      </c>
      <c r="E922">
        <f>IF(C922="","",IFERROR(INDEX('30_NGAN_HANG'!$Y:$Y,MATCH(C922,'30_NGAN_HANG'!$A:$A,0)),""))</f>
        <v/>
      </c>
    </row>
    <row r="923">
      <c r="D923">
        <f>IF(C923="","",IFERROR(INDEX('30_NGAN_HANG'!$D:$D,MATCH(C923,'30_NGAN_HANG'!$A:$A,0)),"Không tìm thấy"))</f>
        <v/>
      </c>
      <c r="E923">
        <f>IF(C923="","",IFERROR(INDEX('30_NGAN_HANG'!$Y:$Y,MATCH(C923,'30_NGAN_HANG'!$A:$A,0)),""))</f>
        <v/>
      </c>
    </row>
    <row r="924">
      <c r="D924">
        <f>IF(C924="","",IFERROR(INDEX('30_NGAN_HANG'!$D:$D,MATCH(C924,'30_NGAN_HANG'!$A:$A,0)),"Không tìm thấy"))</f>
        <v/>
      </c>
      <c r="E924">
        <f>IF(C924="","",IFERROR(INDEX('30_NGAN_HANG'!$Y:$Y,MATCH(C924,'30_NGAN_HANG'!$A:$A,0)),""))</f>
        <v/>
      </c>
    </row>
    <row r="925">
      <c r="D925">
        <f>IF(C925="","",IFERROR(INDEX('30_NGAN_HANG'!$D:$D,MATCH(C925,'30_NGAN_HANG'!$A:$A,0)),"Không tìm thấy"))</f>
        <v/>
      </c>
      <c r="E925">
        <f>IF(C925="","",IFERROR(INDEX('30_NGAN_HANG'!$Y:$Y,MATCH(C925,'30_NGAN_HANG'!$A:$A,0)),""))</f>
        <v/>
      </c>
    </row>
    <row r="926">
      <c r="D926">
        <f>IF(C926="","",IFERROR(INDEX('30_NGAN_HANG'!$D:$D,MATCH(C926,'30_NGAN_HANG'!$A:$A,0)),"Không tìm thấy"))</f>
        <v/>
      </c>
      <c r="E926">
        <f>IF(C926="","",IFERROR(INDEX('30_NGAN_HANG'!$Y:$Y,MATCH(C926,'30_NGAN_HANG'!$A:$A,0)),""))</f>
        <v/>
      </c>
    </row>
    <row r="927">
      <c r="D927">
        <f>IF(C927="","",IFERROR(INDEX('30_NGAN_HANG'!$D:$D,MATCH(C927,'30_NGAN_HANG'!$A:$A,0)),"Không tìm thấy"))</f>
        <v/>
      </c>
      <c r="E927">
        <f>IF(C927="","",IFERROR(INDEX('30_NGAN_HANG'!$Y:$Y,MATCH(C927,'30_NGAN_HANG'!$A:$A,0)),""))</f>
        <v/>
      </c>
    </row>
    <row r="928">
      <c r="D928">
        <f>IF(C928="","",IFERROR(INDEX('30_NGAN_HANG'!$D:$D,MATCH(C928,'30_NGAN_HANG'!$A:$A,0)),"Không tìm thấy"))</f>
        <v/>
      </c>
      <c r="E928">
        <f>IF(C928="","",IFERROR(INDEX('30_NGAN_HANG'!$Y:$Y,MATCH(C928,'30_NGAN_HANG'!$A:$A,0)),""))</f>
        <v/>
      </c>
    </row>
    <row r="929">
      <c r="D929">
        <f>IF(C929="","",IFERROR(INDEX('30_NGAN_HANG'!$D:$D,MATCH(C929,'30_NGAN_HANG'!$A:$A,0)),"Không tìm thấy"))</f>
        <v/>
      </c>
      <c r="E929">
        <f>IF(C929="","",IFERROR(INDEX('30_NGAN_HANG'!$Y:$Y,MATCH(C929,'30_NGAN_HANG'!$A:$A,0)),""))</f>
        <v/>
      </c>
    </row>
    <row r="930">
      <c r="D930">
        <f>IF(C930="","",IFERROR(INDEX('30_NGAN_HANG'!$D:$D,MATCH(C930,'30_NGAN_HANG'!$A:$A,0)),"Không tìm thấy"))</f>
        <v/>
      </c>
      <c r="E930">
        <f>IF(C930="","",IFERROR(INDEX('30_NGAN_HANG'!$Y:$Y,MATCH(C930,'30_NGAN_HANG'!$A:$A,0)),""))</f>
        <v/>
      </c>
    </row>
    <row r="931">
      <c r="D931">
        <f>IF(C931="","",IFERROR(INDEX('30_NGAN_HANG'!$D:$D,MATCH(C931,'30_NGAN_HANG'!$A:$A,0)),"Không tìm thấy"))</f>
        <v/>
      </c>
      <c r="E931">
        <f>IF(C931="","",IFERROR(INDEX('30_NGAN_HANG'!$Y:$Y,MATCH(C931,'30_NGAN_HANG'!$A:$A,0)),""))</f>
        <v/>
      </c>
    </row>
    <row r="932">
      <c r="D932">
        <f>IF(C932="","",IFERROR(INDEX('30_NGAN_HANG'!$D:$D,MATCH(C932,'30_NGAN_HANG'!$A:$A,0)),"Không tìm thấy"))</f>
        <v/>
      </c>
      <c r="E932">
        <f>IF(C932="","",IFERROR(INDEX('30_NGAN_HANG'!$Y:$Y,MATCH(C932,'30_NGAN_HANG'!$A:$A,0)),""))</f>
        <v/>
      </c>
    </row>
    <row r="933">
      <c r="D933">
        <f>IF(C933="","",IFERROR(INDEX('30_NGAN_HANG'!$D:$D,MATCH(C933,'30_NGAN_HANG'!$A:$A,0)),"Không tìm thấy"))</f>
        <v/>
      </c>
      <c r="E933">
        <f>IF(C933="","",IFERROR(INDEX('30_NGAN_HANG'!$Y:$Y,MATCH(C933,'30_NGAN_HANG'!$A:$A,0)),""))</f>
        <v/>
      </c>
    </row>
    <row r="934">
      <c r="D934">
        <f>IF(C934="","",IFERROR(INDEX('30_NGAN_HANG'!$D:$D,MATCH(C934,'30_NGAN_HANG'!$A:$A,0)),"Không tìm thấy"))</f>
        <v/>
      </c>
      <c r="E934">
        <f>IF(C934="","",IFERROR(INDEX('30_NGAN_HANG'!$Y:$Y,MATCH(C934,'30_NGAN_HANG'!$A:$A,0)),""))</f>
        <v/>
      </c>
    </row>
    <row r="935">
      <c r="D935">
        <f>IF(C935="","",IFERROR(INDEX('30_NGAN_HANG'!$D:$D,MATCH(C935,'30_NGAN_HANG'!$A:$A,0)),"Không tìm thấy"))</f>
        <v/>
      </c>
      <c r="E935">
        <f>IF(C935="","",IFERROR(INDEX('30_NGAN_HANG'!$Y:$Y,MATCH(C935,'30_NGAN_HANG'!$A:$A,0)),""))</f>
        <v/>
      </c>
    </row>
    <row r="936">
      <c r="D936">
        <f>IF(C936="","",IFERROR(INDEX('30_NGAN_HANG'!$D:$D,MATCH(C936,'30_NGAN_HANG'!$A:$A,0)),"Không tìm thấy"))</f>
        <v/>
      </c>
      <c r="E936">
        <f>IF(C936="","",IFERROR(INDEX('30_NGAN_HANG'!$Y:$Y,MATCH(C936,'30_NGAN_HANG'!$A:$A,0)),""))</f>
        <v/>
      </c>
    </row>
    <row r="937">
      <c r="D937">
        <f>IF(C937="","",IFERROR(INDEX('30_NGAN_HANG'!$D:$D,MATCH(C937,'30_NGAN_HANG'!$A:$A,0)),"Không tìm thấy"))</f>
        <v/>
      </c>
      <c r="E937">
        <f>IF(C937="","",IFERROR(INDEX('30_NGAN_HANG'!$Y:$Y,MATCH(C937,'30_NGAN_HANG'!$A:$A,0)),""))</f>
        <v/>
      </c>
    </row>
    <row r="938">
      <c r="D938">
        <f>IF(C938="","",IFERROR(INDEX('30_NGAN_HANG'!$D:$D,MATCH(C938,'30_NGAN_HANG'!$A:$A,0)),"Không tìm thấy"))</f>
        <v/>
      </c>
      <c r="E938">
        <f>IF(C938="","",IFERROR(INDEX('30_NGAN_HANG'!$Y:$Y,MATCH(C938,'30_NGAN_HANG'!$A:$A,0)),""))</f>
        <v/>
      </c>
    </row>
    <row r="939">
      <c r="D939">
        <f>IF(C939="","",IFERROR(INDEX('30_NGAN_HANG'!$D:$D,MATCH(C939,'30_NGAN_HANG'!$A:$A,0)),"Không tìm thấy"))</f>
        <v/>
      </c>
      <c r="E939">
        <f>IF(C939="","",IFERROR(INDEX('30_NGAN_HANG'!$Y:$Y,MATCH(C939,'30_NGAN_HANG'!$A:$A,0)),""))</f>
        <v/>
      </c>
    </row>
    <row r="940">
      <c r="D940">
        <f>IF(C940="","",IFERROR(INDEX('30_NGAN_HANG'!$D:$D,MATCH(C940,'30_NGAN_HANG'!$A:$A,0)),"Không tìm thấy"))</f>
        <v/>
      </c>
      <c r="E940">
        <f>IF(C940="","",IFERROR(INDEX('30_NGAN_HANG'!$Y:$Y,MATCH(C940,'30_NGAN_HANG'!$A:$A,0)),""))</f>
        <v/>
      </c>
    </row>
    <row r="941">
      <c r="D941">
        <f>IF(C941="","",IFERROR(INDEX('30_NGAN_HANG'!$D:$D,MATCH(C941,'30_NGAN_HANG'!$A:$A,0)),"Không tìm thấy"))</f>
        <v/>
      </c>
      <c r="E941">
        <f>IF(C941="","",IFERROR(INDEX('30_NGAN_HANG'!$Y:$Y,MATCH(C941,'30_NGAN_HANG'!$A:$A,0)),""))</f>
        <v/>
      </c>
    </row>
    <row r="942">
      <c r="D942">
        <f>IF(C942="","",IFERROR(INDEX('30_NGAN_HANG'!$D:$D,MATCH(C942,'30_NGAN_HANG'!$A:$A,0)),"Không tìm thấy"))</f>
        <v/>
      </c>
      <c r="E942">
        <f>IF(C942="","",IFERROR(INDEX('30_NGAN_HANG'!$Y:$Y,MATCH(C942,'30_NGAN_HANG'!$A:$A,0)),""))</f>
        <v/>
      </c>
    </row>
    <row r="943">
      <c r="D943">
        <f>IF(C943="","",IFERROR(INDEX('30_NGAN_HANG'!$D:$D,MATCH(C943,'30_NGAN_HANG'!$A:$A,0)),"Không tìm thấy"))</f>
        <v/>
      </c>
      <c r="E943">
        <f>IF(C943="","",IFERROR(INDEX('30_NGAN_HANG'!$Y:$Y,MATCH(C943,'30_NGAN_HANG'!$A:$A,0)),""))</f>
        <v/>
      </c>
    </row>
    <row r="944">
      <c r="D944">
        <f>IF(C944="","",IFERROR(INDEX('30_NGAN_HANG'!$D:$D,MATCH(C944,'30_NGAN_HANG'!$A:$A,0)),"Không tìm thấy"))</f>
        <v/>
      </c>
      <c r="E944">
        <f>IF(C944="","",IFERROR(INDEX('30_NGAN_HANG'!$Y:$Y,MATCH(C944,'30_NGAN_HANG'!$A:$A,0)),""))</f>
        <v/>
      </c>
    </row>
    <row r="945">
      <c r="D945">
        <f>IF(C945="","",IFERROR(INDEX('30_NGAN_HANG'!$D:$D,MATCH(C945,'30_NGAN_HANG'!$A:$A,0)),"Không tìm thấy"))</f>
        <v/>
      </c>
      <c r="E945">
        <f>IF(C945="","",IFERROR(INDEX('30_NGAN_HANG'!$Y:$Y,MATCH(C945,'30_NGAN_HANG'!$A:$A,0)),""))</f>
        <v/>
      </c>
    </row>
    <row r="946">
      <c r="D946">
        <f>IF(C946="","",IFERROR(INDEX('30_NGAN_HANG'!$D:$D,MATCH(C946,'30_NGAN_HANG'!$A:$A,0)),"Không tìm thấy"))</f>
        <v/>
      </c>
      <c r="E946">
        <f>IF(C946="","",IFERROR(INDEX('30_NGAN_HANG'!$Y:$Y,MATCH(C946,'30_NGAN_HANG'!$A:$A,0)),""))</f>
        <v/>
      </c>
    </row>
    <row r="947">
      <c r="D947">
        <f>IF(C947="","",IFERROR(INDEX('30_NGAN_HANG'!$D:$D,MATCH(C947,'30_NGAN_HANG'!$A:$A,0)),"Không tìm thấy"))</f>
        <v/>
      </c>
      <c r="E947">
        <f>IF(C947="","",IFERROR(INDEX('30_NGAN_HANG'!$Y:$Y,MATCH(C947,'30_NGAN_HANG'!$A:$A,0)),""))</f>
        <v/>
      </c>
    </row>
    <row r="948">
      <c r="D948">
        <f>IF(C948="","",IFERROR(INDEX('30_NGAN_HANG'!$D:$D,MATCH(C948,'30_NGAN_HANG'!$A:$A,0)),"Không tìm thấy"))</f>
        <v/>
      </c>
      <c r="E948">
        <f>IF(C948="","",IFERROR(INDEX('30_NGAN_HANG'!$Y:$Y,MATCH(C948,'30_NGAN_HANG'!$A:$A,0)),""))</f>
        <v/>
      </c>
    </row>
    <row r="949">
      <c r="D949">
        <f>IF(C949="","",IFERROR(INDEX('30_NGAN_HANG'!$D:$D,MATCH(C949,'30_NGAN_HANG'!$A:$A,0)),"Không tìm thấy"))</f>
        <v/>
      </c>
      <c r="E949">
        <f>IF(C949="","",IFERROR(INDEX('30_NGAN_HANG'!$Y:$Y,MATCH(C949,'30_NGAN_HANG'!$A:$A,0)),""))</f>
        <v/>
      </c>
    </row>
    <row r="950">
      <c r="D950">
        <f>IF(C950="","",IFERROR(INDEX('30_NGAN_HANG'!$D:$D,MATCH(C950,'30_NGAN_HANG'!$A:$A,0)),"Không tìm thấy"))</f>
        <v/>
      </c>
      <c r="E950">
        <f>IF(C950="","",IFERROR(INDEX('30_NGAN_HANG'!$Y:$Y,MATCH(C950,'30_NGAN_HANG'!$A:$A,0)),""))</f>
        <v/>
      </c>
    </row>
    <row r="951">
      <c r="D951">
        <f>IF(C951="","",IFERROR(INDEX('30_NGAN_HANG'!$D:$D,MATCH(C951,'30_NGAN_HANG'!$A:$A,0)),"Không tìm thấy"))</f>
        <v/>
      </c>
      <c r="E951">
        <f>IF(C951="","",IFERROR(INDEX('30_NGAN_HANG'!$Y:$Y,MATCH(C951,'30_NGAN_HANG'!$A:$A,0)),""))</f>
        <v/>
      </c>
    </row>
    <row r="952">
      <c r="D952">
        <f>IF(C952="","",IFERROR(INDEX('30_NGAN_HANG'!$D:$D,MATCH(C952,'30_NGAN_HANG'!$A:$A,0)),"Không tìm thấy"))</f>
        <v/>
      </c>
      <c r="E952">
        <f>IF(C952="","",IFERROR(INDEX('30_NGAN_HANG'!$Y:$Y,MATCH(C952,'30_NGAN_HANG'!$A:$A,0)),""))</f>
        <v/>
      </c>
    </row>
    <row r="953">
      <c r="D953">
        <f>IF(C953="","",IFERROR(INDEX('30_NGAN_HANG'!$D:$D,MATCH(C953,'30_NGAN_HANG'!$A:$A,0)),"Không tìm thấy"))</f>
        <v/>
      </c>
      <c r="E953">
        <f>IF(C953="","",IFERROR(INDEX('30_NGAN_HANG'!$Y:$Y,MATCH(C953,'30_NGAN_HANG'!$A:$A,0)),""))</f>
        <v/>
      </c>
    </row>
    <row r="954">
      <c r="D954">
        <f>IF(C954="","",IFERROR(INDEX('30_NGAN_HANG'!$D:$D,MATCH(C954,'30_NGAN_HANG'!$A:$A,0)),"Không tìm thấy"))</f>
        <v/>
      </c>
      <c r="E954">
        <f>IF(C954="","",IFERROR(INDEX('30_NGAN_HANG'!$Y:$Y,MATCH(C954,'30_NGAN_HANG'!$A:$A,0)),""))</f>
        <v/>
      </c>
    </row>
    <row r="955">
      <c r="D955">
        <f>IF(C955="","",IFERROR(INDEX('30_NGAN_HANG'!$D:$D,MATCH(C955,'30_NGAN_HANG'!$A:$A,0)),"Không tìm thấy"))</f>
        <v/>
      </c>
      <c r="E955">
        <f>IF(C955="","",IFERROR(INDEX('30_NGAN_HANG'!$Y:$Y,MATCH(C955,'30_NGAN_HANG'!$A:$A,0)),""))</f>
        <v/>
      </c>
    </row>
    <row r="956">
      <c r="D956">
        <f>IF(C956="","",IFERROR(INDEX('30_NGAN_HANG'!$D:$D,MATCH(C956,'30_NGAN_HANG'!$A:$A,0)),"Không tìm thấy"))</f>
        <v/>
      </c>
      <c r="E956">
        <f>IF(C956="","",IFERROR(INDEX('30_NGAN_HANG'!$Y:$Y,MATCH(C956,'30_NGAN_HANG'!$A:$A,0)),""))</f>
        <v/>
      </c>
    </row>
    <row r="957">
      <c r="D957">
        <f>IF(C957="","",IFERROR(INDEX('30_NGAN_HANG'!$D:$D,MATCH(C957,'30_NGAN_HANG'!$A:$A,0)),"Không tìm thấy"))</f>
        <v/>
      </c>
      <c r="E957">
        <f>IF(C957="","",IFERROR(INDEX('30_NGAN_HANG'!$Y:$Y,MATCH(C957,'30_NGAN_HANG'!$A:$A,0)),""))</f>
        <v/>
      </c>
    </row>
    <row r="958">
      <c r="D958">
        <f>IF(C958="","",IFERROR(INDEX('30_NGAN_HANG'!$D:$D,MATCH(C958,'30_NGAN_HANG'!$A:$A,0)),"Không tìm thấy"))</f>
        <v/>
      </c>
      <c r="E958">
        <f>IF(C958="","",IFERROR(INDEX('30_NGAN_HANG'!$Y:$Y,MATCH(C958,'30_NGAN_HANG'!$A:$A,0)),""))</f>
        <v/>
      </c>
    </row>
    <row r="959">
      <c r="D959">
        <f>IF(C959="","",IFERROR(INDEX('30_NGAN_HANG'!$D:$D,MATCH(C959,'30_NGAN_HANG'!$A:$A,0)),"Không tìm thấy"))</f>
        <v/>
      </c>
      <c r="E959">
        <f>IF(C959="","",IFERROR(INDEX('30_NGAN_HANG'!$Y:$Y,MATCH(C959,'30_NGAN_HANG'!$A:$A,0)),""))</f>
        <v/>
      </c>
    </row>
    <row r="960">
      <c r="D960">
        <f>IF(C960="","",IFERROR(INDEX('30_NGAN_HANG'!$D:$D,MATCH(C960,'30_NGAN_HANG'!$A:$A,0)),"Không tìm thấy"))</f>
        <v/>
      </c>
      <c r="E960">
        <f>IF(C960="","",IFERROR(INDEX('30_NGAN_HANG'!$Y:$Y,MATCH(C960,'30_NGAN_HANG'!$A:$A,0)),""))</f>
        <v/>
      </c>
    </row>
    <row r="961">
      <c r="D961">
        <f>IF(C961="","",IFERROR(INDEX('30_NGAN_HANG'!$D:$D,MATCH(C961,'30_NGAN_HANG'!$A:$A,0)),"Không tìm thấy"))</f>
        <v/>
      </c>
      <c r="E961">
        <f>IF(C961="","",IFERROR(INDEX('30_NGAN_HANG'!$Y:$Y,MATCH(C961,'30_NGAN_HANG'!$A:$A,0)),""))</f>
        <v/>
      </c>
    </row>
    <row r="962">
      <c r="D962">
        <f>IF(C962="","",IFERROR(INDEX('30_NGAN_HANG'!$D:$D,MATCH(C962,'30_NGAN_HANG'!$A:$A,0)),"Không tìm thấy"))</f>
        <v/>
      </c>
      <c r="E962">
        <f>IF(C962="","",IFERROR(INDEX('30_NGAN_HANG'!$Y:$Y,MATCH(C962,'30_NGAN_HANG'!$A:$A,0)),""))</f>
        <v/>
      </c>
    </row>
    <row r="963">
      <c r="D963">
        <f>IF(C963="","",IFERROR(INDEX('30_NGAN_HANG'!$D:$D,MATCH(C963,'30_NGAN_HANG'!$A:$A,0)),"Không tìm thấy"))</f>
        <v/>
      </c>
      <c r="E963">
        <f>IF(C963="","",IFERROR(INDEX('30_NGAN_HANG'!$Y:$Y,MATCH(C963,'30_NGAN_HANG'!$A:$A,0)),""))</f>
        <v/>
      </c>
    </row>
    <row r="964">
      <c r="D964">
        <f>IF(C964="","",IFERROR(INDEX('30_NGAN_HANG'!$D:$D,MATCH(C964,'30_NGAN_HANG'!$A:$A,0)),"Không tìm thấy"))</f>
        <v/>
      </c>
      <c r="E964">
        <f>IF(C964="","",IFERROR(INDEX('30_NGAN_HANG'!$Y:$Y,MATCH(C964,'30_NGAN_HANG'!$A:$A,0)),""))</f>
        <v/>
      </c>
    </row>
    <row r="965">
      <c r="D965">
        <f>IF(C965="","",IFERROR(INDEX('30_NGAN_HANG'!$D:$D,MATCH(C965,'30_NGAN_HANG'!$A:$A,0)),"Không tìm thấy"))</f>
        <v/>
      </c>
      <c r="E965">
        <f>IF(C965="","",IFERROR(INDEX('30_NGAN_HANG'!$Y:$Y,MATCH(C965,'30_NGAN_HANG'!$A:$A,0)),""))</f>
        <v/>
      </c>
    </row>
    <row r="966">
      <c r="D966">
        <f>IF(C966="","",IFERROR(INDEX('30_NGAN_HANG'!$D:$D,MATCH(C966,'30_NGAN_HANG'!$A:$A,0)),"Không tìm thấy"))</f>
        <v/>
      </c>
      <c r="E966">
        <f>IF(C966="","",IFERROR(INDEX('30_NGAN_HANG'!$Y:$Y,MATCH(C966,'30_NGAN_HANG'!$A:$A,0)),""))</f>
        <v/>
      </c>
    </row>
    <row r="967">
      <c r="D967">
        <f>IF(C967="","",IFERROR(INDEX('30_NGAN_HANG'!$D:$D,MATCH(C967,'30_NGAN_HANG'!$A:$A,0)),"Không tìm thấy"))</f>
        <v/>
      </c>
      <c r="E967">
        <f>IF(C967="","",IFERROR(INDEX('30_NGAN_HANG'!$Y:$Y,MATCH(C967,'30_NGAN_HANG'!$A:$A,0)),""))</f>
        <v/>
      </c>
    </row>
    <row r="968">
      <c r="D968">
        <f>IF(C968="","",IFERROR(INDEX('30_NGAN_HANG'!$D:$D,MATCH(C968,'30_NGAN_HANG'!$A:$A,0)),"Không tìm thấy"))</f>
        <v/>
      </c>
      <c r="E968">
        <f>IF(C968="","",IFERROR(INDEX('30_NGAN_HANG'!$Y:$Y,MATCH(C968,'30_NGAN_HANG'!$A:$A,0)),""))</f>
        <v/>
      </c>
    </row>
    <row r="969">
      <c r="D969">
        <f>IF(C969="","",IFERROR(INDEX('30_NGAN_HANG'!$D:$D,MATCH(C969,'30_NGAN_HANG'!$A:$A,0)),"Không tìm thấy"))</f>
        <v/>
      </c>
      <c r="E969">
        <f>IF(C969="","",IFERROR(INDEX('30_NGAN_HANG'!$Y:$Y,MATCH(C969,'30_NGAN_HANG'!$A:$A,0)),""))</f>
        <v/>
      </c>
    </row>
    <row r="970">
      <c r="D970">
        <f>IF(C970="","",IFERROR(INDEX('30_NGAN_HANG'!$D:$D,MATCH(C970,'30_NGAN_HANG'!$A:$A,0)),"Không tìm thấy"))</f>
        <v/>
      </c>
      <c r="E970">
        <f>IF(C970="","",IFERROR(INDEX('30_NGAN_HANG'!$Y:$Y,MATCH(C970,'30_NGAN_HANG'!$A:$A,0)),""))</f>
        <v/>
      </c>
    </row>
    <row r="971">
      <c r="D971">
        <f>IF(C971="","",IFERROR(INDEX('30_NGAN_HANG'!$D:$D,MATCH(C971,'30_NGAN_HANG'!$A:$A,0)),"Không tìm thấy"))</f>
        <v/>
      </c>
      <c r="E971">
        <f>IF(C971="","",IFERROR(INDEX('30_NGAN_HANG'!$Y:$Y,MATCH(C971,'30_NGAN_HANG'!$A:$A,0)),""))</f>
        <v/>
      </c>
    </row>
    <row r="972">
      <c r="D972">
        <f>IF(C972="","",IFERROR(INDEX('30_NGAN_HANG'!$D:$D,MATCH(C972,'30_NGAN_HANG'!$A:$A,0)),"Không tìm thấy"))</f>
        <v/>
      </c>
      <c r="E972">
        <f>IF(C972="","",IFERROR(INDEX('30_NGAN_HANG'!$Y:$Y,MATCH(C972,'30_NGAN_HANG'!$A:$A,0)),""))</f>
        <v/>
      </c>
    </row>
    <row r="973">
      <c r="D973">
        <f>IF(C973="","",IFERROR(INDEX('30_NGAN_HANG'!$D:$D,MATCH(C973,'30_NGAN_HANG'!$A:$A,0)),"Không tìm thấy"))</f>
        <v/>
      </c>
      <c r="E973">
        <f>IF(C973="","",IFERROR(INDEX('30_NGAN_HANG'!$Y:$Y,MATCH(C973,'30_NGAN_HANG'!$A:$A,0)),""))</f>
        <v/>
      </c>
    </row>
    <row r="974">
      <c r="D974">
        <f>IF(C974="","",IFERROR(INDEX('30_NGAN_HANG'!$D:$D,MATCH(C974,'30_NGAN_HANG'!$A:$A,0)),"Không tìm thấy"))</f>
        <v/>
      </c>
      <c r="E974">
        <f>IF(C974="","",IFERROR(INDEX('30_NGAN_HANG'!$Y:$Y,MATCH(C974,'30_NGAN_HANG'!$A:$A,0)),""))</f>
        <v/>
      </c>
    </row>
    <row r="975">
      <c r="D975">
        <f>IF(C975="","",IFERROR(INDEX('30_NGAN_HANG'!$D:$D,MATCH(C975,'30_NGAN_HANG'!$A:$A,0)),"Không tìm thấy"))</f>
        <v/>
      </c>
      <c r="E975">
        <f>IF(C975="","",IFERROR(INDEX('30_NGAN_HANG'!$Y:$Y,MATCH(C975,'30_NGAN_HANG'!$A:$A,0)),""))</f>
        <v/>
      </c>
    </row>
    <row r="976">
      <c r="D976">
        <f>IF(C976="","",IFERROR(INDEX('30_NGAN_HANG'!$D:$D,MATCH(C976,'30_NGAN_HANG'!$A:$A,0)),"Không tìm thấy"))</f>
        <v/>
      </c>
      <c r="E976">
        <f>IF(C976="","",IFERROR(INDEX('30_NGAN_HANG'!$Y:$Y,MATCH(C976,'30_NGAN_HANG'!$A:$A,0)),""))</f>
        <v/>
      </c>
    </row>
    <row r="977">
      <c r="D977">
        <f>IF(C977="","",IFERROR(INDEX('30_NGAN_HANG'!$D:$D,MATCH(C977,'30_NGAN_HANG'!$A:$A,0)),"Không tìm thấy"))</f>
        <v/>
      </c>
      <c r="E977">
        <f>IF(C977="","",IFERROR(INDEX('30_NGAN_HANG'!$Y:$Y,MATCH(C977,'30_NGAN_HANG'!$A:$A,0)),""))</f>
        <v/>
      </c>
    </row>
    <row r="978">
      <c r="D978">
        <f>IF(C978="","",IFERROR(INDEX('30_NGAN_HANG'!$D:$D,MATCH(C978,'30_NGAN_HANG'!$A:$A,0)),"Không tìm thấy"))</f>
        <v/>
      </c>
      <c r="E978">
        <f>IF(C978="","",IFERROR(INDEX('30_NGAN_HANG'!$Y:$Y,MATCH(C978,'30_NGAN_HANG'!$A:$A,0)),""))</f>
        <v/>
      </c>
    </row>
    <row r="979">
      <c r="D979">
        <f>IF(C979="","",IFERROR(INDEX('30_NGAN_HANG'!$D:$D,MATCH(C979,'30_NGAN_HANG'!$A:$A,0)),"Không tìm thấy"))</f>
        <v/>
      </c>
      <c r="E979">
        <f>IF(C979="","",IFERROR(INDEX('30_NGAN_HANG'!$Y:$Y,MATCH(C979,'30_NGAN_HANG'!$A:$A,0)),""))</f>
        <v/>
      </c>
    </row>
    <row r="980">
      <c r="D980">
        <f>IF(C980="","",IFERROR(INDEX('30_NGAN_HANG'!$D:$D,MATCH(C980,'30_NGAN_HANG'!$A:$A,0)),"Không tìm thấy"))</f>
        <v/>
      </c>
      <c r="E980">
        <f>IF(C980="","",IFERROR(INDEX('30_NGAN_HANG'!$Y:$Y,MATCH(C980,'30_NGAN_HANG'!$A:$A,0)),""))</f>
        <v/>
      </c>
    </row>
    <row r="981">
      <c r="D981">
        <f>IF(C981="","",IFERROR(INDEX('30_NGAN_HANG'!$D:$D,MATCH(C981,'30_NGAN_HANG'!$A:$A,0)),"Không tìm thấy"))</f>
        <v/>
      </c>
      <c r="E981">
        <f>IF(C981="","",IFERROR(INDEX('30_NGAN_HANG'!$Y:$Y,MATCH(C981,'30_NGAN_HANG'!$A:$A,0)),""))</f>
        <v/>
      </c>
    </row>
    <row r="982">
      <c r="D982">
        <f>IF(C982="","",IFERROR(INDEX('30_NGAN_HANG'!$D:$D,MATCH(C982,'30_NGAN_HANG'!$A:$A,0)),"Không tìm thấy"))</f>
        <v/>
      </c>
      <c r="E982">
        <f>IF(C982="","",IFERROR(INDEX('30_NGAN_HANG'!$Y:$Y,MATCH(C982,'30_NGAN_HANG'!$A:$A,0)),""))</f>
        <v/>
      </c>
    </row>
    <row r="983">
      <c r="D983">
        <f>IF(C983="","",IFERROR(INDEX('30_NGAN_HANG'!$D:$D,MATCH(C983,'30_NGAN_HANG'!$A:$A,0)),"Không tìm thấy"))</f>
        <v/>
      </c>
      <c r="E983">
        <f>IF(C983="","",IFERROR(INDEX('30_NGAN_HANG'!$Y:$Y,MATCH(C983,'30_NGAN_HANG'!$A:$A,0)),""))</f>
        <v/>
      </c>
    </row>
    <row r="984">
      <c r="D984">
        <f>IF(C984="","",IFERROR(INDEX('30_NGAN_HANG'!$D:$D,MATCH(C984,'30_NGAN_HANG'!$A:$A,0)),"Không tìm thấy"))</f>
        <v/>
      </c>
      <c r="E984">
        <f>IF(C984="","",IFERROR(INDEX('30_NGAN_HANG'!$Y:$Y,MATCH(C984,'30_NGAN_HANG'!$A:$A,0)),""))</f>
        <v/>
      </c>
    </row>
    <row r="985">
      <c r="D985">
        <f>IF(C985="","",IFERROR(INDEX('30_NGAN_HANG'!$D:$D,MATCH(C985,'30_NGAN_HANG'!$A:$A,0)),"Không tìm thấy"))</f>
        <v/>
      </c>
      <c r="E985">
        <f>IF(C985="","",IFERROR(INDEX('30_NGAN_HANG'!$Y:$Y,MATCH(C985,'30_NGAN_HANG'!$A:$A,0)),""))</f>
        <v/>
      </c>
    </row>
    <row r="986">
      <c r="D986">
        <f>IF(C986="","",IFERROR(INDEX('30_NGAN_HANG'!$D:$D,MATCH(C986,'30_NGAN_HANG'!$A:$A,0)),"Không tìm thấy"))</f>
        <v/>
      </c>
      <c r="E986">
        <f>IF(C986="","",IFERROR(INDEX('30_NGAN_HANG'!$Y:$Y,MATCH(C986,'30_NGAN_HANG'!$A:$A,0)),""))</f>
        <v/>
      </c>
    </row>
    <row r="987">
      <c r="D987">
        <f>IF(C987="","",IFERROR(INDEX('30_NGAN_HANG'!$D:$D,MATCH(C987,'30_NGAN_HANG'!$A:$A,0)),"Không tìm thấy"))</f>
        <v/>
      </c>
      <c r="E987">
        <f>IF(C987="","",IFERROR(INDEX('30_NGAN_HANG'!$Y:$Y,MATCH(C987,'30_NGAN_HANG'!$A:$A,0)),""))</f>
        <v/>
      </c>
    </row>
    <row r="988">
      <c r="D988">
        <f>IF(C988="","",IFERROR(INDEX('30_NGAN_HANG'!$D:$D,MATCH(C988,'30_NGAN_HANG'!$A:$A,0)),"Không tìm thấy"))</f>
        <v/>
      </c>
      <c r="E988">
        <f>IF(C988="","",IFERROR(INDEX('30_NGAN_HANG'!$Y:$Y,MATCH(C988,'30_NGAN_HANG'!$A:$A,0)),""))</f>
        <v/>
      </c>
    </row>
    <row r="989">
      <c r="D989">
        <f>IF(C989="","",IFERROR(INDEX('30_NGAN_HANG'!$D:$D,MATCH(C989,'30_NGAN_HANG'!$A:$A,0)),"Không tìm thấy"))</f>
        <v/>
      </c>
      <c r="E989">
        <f>IF(C989="","",IFERROR(INDEX('30_NGAN_HANG'!$Y:$Y,MATCH(C989,'30_NGAN_HANG'!$A:$A,0)),""))</f>
        <v/>
      </c>
    </row>
    <row r="990">
      <c r="D990">
        <f>IF(C990="","",IFERROR(INDEX('30_NGAN_HANG'!$D:$D,MATCH(C990,'30_NGAN_HANG'!$A:$A,0)),"Không tìm thấy"))</f>
        <v/>
      </c>
      <c r="E990">
        <f>IF(C990="","",IFERROR(INDEX('30_NGAN_HANG'!$Y:$Y,MATCH(C990,'30_NGAN_HANG'!$A:$A,0)),""))</f>
        <v/>
      </c>
    </row>
    <row r="991">
      <c r="D991">
        <f>IF(C991="","",IFERROR(INDEX('30_NGAN_HANG'!$D:$D,MATCH(C991,'30_NGAN_HANG'!$A:$A,0)),"Không tìm thấy"))</f>
        <v/>
      </c>
      <c r="E991">
        <f>IF(C991="","",IFERROR(INDEX('30_NGAN_HANG'!$Y:$Y,MATCH(C991,'30_NGAN_HANG'!$A:$A,0)),""))</f>
        <v/>
      </c>
    </row>
    <row r="992">
      <c r="D992">
        <f>IF(C992="","",IFERROR(INDEX('30_NGAN_HANG'!$D:$D,MATCH(C992,'30_NGAN_HANG'!$A:$A,0)),"Không tìm thấy"))</f>
        <v/>
      </c>
      <c r="E992">
        <f>IF(C992="","",IFERROR(INDEX('30_NGAN_HANG'!$Y:$Y,MATCH(C992,'30_NGAN_HANG'!$A:$A,0)),""))</f>
        <v/>
      </c>
    </row>
    <row r="993">
      <c r="D993">
        <f>IF(C993="","",IFERROR(INDEX('30_NGAN_HANG'!$D:$D,MATCH(C993,'30_NGAN_HANG'!$A:$A,0)),"Không tìm thấy"))</f>
        <v/>
      </c>
      <c r="E993">
        <f>IF(C993="","",IFERROR(INDEX('30_NGAN_HANG'!$Y:$Y,MATCH(C993,'30_NGAN_HANG'!$A:$A,0)),""))</f>
        <v/>
      </c>
    </row>
    <row r="994">
      <c r="D994">
        <f>IF(C994="","",IFERROR(INDEX('30_NGAN_HANG'!$D:$D,MATCH(C994,'30_NGAN_HANG'!$A:$A,0)),"Không tìm thấy"))</f>
        <v/>
      </c>
      <c r="E994">
        <f>IF(C994="","",IFERROR(INDEX('30_NGAN_HANG'!$Y:$Y,MATCH(C994,'30_NGAN_HANG'!$A:$A,0)),""))</f>
        <v/>
      </c>
    </row>
    <row r="995">
      <c r="D995">
        <f>IF(C995="","",IFERROR(INDEX('30_NGAN_HANG'!$D:$D,MATCH(C995,'30_NGAN_HANG'!$A:$A,0)),"Không tìm thấy"))</f>
        <v/>
      </c>
      <c r="E995">
        <f>IF(C995="","",IFERROR(INDEX('30_NGAN_HANG'!$Y:$Y,MATCH(C995,'30_NGAN_HANG'!$A:$A,0)),""))</f>
        <v/>
      </c>
    </row>
    <row r="996">
      <c r="D996">
        <f>IF(C996="","",IFERROR(INDEX('30_NGAN_HANG'!$D:$D,MATCH(C996,'30_NGAN_HANG'!$A:$A,0)),"Không tìm thấy"))</f>
        <v/>
      </c>
      <c r="E996">
        <f>IF(C996="","",IFERROR(INDEX('30_NGAN_HANG'!$Y:$Y,MATCH(C996,'30_NGAN_HANG'!$A:$A,0)),""))</f>
        <v/>
      </c>
    </row>
    <row r="997">
      <c r="D997">
        <f>IF(C997="","",IFERROR(INDEX('30_NGAN_HANG'!$D:$D,MATCH(C997,'30_NGAN_HANG'!$A:$A,0)),"Không tìm thấy"))</f>
        <v/>
      </c>
      <c r="E997">
        <f>IF(C997="","",IFERROR(INDEX('30_NGAN_HANG'!$Y:$Y,MATCH(C997,'30_NGAN_HANG'!$A:$A,0)),""))</f>
        <v/>
      </c>
    </row>
    <row r="998">
      <c r="D998">
        <f>IF(C998="","",IFERROR(INDEX('30_NGAN_HANG'!$D:$D,MATCH(C998,'30_NGAN_HANG'!$A:$A,0)),"Không tìm thấy"))</f>
        <v/>
      </c>
      <c r="E998">
        <f>IF(C998="","",IFERROR(INDEX('30_NGAN_HANG'!$Y:$Y,MATCH(C998,'30_NGAN_HANG'!$A:$A,0)),""))</f>
        <v/>
      </c>
    </row>
    <row r="999">
      <c r="D999">
        <f>IF(C999="","",IFERROR(INDEX('30_NGAN_HANG'!$D:$D,MATCH(C999,'30_NGAN_HANG'!$A:$A,0)),"Không tìm thấy"))</f>
        <v/>
      </c>
      <c r="E999">
        <f>IF(C999="","",IFERROR(INDEX('30_NGAN_HANG'!$Y:$Y,MATCH(C999,'30_NGAN_HANG'!$A:$A,0)),""))</f>
        <v/>
      </c>
    </row>
    <row r="1000">
      <c r="D1000">
        <f>IF(C1000="","",IFERROR(INDEX('30_NGAN_HANG'!$D:$D,MATCH(C1000,'30_NGAN_HANG'!$A:$A,0)),"Không tìm thấy"))</f>
        <v/>
      </c>
      <c r="E1000">
        <f>IF(C1000="","",IFERROR(INDEX('30_NGAN_HANG'!$Y:$Y,MATCH(C1000,'30_NGAN_HANG'!$A:$A,0)),""))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7F7F7F"/>
    <outlinePr summaryBelow="1" summaryRight="1"/>
    <pageSetUpPr/>
  </sheetPr>
  <dimension ref="A1:J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32" customWidth="1" min="4" max="4"/>
    <col width="24" customWidth="1" min="5" max="5"/>
    <col width="24" customWidth="1" min="6" max="6"/>
    <col width="28" customWidth="1" min="7" max="7"/>
    <col width="26" customWidth="1" min="8" max="8"/>
    <col width="26" customWidth="1" min="9" max="9"/>
    <col width="14" customWidth="1" min="10" max="10"/>
  </cols>
  <sheetData>
    <row r="1" ht="42" customHeight="1">
      <c r="A1" s="14" t="inlineStr">
        <is>
          <t>Quyển</t>
        </is>
      </c>
      <c r="B1" s="14" t="inlineStr">
        <is>
          <t>Phần thi</t>
        </is>
      </c>
      <c r="C1" s="14" t="inlineStr">
        <is>
          <t>Dạng bài</t>
        </is>
      </c>
      <c r="D1" s="14" t="inlineStr">
        <is>
          <t>Mã sheet input</t>
        </is>
      </c>
      <c r="E1" s="14" t="inlineStr">
        <is>
          <t>TT yêu cầu</t>
        </is>
      </c>
      <c r="F1" s="14" t="inlineStr">
        <is>
          <t>TT câu hỏi</t>
        </is>
      </c>
      <c r="G1" s="14" t="inlineStr">
        <is>
          <t>Công cụ sinh</t>
        </is>
      </c>
      <c r="H1" s="14" t="inlineStr">
        <is>
          <t>Kiểu đáp án</t>
        </is>
      </c>
      <c r="I1" s="14" t="inlineStr">
        <is>
          <t>Mức lịch sự</t>
        </is>
      </c>
      <c r="J1" s="14" t="inlineStr">
        <is>
          <t>Giọng</t>
        </is>
      </c>
    </row>
    <row r="2">
      <c r="A2" t="inlineStr">
        <is>
          <t>入門</t>
        </is>
      </c>
      <c r="B2" t="inlineStr">
        <is>
          <t>文字と語彙</t>
        </is>
      </c>
      <c r="C2" t="inlineStr">
        <is>
          <t>語の意味</t>
        </is>
      </c>
      <c r="D2" t="inlineStr">
        <is>
          <t>IN_01</t>
        </is>
      </c>
      <c r="E2" t="inlineStr">
        <is>
          <t>Nháp</t>
        </is>
      </c>
      <c r="F2" t="inlineStr">
        <is>
          <t>Draft</t>
        </is>
      </c>
      <c r="G2" t="inlineStr">
        <is>
          <t>ChatGPT</t>
        </is>
      </c>
      <c r="H2" t="inlineStr">
        <is>
          <t>Chữ</t>
        </is>
      </c>
      <c r="I2" t="inlineStr">
        <is>
          <t>普通形</t>
        </is>
      </c>
      <c r="J2" t="inlineStr">
        <is>
          <t>F</t>
        </is>
      </c>
    </row>
    <row r="3">
      <c r="A3" t="inlineStr">
        <is>
          <t>初級1</t>
        </is>
      </c>
      <c r="B3" t="inlineStr">
        <is>
          <t>文字と語彙</t>
        </is>
      </c>
      <c r="C3" t="inlineStr">
        <is>
          <t>語の使い方</t>
        </is>
      </c>
      <c r="D3" t="inlineStr">
        <is>
          <t>IN_02</t>
        </is>
      </c>
      <c r="E3" t="inlineStr">
        <is>
          <t>Sẵn sàng sinh</t>
        </is>
      </c>
      <c r="F3" t="inlineStr">
        <is>
          <t>Đang duyệt VN</t>
        </is>
      </c>
      <c r="G3" t="inlineStr">
        <is>
          <t>Claude</t>
        </is>
      </c>
      <c r="H3" t="inlineStr">
        <is>
          <t>Hình 4 ô</t>
        </is>
      </c>
      <c r="I3" t="inlineStr">
        <is>
          <t>です・ます</t>
        </is>
      </c>
      <c r="J3" t="inlineStr">
        <is>
          <t>M</t>
        </is>
      </c>
    </row>
    <row r="4">
      <c r="A4" t="inlineStr">
        <is>
          <t>初級2</t>
        </is>
      </c>
      <c r="B4" t="inlineStr">
        <is>
          <t>文字と語彙</t>
        </is>
      </c>
      <c r="C4" t="inlineStr">
        <is>
          <t>漢字の読み</t>
        </is>
      </c>
      <c r="D4" t="inlineStr">
        <is>
          <t>IN_03</t>
        </is>
      </c>
      <c r="E4" t="inlineStr">
        <is>
          <t>Đã sinh</t>
        </is>
      </c>
      <c r="F4" t="inlineStr">
        <is>
          <t>Đang duyệt JP</t>
        </is>
      </c>
      <c r="G4" t="inlineStr">
        <is>
          <t>GV tự soạn</t>
        </is>
      </c>
      <c r="I4" t="inlineStr">
        <is>
          <t>敬語(尊敬・謙譲)</t>
        </is>
      </c>
      <c r="J4" t="inlineStr">
        <is>
          <t>N (dẫn)</t>
        </is>
      </c>
    </row>
    <row r="5">
      <c r="B5" t="inlineStr">
        <is>
          <t>文字と語彙</t>
        </is>
      </c>
      <c r="C5" t="inlineStr">
        <is>
          <t>漢字の表記</t>
        </is>
      </c>
      <c r="D5" t="inlineStr">
        <is>
          <t>IN_04</t>
        </is>
      </c>
      <c r="E5" t="inlineStr">
        <is>
          <t>Huỷ</t>
        </is>
      </c>
      <c r="F5" t="inlineStr">
        <is>
          <t>Cần sửa</t>
        </is>
      </c>
    </row>
    <row r="6">
      <c r="B6" t="inlineStr">
        <is>
          <t>会話と表現</t>
        </is>
      </c>
      <c r="C6" t="inlineStr">
        <is>
          <t>表現</t>
        </is>
      </c>
      <c r="D6" t="inlineStr">
        <is>
          <t>IN_05</t>
        </is>
      </c>
      <c r="F6" t="inlineStr">
        <is>
          <t>Approved</t>
        </is>
      </c>
    </row>
    <row r="7">
      <c r="B7" t="inlineStr">
        <is>
          <t>会話と表現</t>
        </is>
      </c>
      <c r="C7" t="inlineStr">
        <is>
          <t>文法</t>
        </is>
      </c>
      <c r="D7" t="inlineStr">
        <is>
          <t>IN_06</t>
        </is>
      </c>
      <c r="F7" t="inlineStr">
        <is>
          <t>Loại</t>
        </is>
      </c>
    </row>
    <row r="8">
      <c r="B8" t="inlineStr">
        <is>
          <t>聴解</t>
        </is>
      </c>
      <c r="C8" t="inlineStr">
        <is>
          <t>会話の聴解</t>
        </is>
      </c>
      <c r="D8" t="inlineStr">
        <is>
          <t>IN_07</t>
        </is>
      </c>
    </row>
    <row r="9">
      <c r="B9" t="inlineStr">
        <is>
          <t>聴解</t>
        </is>
      </c>
      <c r="C9" t="inlineStr">
        <is>
          <t>アナウンス</t>
        </is>
      </c>
      <c r="D9" t="inlineStr">
        <is>
          <t>IN_08</t>
        </is>
      </c>
    </row>
    <row r="10">
      <c r="B10" t="inlineStr">
        <is>
          <t>聴解</t>
        </is>
      </c>
      <c r="C10" t="inlineStr">
        <is>
          <t>指示の聴解</t>
        </is>
      </c>
      <c r="D10" t="inlineStr">
        <is>
          <t>IN_09</t>
        </is>
      </c>
    </row>
    <row r="11">
      <c r="B11" t="inlineStr">
        <is>
          <t>読解</t>
        </is>
      </c>
      <c r="C11" t="inlineStr">
        <is>
          <t>掲示の読解</t>
        </is>
      </c>
      <c r="D11" t="inlineStr">
        <is>
          <t>IN_10</t>
        </is>
      </c>
    </row>
    <row r="12">
      <c r="B12" t="inlineStr">
        <is>
          <t>読解</t>
        </is>
      </c>
      <c r="C12" t="inlineStr">
        <is>
          <t>文章の読解</t>
        </is>
      </c>
      <c r="D12" t="inlineStr">
        <is>
          <t>IN_11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2026-10-07T10:30:15Z</dcterms:created>
  <dcterms:modified xmlns:dcterms="http://purl.org/dc/terms/" xmlns:xsi="http://www.w3.org/2001/XMLSchema-instance" xsi:type="dcterms:W3CDTF">2026-10-07T10:30:15Z</dcterms:modified>
</cp:coreProperties>
</file>